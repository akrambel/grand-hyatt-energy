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5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Daily Consumption" sheetId="2" state="visible" r:id="rId2"/>
    <sheet xmlns:r="http://schemas.openxmlformats.org/officeDocument/2006/relationships" name="Daily Comparison" sheetId="3" state="visible" r:id="rId3"/>
    <sheet xmlns:r="http://schemas.openxmlformats.org/officeDocument/2006/relationships" name="Utility Budget &amp; Actual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LPG Dashboard" sheetId="6" state="visible" r:id="rId6"/>
    <sheet xmlns:r="http://schemas.openxmlformats.org/officeDocument/2006/relationships" name="Oct 2026" sheetId="7" state="visible" r:id="rId7"/>
    <sheet xmlns:r="http://schemas.openxmlformats.org/officeDocument/2006/relationships" name="Nov 2026" sheetId="8" state="visible" r:id="rId8"/>
    <sheet xmlns:r="http://schemas.openxmlformats.org/officeDocument/2006/relationships" name="Dec 2026" sheetId="9" state="visible" r:id="rId9"/>
    <sheet xmlns:r="http://schemas.openxmlformats.org/officeDocument/2006/relationships" name="Jan 2027" sheetId="10" state="visible" r:id="rId10"/>
    <sheet xmlns:r="http://schemas.openxmlformats.org/officeDocument/2006/relationships" name="Feb 2027" sheetId="11" state="visible" r:id="rId11"/>
    <sheet xmlns:r="http://schemas.openxmlformats.org/officeDocument/2006/relationships" name="Mar 2027" sheetId="12" state="visible" r:id="rId12"/>
    <sheet xmlns:r="http://schemas.openxmlformats.org/officeDocument/2006/relationships" name="Apr 2027" sheetId="13" state="visible" r:id="rId13"/>
    <sheet xmlns:r="http://schemas.openxmlformats.org/officeDocument/2006/relationships" name="May 2027" sheetId="14" state="visible" r:id="rId14"/>
    <sheet xmlns:r="http://schemas.openxmlformats.org/officeDocument/2006/relationships" name="Jun 2027" sheetId="15" state="visible" r:id="rId15"/>
    <sheet xmlns:r="http://schemas.openxmlformats.org/officeDocument/2006/relationships" name="Jul 2027" sheetId="16" state="visible" r:id="rId16"/>
    <sheet xmlns:r="http://schemas.openxmlformats.org/officeDocument/2006/relationships" name="Aug 2027" sheetId="17" state="visible" r:id="rId17"/>
    <sheet xmlns:r="http://schemas.openxmlformats.org/officeDocument/2006/relationships" name="Sep 2027" sheetId="18" state="visible" r:id="rId18"/>
  </sheets>
  <definedNames>
    <definedName name="_xlnm._FilterDatabase" localSheetId="7" hidden="1">'Nov 2026'!$A$7:$J$37</definedName>
    <definedName name="_xlnm._FilterDatabase" localSheetId="8" hidden="1">'Dec 2026'!$A$7:$J$38</definedName>
    <definedName name="_xlnm._FilterDatabase" localSheetId="9" hidden="1">'Jan 2027'!$A$7:$J$38</definedName>
    <definedName name="_xlnm._FilterDatabase" localSheetId="10" hidden="1">'Feb 2027'!$A$7:$J$35</definedName>
    <definedName name="_xlnm._FilterDatabase" localSheetId="11" hidden="1">'Mar 2027'!$A$7:$J$38</definedName>
    <definedName name="_xlnm._FilterDatabase" localSheetId="12" hidden="1">'Apr 2027'!$A$7:$J$37</definedName>
    <definedName name="_xlnm._FilterDatabase" localSheetId="13" hidden="1">'May 2027'!$A$7:$J$38</definedName>
    <definedName name="_xlnm._FilterDatabase" localSheetId="14" hidden="1">'Jun 2027'!$A$7:$J$37</definedName>
    <definedName name="_xlnm._FilterDatabase" localSheetId="15" hidden="1">'Jul 2027'!$A$7:$J$38</definedName>
    <definedName name="_xlnm._FilterDatabase" localSheetId="16" hidden="1">'Aug 2027'!$A$7:$J$38</definedName>
    <definedName name="_xlnm._FilterDatabase" localSheetId="17" hidden="1">'Sep 2027'!$A$7:$J$37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0.0%"/>
    <numFmt numFmtId="166" formatCode="mmmm\ yyyy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36"/>
    </font>
    <font>
      <name val="Calibri"/>
      <charset val="1"/>
      <family val="2"/>
      <sz val="11"/>
    </font>
    <font>
      <name val="Calibri"/>
      <charset val="1"/>
      <family val="2"/>
      <b val="1"/>
      <color rgb="FF023C39"/>
      <sz val="11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b val="1"/>
      <color theme="1"/>
      <sz val="20"/>
      <u val="single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theme="1"/>
      <sz val="16"/>
      <u val="single"/>
    </font>
    <font>
      <name val="Calibri"/>
      <charset val="1"/>
      <family val="2"/>
      <b val="1"/>
      <color rgb="FFFFFFFF"/>
      <sz val="18"/>
    </font>
    <font>
      <name val="Calibri"/>
      <charset val="1"/>
      <family val="2"/>
      <color theme="1"/>
      <sz val="18"/>
    </font>
    <font>
      <name val="Calibri"/>
      <charset val="1"/>
      <family val="2"/>
      <b val="1"/>
      <color rgb="FF17324D"/>
      <sz val="18"/>
    </font>
    <font>
      <name val="Cambria"/>
      <charset val="1"/>
      <family val="0"/>
      <b val="1"/>
      <i val="1"/>
      <sz val="10"/>
    </font>
    <font>
      <name val="Aptos"/>
      <charset val="1"/>
      <family val="0"/>
      <b val="1"/>
      <color rgb="FFFFFFFF"/>
      <sz val="10"/>
      <u val="single"/>
    </font>
    <font>
      <name val="Calibri"/>
      <charset val="1"/>
      <family val="2"/>
      <i val="1"/>
      <color rgb="FF5C677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263238"/>
      <sz val="11"/>
    </font>
    <font>
      <name val="Calibri"/>
      <charset val="1"/>
      <family val="2"/>
      <b val="1"/>
      <color rgb="FF17324D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theme="0"/>
      <sz val="20"/>
    </font>
    <font>
      <name val="Calibri"/>
      <charset val="1"/>
      <family val="2"/>
      <color rgb="FF333399"/>
      <sz val="12"/>
    </font>
    <font>
      <name val="Calibri"/>
      <charset val="1"/>
      <family val="2"/>
      <color rgb="FFFF0000"/>
      <sz val="14"/>
    </font>
    <font>
      <name val="Calibri"/>
      <charset val="1"/>
      <family val="2"/>
      <b val="1"/>
      <color rgb="FFFF0000"/>
      <sz val="22"/>
    </font>
    <font>
      <name val="Calibri"/>
      <charset val="1"/>
      <family val="2"/>
      <b val="1"/>
      <color rgb="FF000000"/>
      <sz val="18"/>
    </font>
    <font>
      <name val="Calibri"/>
      <charset val="1"/>
      <family val="2"/>
      <b val="1"/>
      <color theme="0"/>
      <sz val="10"/>
    </font>
    <font>
      <name val="Calibri"/>
      <charset val="1"/>
      <family val="2"/>
      <color theme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rgb="FF000000"/>
      <sz val="12"/>
    </font>
    <font>
      <name val="Calibri"/>
      <charset val="1"/>
      <family val="2"/>
      <color rgb="FF000000"/>
      <sz val="18"/>
    </font>
    <font>
      <name val="Calibri"/>
      <charset val="1"/>
      <family val="2"/>
      <b val="1"/>
      <color theme="0"/>
      <sz val="14"/>
    </font>
    <font>
      <name val="Arial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2"/>
    </font>
    <font>
      <name val="Arial"/>
      <charset val="1"/>
      <family val="2"/>
      <b val="1"/>
      <sz val="10"/>
    </font>
    <font>
      <name val="Calibri"/>
      <charset val="1"/>
      <family val="2"/>
      <b val="1"/>
      <color rgb="FF000000"/>
      <sz val="14"/>
    </font>
    <font>
      <name val="Arial"/>
      <charset val="1"/>
      <family val="2"/>
      <b val="1"/>
      <color rgb="FFFFFFFF"/>
      <sz val="12"/>
    </font>
    <font>
      <name val="Calibri"/>
      <charset val="1"/>
      <family val="2"/>
      <b val="1"/>
      <color rgb="FFFFFFFF"/>
      <sz val="20"/>
    </font>
    <font>
      <name val="Calibri"/>
      <charset val="1"/>
      <family val="2"/>
      <i val="1"/>
      <color rgb="FF5C6770"/>
      <sz val="11"/>
    </font>
    <font>
      <name val="Calibri"/>
      <charset val="1"/>
      <family val="0"/>
      <color rgb="FFFFFFFF"/>
      <sz val="11"/>
      <u val="single"/>
    </font>
    <font>
      <name val="Calibri"/>
      <charset val="1"/>
      <family val="2"/>
      <b val="1"/>
      <color rgb="FFFFFFFF"/>
      <sz val="24"/>
    </font>
    <font>
      <name val="Calibri"/>
      <charset val="1"/>
      <family val="2"/>
      <i val="1"/>
      <color rgb="FFBD757F"/>
      <sz val="11"/>
    </font>
    <font>
      <name val="Calibri"/>
      <charset val="1"/>
      <family val="2"/>
      <b val="1"/>
      <color rgb="FFFFFFFF"/>
      <sz val="13"/>
    </font>
    <font>
      <name val="Calibri"/>
      <charset val="1"/>
      <family val="2"/>
      <b val="1"/>
      <color rgb="FFBD757F"/>
      <sz val="15"/>
    </font>
    <font>
      <name val="Calibri"/>
      <charset val="1"/>
      <family val="2"/>
      <b val="1"/>
      <color rgb="FFBD757F"/>
      <sz val="11"/>
    </font>
    <font>
      <name val="Calibri"/>
      <charset val="1"/>
      <family val="2"/>
      <b val="1"/>
      <color rgb="FFBD757F"/>
      <sz val="26"/>
    </font>
    <font>
      <name val="Calibri"/>
      <charset val="1"/>
      <family val="2"/>
      <b val="1"/>
      <color rgb="FFBD757F"/>
      <sz val="10"/>
    </font>
    <font>
      <name val="Calibri"/>
      <charset val="1"/>
      <family val="2"/>
      <b val="1"/>
      <color rgb="FFBD757F"/>
      <sz val="22"/>
    </font>
    <font>
      <name val="Calibri"/>
      <charset val="1"/>
      <family val="2"/>
      <i val="1"/>
      <color rgb="FF023C39"/>
      <sz val="11"/>
    </font>
    <font>
      <name val="Calibri"/>
      <charset val="1"/>
      <family val="0"/>
      <b val="1"/>
      <color rgb="FFFFFFFF"/>
      <sz val="9"/>
      <u val="single"/>
    </font>
    <font>
      <name val="Calibri"/>
      <charset val="1"/>
      <family val="2"/>
      <b val="1"/>
      <color rgb="FFFFFFFF"/>
      <sz val="10"/>
    </font>
  </fonts>
  <fills count="17">
    <fill>
      <patternFill/>
    </fill>
    <fill>
      <patternFill patternType="gray125"/>
    </fill>
    <fill>
      <patternFill patternType="solid">
        <fgColor rgb="FFBD2137"/>
        <bgColor rgb="FF953735"/>
      </patternFill>
    </fill>
    <fill>
      <patternFill patternType="solid">
        <fgColor theme="5" tint="0.7998"/>
        <bgColor rgb="FFE8E8E8"/>
      </patternFill>
    </fill>
    <fill>
      <patternFill patternType="solid">
        <fgColor rgb="FFBD757F"/>
        <bgColor rgb="FFD99694"/>
      </patternFill>
    </fill>
    <fill>
      <patternFill patternType="solid">
        <fgColor theme="0"/>
        <bgColor rgb="FFEEF5F3"/>
      </patternFill>
    </fill>
    <fill>
      <patternFill patternType="solid">
        <fgColor rgb="FFFFF2CC"/>
        <bgColor rgb="FFFDE9D9"/>
      </patternFill>
    </fill>
    <fill>
      <patternFill patternType="solid">
        <fgColor theme="5" tint="0.5999"/>
        <bgColor rgb="FFF4CCCC"/>
      </patternFill>
    </fill>
    <fill>
      <patternFill patternType="solid">
        <fgColor rgb="FFFDE9D9"/>
        <bgColor rgb="FFFFF2CC"/>
      </patternFill>
    </fill>
    <fill>
      <patternFill patternType="solid">
        <fgColor theme="0" tint="-0.05"/>
        <bgColor rgb="FFEEF5F3"/>
      </patternFill>
    </fill>
    <fill>
      <patternFill patternType="solid">
        <fgColor theme="5" tint="0.3999"/>
        <bgColor rgb="FFE6B9B8"/>
      </patternFill>
    </fill>
    <fill>
      <patternFill patternType="solid">
        <fgColor theme="5" tint="-0.25"/>
        <bgColor rgb="FF993300"/>
      </patternFill>
    </fill>
    <fill>
      <patternFill patternType="solid">
        <fgColor rgb="FFE8E8E8"/>
        <bgColor rgb="FFE7EFEC"/>
      </patternFill>
    </fill>
    <fill>
      <patternFill patternType="solid">
        <fgColor rgb="FFE7EFEC"/>
        <bgColor rgb="FFE8E8E8"/>
      </patternFill>
    </fill>
    <fill>
      <patternFill patternType="solid">
        <fgColor rgb="FFDCEFEB"/>
        <bgColor rgb="FFE7EFEC"/>
      </patternFill>
    </fill>
    <fill>
      <patternFill patternType="solid">
        <fgColor rgb="FFEEF5F3"/>
        <bgColor rgb="FFF2F2F2"/>
      </patternFill>
    </fill>
    <fill>
      <patternFill patternType="solid">
        <fgColor rgb="FF023C39"/>
        <bgColor rgb="FF17324D"/>
      </patternFill>
    </fill>
  </fills>
  <borders count="67">
    <border>
      <left/>
      <right/>
      <top/>
      <bottom/>
      <diagonal/>
    </border>
    <border>
      <left/>
      <right/>
      <top/>
      <bottom style="thin">
        <color rgb="FFB9CCC8"/>
      </bottom>
      <diagonal/>
    </border>
    <border>
      <left style="thin">
        <color rgb="FFB9CCC8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/>
      <top/>
      <bottom style="thin"/>
      <diagonal/>
    </border>
    <border>
      <left style="thin">
        <color theme="0"/>
      </left>
      <right style="thin"/>
      <top style="thin">
        <color theme="0"/>
      </top>
      <bottom style="thin"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9CCC8"/>
      </left>
      <right/>
      <top style="thin">
        <color rgb="FFB9CCC8"/>
      </top>
      <bottom style="thin">
        <color rgb="FFB9CCC8"/>
      </bottom>
      <diagonal/>
    </border>
    <border>
      <left style="medium">
        <color theme="5" tint="-0.25"/>
      </left>
      <right style="medium">
        <color rgb="FF023C39"/>
      </right>
      <top style="medium">
        <color theme="5" tint="-0.25"/>
      </top>
      <bottom style="medium">
        <color rgb="FF023C39"/>
      </bottom>
      <diagonal/>
    </border>
    <border>
      <left/>
      <right/>
      <top style="thin">
        <color rgb="FFB9CCC8"/>
      </top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/>
      <bottom style="medium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theme="5" tint="-0.25"/>
      </left>
      <right style="thin">
        <color theme="5" tint="-0.25"/>
      </right>
      <top style="thin">
        <color theme="5" tint="-0.25"/>
      </top>
      <bottom style="thin">
        <color theme="5" tint="-0.25"/>
      </bottom>
      <diagonal/>
    </border>
    <border>
      <left/>
      <right/>
      <top/>
      <bottom style="thin">
        <color rgb="FFB7C8C5"/>
      </bottom>
      <diagonal/>
    </border>
    <border>
      <left style="thin">
        <color rgb="FFB7C8C5"/>
      </left>
      <right style="thin">
        <color rgb="FFB7C8C5"/>
      </right>
      <top style="thin">
        <color rgb="FFB7C8C5"/>
      </top>
      <bottom style="thin">
        <color rgb="FFB7C8C5"/>
      </bottom>
      <diagonal/>
    </border>
    <border>
      <left/>
      <right style="medium">
        <color rgb="FFBD757F"/>
      </right>
      <top style="thin">
        <color rgb="FFB7C8C5"/>
      </top>
      <bottom style="thin">
        <color rgb="FFB7C8C5"/>
      </bottom>
      <diagonal/>
    </border>
    <border>
      <left style="thin">
        <color rgb="FFB7C8C5"/>
      </left>
      <right/>
      <top style="thin">
        <color rgb="FFB7C8C5"/>
      </top>
      <bottom style="thin">
        <color rgb="FFB7C8C5"/>
      </bottom>
      <diagonal/>
    </border>
    <border>
      <left/>
      <right/>
      <top style="thin">
        <color rgb="FFB7C8C5"/>
      </top>
      <bottom/>
      <diagonal/>
    </border>
    <border>
      <left style="thin">
        <color rgb="FFB9CCC8"/>
      </left>
      <right style="thin">
        <color rgb="FFB9CCC8"/>
      </right>
      <top style="thin">
        <color rgb="FFB9CCC8"/>
      </top>
      <bottom style="thin">
        <color rgb="FFB9CCC8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/>
      <top/>
      <bottom/>
      <diagonal/>
    </border>
    <border>
      <left style="thin">
        <color theme="0"/>
      </left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B9CCC8"/>
      </top>
      <bottom style="thin">
        <color rgb="FFB9CCC8"/>
      </bottom>
      <diagonal/>
    </border>
    <border>
      <left/>
      <right/>
      <top style="medium">
        <color theme="5" tint="-0.25"/>
      </top>
      <bottom/>
      <diagonal/>
    </border>
    <border>
      <left style="medium">
        <color theme="5" tint="-0.25"/>
      </left>
      <right/>
      <top/>
      <bottom/>
      <diagonal/>
    </border>
    <border>
      <left/>
      <right style="medium">
        <color rgb="FF023C39"/>
      </right>
      <top style="medium">
        <color theme="5" tint="-0.25"/>
      </top>
      <bottom/>
      <diagonal/>
    </border>
    <border>
      <left/>
      <right style="medium">
        <color rgb="FF023C39"/>
      </right>
      <top/>
      <bottom/>
      <diagonal/>
    </border>
    <border>
      <left style="medium">
        <color theme="5" tint="-0.25"/>
      </left>
      <right/>
      <top/>
      <bottom style="medium">
        <color rgb="FF023C39"/>
      </bottom>
      <diagonal/>
    </border>
    <border>
      <left/>
      <right style="medium">
        <color rgb="FF023C39"/>
      </right>
      <top/>
      <bottom style="medium">
        <color rgb="FF023C39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thin">
        <color rgb="FFB7C8C5"/>
      </right>
      <top style="thin">
        <color rgb="FFB7C8C5"/>
      </top>
      <bottom/>
      <diagonal/>
    </border>
    <border>
      <left/>
      <right/>
      <top style="thin">
        <color rgb="FFB7C8C5"/>
      </top>
      <bottom style="thin">
        <color rgb="FFB7C8C5"/>
      </bottom>
      <diagonal/>
    </border>
    <border>
      <left/>
      <right style="thin">
        <color rgb="FFB7C8C5"/>
      </right>
      <top style="thin">
        <color rgb="FFB7C8C5"/>
      </top>
      <bottom style="thin">
        <color rgb="FFB7C8C5"/>
      </bottom>
      <diagonal/>
    </border>
    <border>
      <left/>
      <right style="thin">
        <color rgb="FFB9CCC8"/>
      </right>
      <top style="thin">
        <color rgb="FFB9CCC8"/>
      </top>
      <bottom/>
      <diagonal/>
    </border>
    <border>
      <left/>
      <right style="thin">
        <color rgb="FFB9CCC8"/>
      </right>
      <top/>
      <bottom/>
      <diagonal/>
    </border>
    <border>
      <left style="thin">
        <color rgb="FFB9CCC8"/>
      </left>
      <right/>
      <top/>
      <bottom style="thin">
        <color rgb="FFB9CCC8"/>
      </bottom>
      <diagonal/>
    </border>
    <border>
      <left/>
      <right style="thin">
        <color rgb="FFB9CCC8"/>
      </right>
      <top/>
      <bottom style="thin">
        <color rgb="FFB9CCC8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 applyAlignment="1">
      <alignment horizontal="general" vertical="bottom"/>
    </xf>
  </cellStyleXfs>
  <cellXfs count="3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center" vertical="center"/>
    </xf>
    <xf numFmtId="0" fontId="7" fillId="0" borderId="0" applyAlignment="1" pivotButton="0" quotePrefix="0" xfId="20">
      <alignment horizontal="general" vertical="bottom"/>
    </xf>
    <xf numFmtId="0" fontId="8" fillId="3" borderId="4" applyAlignment="1" pivotButton="0" quotePrefix="0" xfId="20">
      <alignment horizontal="center" vertical="center"/>
    </xf>
    <xf numFmtId="0" fontId="8" fillId="3" borderId="5" applyAlignment="1" pivotButton="0" quotePrefix="0" xfId="20">
      <alignment horizontal="center" vertical="center"/>
    </xf>
    <xf numFmtId="0" fontId="8" fillId="3" borderId="6" applyAlignment="1" pivotButton="0" quotePrefix="0" xfId="2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10" fillId="5" borderId="8" applyAlignment="1" pivotButton="0" quotePrefix="0" xfId="2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center"/>
    </xf>
    <xf numFmtId="0" fontId="1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20">
      <alignment horizontal="center" vertical="bottom"/>
    </xf>
    <xf numFmtId="0" fontId="14" fillId="0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/>
    </xf>
    <xf numFmtId="0" fontId="1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10" applyAlignment="1" pivotButton="0" quotePrefix="0" xfId="0">
      <alignment horizontal="center" vertical="center"/>
    </xf>
    <xf numFmtId="164" fontId="17" fillId="4" borderId="11" applyAlignment="1" pivotButton="0" quotePrefix="0" xfId="0">
      <alignment horizontal="center" vertical="center" textRotation="90"/>
    </xf>
    <xf numFmtId="0" fontId="17" fillId="4" borderId="12" applyAlignment="1" pivotButton="0" quotePrefix="0" xfId="0">
      <alignment horizontal="center" vertical="center"/>
    </xf>
    <xf numFmtId="0" fontId="18" fillId="3" borderId="13" applyAlignment="1" pivotButton="0" quotePrefix="0" xfId="0">
      <alignment horizontal="general" vertical="bottom"/>
    </xf>
    <xf numFmtId="4" fontId="0" fillId="6" borderId="14" applyAlignment="1" pivotButton="0" quotePrefix="0" xfId="0">
      <alignment horizontal="general" vertical="bottom"/>
    </xf>
    <xf numFmtId="4" fontId="19" fillId="0" borderId="15" applyAlignment="1" pivotButton="0" quotePrefix="0" xfId="0">
      <alignment horizontal="general" vertical="bottom"/>
    </xf>
    <xf numFmtId="0" fontId="17" fillId="4" borderId="16" applyAlignment="1" pivotButton="0" quotePrefix="0" xfId="0">
      <alignment horizontal="general" vertical="bottom"/>
    </xf>
    <xf numFmtId="4" fontId="17" fillId="4" borderId="17" applyAlignment="1" pivotButton="0" quotePrefix="0" xfId="0">
      <alignment horizontal="general" vertical="bottom"/>
    </xf>
    <xf numFmtId="4" fontId="17" fillId="4" borderId="18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4" fontId="17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8" fillId="3" borderId="13" applyAlignment="1" pivotButton="0" quotePrefix="0" xfId="0">
      <alignment horizontal="general" vertical="center"/>
    </xf>
    <xf numFmtId="4" fontId="0" fillId="6" borderId="20" applyAlignment="1" pivotButton="0" quotePrefix="0" xfId="0">
      <alignment horizontal="general" vertical="bottom"/>
    </xf>
    <xf numFmtId="4" fontId="19" fillId="0" borderId="21" applyAlignment="1" pivotButton="0" quotePrefix="0" xfId="0">
      <alignment horizontal="general" vertical="bottom"/>
    </xf>
    <xf numFmtId="0" fontId="20" fillId="7" borderId="14" applyAlignment="1" pivotButton="0" quotePrefix="0" xfId="0">
      <alignment horizontal="general" vertical="bottom"/>
    </xf>
    <xf numFmtId="4" fontId="0" fillId="6" borderId="0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65" fontId="0" fillId="6" borderId="0" applyAlignment="1" pivotButton="0" quotePrefix="0" xfId="0">
      <alignment horizontal="general" vertical="bottom"/>
    </xf>
    <xf numFmtId="3" fontId="0" fillId="6" borderId="0" applyAlignment="1" pivotButton="0" quotePrefix="0" xfId="0">
      <alignment horizontal="general" vertical="bottom"/>
    </xf>
    <xf numFmtId="0" fontId="21" fillId="5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general" vertical="bottom"/>
    </xf>
    <xf numFmtId="0" fontId="24" fillId="5" borderId="0" applyAlignment="1" pivotButton="0" quotePrefix="0" xfId="0">
      <alignment horizontal="general" vertical="bottom"/>
    </xf>
    <xf numFmtId="0" fontId="25" fillId="5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2" borderId="14" applyAlignment="1" pivotButton="0" quotePrefix="0" xfId="0">
      <alignment horizontal="center" vertical="center"/>
    </xf>
    <xf numFmtId="164" fontId="28" fillId="2" borderId="14" applyAlignment="1" pivotButton="0" quotePrefix="0" xfId="0">
      <alignment horizontal="center" vertical="center"/>
    </xf>
    <xf numFmtId="0" fontId="29" fillId="7" borderId="14" applyAlignment="1" pivotButton="0" quotePrefix="0" xfId="0">
      <alignment horizontal="left" vertical="bottom"/>
    </xf>
    <xf numFmtId="0" fontId="30" fillId="7" borderId="14" applyAlignment="1" pivotButton="0" quotePrefix="0" xfId="0">
      <alignment horizontal="general" vertical="bottom"/>
    </xf>
    <xf numFmtId="0" fontId="31" fillId="9" borderId="14" applyAlignment="1" pivotButton="0" quotePrefix="0" xfId="0">
      <alignment horizontal="general" vertical="bottom"/>
    </xf>
    <xf numFmtId="0" fontId="21" fillId="9" borderId="14" applyAlignment="1" pivotButton="0" quotePrefix="0" xfId="0">
      <alignment horizontal="center" vertical="center"/>
    </xf>
    <xf numFmtId="4" fontId="32" fillId="0" borderId="14" applyAlignment="1" pivotButton="0" quotePrefix="0" xfId="0">
      <alignment horizontal="general" vertical="bottom"/>
    </xf>
    <xf numFmtId="0" fontId="32" fillId="0" borderId="14" applyAlignment="1" pivotButton="0" quotePrefix="0" xfId="0">
      <alignment horizontal="general" vertical="bottom"/>
    </xf>
    <xf numFmtId="3" fontId="32" fillId="0" borderId="14" applyAlignment="1" pivotButton="0" quotePrefix="0" xfId="0">
      <alignment horizontal="general" vertical="bottom"/>
    </xf>
    <xf numFmtId="0" fontId="21" fillId="7" borderId="14" applyAlignment="1" pivotButton="0" quotePrefix="0" xfId="0">
      <alignment horizontal="general" vertical="bottom"/>
    </xf>
    <xf numFmtId="4" fontId="21" fillId="5" borderId="14" applyAlignment="1" pivotButton="0" quotePrefix="0" xfId="0">
      <alignment horizontal="general" vertical="bottom"/>
    </xf>
    <xf numFmtId="0" fontId="21" fillId="5" borderId="14" applyAlignment="1" pivotButton="0" quotePrefix="0" xfId="0">
      <alignment horizontal="general" vertical="bottom"/>
    </xf>
    <xf numFmtId="0" fontId="29" fillId="7" borderId="14" applyAlignment="1" pivotButton="0" quotePrefix="0" xfId="0">
      <alignment horizontal="general" vertical="bottom"/>
    </xf>
    <xf numFmtId="4" fontId="32" fillId="5" borderId="14" applyAlignment="1" pivotButton="0" quotePrefix="0" xfId="0">
      <alignment horizontal="general" vertical="bottom"/>
    </xf>
    <xf numFmtId="0" fontId="32" fillId="5" borderId="14" applyAlignment="1" pivotButton="0" quotePrefix="0" xfId="0">
      <alignment horizontal="general" vertical="bottom"/>
    </xf>
    <xf numFmtId="3" fontId="32" fillId="5" borderId="14" applyAlignment="1" pivotButton="0" quotePrefix="0" xfId="0">
      <alignment horizontal="general" vertical="bottom"/>
    </xf>
    <xf numFmtId="0" fontId="33" fillId="5" borderId="14" applyAlignment="1" pivotButton="0" quotePrefix="0" xfId="0">
      <alignment horizontal="general" vertical="bottom"/>
    </xf>
    <xf numFmtId="4" fontId="33" fillId="5" borderId="14" applyAlignment="1" pivotButton="0" quotePrefix="0" xfId="0">
      <alignment horizontal="general" vertical="bottom"/>
    </xf>
    <xf numFmtId="0" fontId="32" fillId="9" borderId="14" applyAlignment="1" pivotButton="0" quotePrefix="0" xfId="0">
      <alignment horizontal="general" vertical="bottom"/>
    </xf>
    <xf numFmtId="0" fontId="32" fillId="9" borderId="14" applyAlignment="1" pivotButton="0" quotePrefix="0" xfId="0">
      <alignment horizontal="center" vertical="center"/>
    </xf>
    <xf numFmtId="0" fontId="34" fillId="9" borderId="14" applyAlignment="1" pivotButton="0" quotePrefix="0" xfId="0">
      <alignment horizontal="center" vertical="center"/>
    </xf>
    <xf numFmtId="10" fontId="21" fillId="5" borderId="14" applyAlignment="1" pivotButton="0" quotePrefix="0" xfId="0">
      <alignment horizontal="general" vertical="bottom"/>
    </xf>
    <xf numFmtId="3" fontId="21" fillId="5" borderId="14" applyAlignment="1" pivotButton="0" quotePrefix="0" xfId="0">
      <alignment horizontal="general" vertical="bottom"/>
    </xf>
    <xf numFmtId="0" fontId="32" fillId="9" borderId="20" applyAlignment="1" pivotButton="0" quotePrefix="0" xfId="0">
      <alignment horizontal="general" vertical="bottom"/>
    </xf>
    <xf numFmtId="3" fontId="21" fillId="5" borderId="20" applyAlignment="1" pivotButton="0" quotePrefix="0" xfId="0">
      <alignment horizontal="general" vertical="bottom"/>
    </xf>
    <xf numFmtId="0" fontId="21" fillId="5" borderId="20" applyAlignment="1" pivotButton="0" quotePrefix="0" xfId="0">
      <alignment horizontal="general" vertical="bottom"/>
    </xf>
    <xf numFmtId="0" fontId="35" fillId="2" borderId="10" applyAlignment="1" pivotButton="0" quotePrefix="0" xfId="0">
      <alignment horizontal="left" vertical="bottom"/>
    </xf>
    <xf numFmtId="0" fontId="29" fillId="9" borderId="13" applyAlignment="1" pivotButton="0" quotePrefix="0" xfId="0">
      <alignment horizontal="center" vertical="center"/>
    </xf>
    <xf numFmtId="0" fontId="31" fillId="9" borderId="14" applyAlignment="1" pivotButton="0" quotePrefix="0" xfId="0">
      <alignment horizontal="center" vertical="center"/>
    </xf>
    <xf numFmtId="0" fontId="32" fillId="5" borderId="15" applyAlignment="1" pivotButton="0" quotePrefix="0" xfId="0">
      <alignment horizontal="general" vertical="bottom"/>
    </xf>
    <xf numFmtId="0" fontId="31" fillId="9" borderId="14" applyAlignment="1" pivotButton="0" quotePrefix="0" xfId="0">
      <alignment horizontal="center" vertical="center" wrapText="1"/>
    </xf>
    <xf numFmtId="4" fontId="32" fillId="7" borderId="14" applyAlignment="1" pivotButton="0" quotePrefix="0" xfId="0">
      <alignment horizontal="general" vertical="bottom"/>
    </xf>
    <xf numFmtId="4" fontId="32" fillId="7" borderId="15" applyAlignment="1" pivotButton="0" quotePrefix="0" xfId="0">
      <alignment horizontal="general" vertical="bottom"/>
    </xf>
    <xf numFmtId="0" fontId="21" fillId="5" borderId="15" applyAlignment="1" pivotButton="0" quotePrefix="0" xfId="0">
      <alignment horizontal="general" vertical="bottom"/>
    </xf>
    <xf numFmtId="0" fontId="29" fillId="9" borderId="16" applyAlignment="1" pivotButton="0" quotePrefix="0" xfId="0">
      <alignment horizontal="center" vertical="center"/>
    </xf>
    <xf numFmtId="0" fontId="31" fillId="9" borderId="17" applyAlignment="1" pivotButton="0" quotePrefix="0" xfId="0">
      <alignment horizontal="center" vertical="center" wrapText="1"/>
    </xf>
    <xf numFmtId="0" fontId="31" fillId="9" borderId="17" applyAlignment="1" pivotButton="0" quotePrefix="0" xfId="0">
      <alignment horizontal="center" vertical="center"/>
    </xf>
    <xf numFmtId="0" fontId="32" fillId="5" borderId="17" applyAlignment="1" pivotButton="0" quotePrefix="0" xfId="0">
      <alignment horizontal="general" vertical="bottom"/>
    </xf>
    <xf numFmtId="0" fontId="32" fillId="5" borderId="18" applyAlignment="1" pivotButton="0" quotePrefix="0" xfId="0">
      <alignment horizontal="general" vertical="bottom"/>
    </xf>
    <xf numFmtId="0" fontId="32" fillId="7" borderId="13" applyAlignment="1" pivotButton="0" quotePrefix="0" xfId="0">
      <alignment horizontal="general" vertical="bottom"/>
    </xf>
    <xf numFmtId="0" fontId="32" fillId="7" borderId="14" applyAlignment="1" pivotButton="0" quotePrefix="0" xfId="0">
      <alignment horizontal="general" vertical="bottom"/>
    </xf>
    <xf numFmtId="0" fontId="32" fillId="7" borderId="15" applyAlignment="1" pivotButton="0" quotePrefix="0" xfId="0">
      <alignment horizontal="general" vertical="bottom"/>
    </xf>
    <xf numFmtId="0" fontId="32" fillId="9" borderId="13" applyAlignment="1" pivotButton="0" quotePrefix="0" xfId="0">
      <alignment horizontal="general" vertical="bottom"/>
    </xf>
    <xf numFmtId="4" fontId="32" fillId="5" borderId="15" applyAlignment="1" pivotButton="0" quotePrefix="0" xfId="0">
      <alignment horizontal="general" vertical="bottom"/>
    </xf>
    <xf numFmtId="0" fontId="32" fillId="9" borderId="16" applyAlignment="1" pivotButton="0" quotePrefix="0" xfId="0">
      <alignment horizontal="general" vertical="bottom"/>
    </xf>
    <xf numFmtId="4" fontId="32" fillId="5" borderId="18" applyAlignment="1" pivotButton="0" quotePrefix="0" xfId="0">
      <alignment horizontal="general" vertical="bottom"/>
    </xf>
    <xf numFmtId="0" fontId="32" fillId="5" borderId="0" applyAlignment="1" pivotButton="0" quotePrefix="0" xfId="0">
      <alignment horizontal="general" vertical="bottom"/>
    </xf>
    <xf numFmtId="0" fontId="32" fillId="5" borderId="0" applyAlignment="1" pivotButton="0" quotePrefix="0" xfId="0">
      <alignment horizontal="general" vertical="bottom"/>
    </xf>
    <xf numFmtId="4" fontId="32" fillId="5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5" fillId="2" borderId="14" applyAlignment="1" pivotButton="0" quotePrefix="0" xfId="0">
      <alignment horizontal="left" vertical="center"/>
    </xf>
    <xf numFmtId="0" fontId="36" fillId="10" borderId="14" applyAlignment="1" pivotButton="0" quotePrefix="0" xfId="0">
      <alignment horizontal="center" vertical="center"/>
    </xf>
    <xf numFmtId="0" fontId="37" fillId="10" borderId="14" applyAlignment="1" pivotButton="0" quotePrefix="0" xfId="0">
      <alignment horizontal="general" vertical="bottom"/>
    </xf>
    <xf numFmtId="0" fontId="38" fillId="0" borderId="22" applyAlignment="1" pivotButton="0" quotePrefix="0" xfId="0">
      <alignment horizontal="general" vertical="bottom"/>
    </xf>
    <xf numFmtId="0" fontId="38" fillId="0" borderId="14" applyAlignment="1" pivotButton="0" quotePrefix="0" xfId="0">
      <alignment horizontal="general" vertical="bottom"/>
    </xf>
    <xf numFmtId="0" fontId="29" fillId="0" borderId="14" applyAlignment="1" pivotButton="0" quotePrefix="0" xfId="0">
      <alignment horizontal="general" vertical="bottom"/>
    </xf>
    <xf numFmtId="0" fontId="31" fillId="0" borderId="22" applyAlignment="1" pivotButton="0" quotePrefix="0" xfId="0">
      <alignment horizontal="general" vertical="bottom"/>
    </xf>
    <xf numFmtId="0" fontId="31" fillId="0" borderId="14" applyAlignment="1" pivotButton="0" quotePrefix="0" xfId="0">
      <alignment horizontal="general" vertical="bottom"/>
    </xf>
    <xf numFmtId="10" fontId="29" fillId="0" borderId="14" applyAlignment="1" pivotButton="0" quotePrefix="0" xfId="0">
      <alignment horizontal="general" vertical="bottom"/>
    </xf>
    <xf numFmtId="0" fontId="29" fillId="5" borderId="14" applyAlignment="1" pivotButton="0" quotePrefix="0" xfId="0">
      <alignment horizontal="general" vertical="bottom"/>
    </xf>
    <xf numFmtId="0" fontId="35" fillId="2" borderId="0" applyAlignment="1" pivotButton="0" quotePrefix="0" xfId="0">
      <alignment horizontal="left" vertical="center"/>
    </xf>
    <xf numFmtId="0" fontId="36" fillId="10" borderId="23" applyAlignment="1" pivotButton="0" quotePrefix="0" xfId="0">
      <alignment horizontal="left" vertical="center"/>
    </xf>
    <xf numFmtId="0" fontId="39" fillId="0" borderId="14" applyAlignment="1" pivotButton="0" quotePrefix="0" xfId="0">
      <alignment horizontal="general" vertical="bottom"/>
    </xf>
    <xf numFmtId="10" fontId="39" fillId="0" borderId="14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36" fillId="10" borderId="14" applyAlignment="1" pivotButton="0" quotePrefix="0" xfId="0">
      <alignment horizontal="left" vertical="center"/>
    </xf>
    <xf numFmtId="0" fontId="40" fillId="10" borderId="14" applyAlignment="1" pivotButton="0" quotePrefix="0" xfId="0">
      <alignment horizontal="left" vertical="center"/>
    </xf>
    <xf numFmtId="0" fontId="36" fillId="10" borderId="20" applyAlignment="1" pivotButton="0" quotePrefix="0" xfId="0">
      <alignment horizontal="center" vertical="center"/>
    </xf>
    <xf numFmtId="0" fontId="33" fillId="0" borderId="0" applyAlignment="1" pivotButton="0" quotePrefix="0" xfId="0">
      <alignment horizontal="general" vertical="bottom"/>
    </xf>
    <xf numFmtId="0" fontId="41" fillId="2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17" fillId="11" borderId="24" applyAlignment="1" pivotButton="0" quotePrefix="0" xfId="0">
      <alignment horizontal="center" vertical="center"/>
    </xf>
    <xf numFmtId="166" fontId="0" fillId="12" borderId="24" applyAlignment="1" pivotButton="0" quotePrefix="0" xfId="0">
      <alignment horizontal="center" vertical="center"/>
    </xf>
    <xf numFmtId="4" fontId="0" fillId="5" borderId="24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17" fillId="7" borderId="24" applyAlignment="1" pivotButton="0" quotePrefix="0" xfId="0">
      <alignment horizontal="center" vertical="center"/>
    </xf>
    <xf numFmtId="4" fontId="17" fillId="7" borderId="24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 vertical="center"/>
    </xf>
    <xf numFmtId="0" fontId="45" fillId="0" borderId="25" applyAlignment="1" pivotButton="0" quotePrefix="0" xfId="0">
      <alignment horizontal="center" vertical="center"/>
    </xf>
    <xf numFmtId="0" fontId="46" fillId="4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5" fontId="5" fillId="0" borderId="0" applyAlignment="1" pivotButton="0" quotePrefix="0" xfId="0">
      <alignment horizontal="general" vertical="bottom"/>
    </xf>
    <xf numFmtId="9" fontId="47" fillId="6" borderId="26" applyAlignment="1" pivotButton="0" quotePrefix="0" xfId="0">
      <alignment horizontal="center" vertical="center"/>
    </xf>
    <xf numFmtId="3" fontId="5" fillId="0" borderId="26" applyAlignment="1" pivotButton="0" quotePrefix="0" xfId="0">
      <alignment horizontal="center" vertical="center"/>
    </xf>
    <xf numFmtId="0" fontId="48" fillId="0" borderId="26" applyAlignment="1" pivotButton="0" quotePrefix="0" xfId="0">
      <alignment horizontal="center" vertical="center"/>
    </xf>
    <xf numFmtId="0" fontId="5" fillId="5" borderId="0" applyAlignment="1" pivotButton="0" quotePrefix="0" xfId="0">
      <alignment horizontal="general" vertical="bottom"/>
    </xf>
    <xf numFmtId="0" fontId="37" fillId="4" borderId="26" applyAlignment="1" pivotButton="0" quotePrefix="0" xfId="0">
      <alignment horizontal="center" vertical="center" wrapText="1"/>
    </xf>
    <xf numFmtId="0" fontId="5" fillId="13" borderId="26" applyAlignment="1" pivotButton="0" quotePrefix="0" xfId="0">
      <alignment horizontal="center" vertical="center"/>
    </xf>
    <xf numFmtId="0" fontId="5" fillId="13" borderId="27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bottom"/>
    </xf>
    <xf numFmtId="0" fontId="50" fillId="0" borderId="0" applyAlignment="1" pivotButton="0" quotePrefix="0" xfId="0">
      <alignment horizontal="center" vertical="bottom"/>
    </xf>
    <xf numFmtId="0" fontId="37" fillId="4" borderId="28" applyAlignment="1" pivotButton="0" quotePrefix="0" xfId="0">
      <alignment horizontal="general" vertical="center" wrapText="1"/>
    </xf>
    <xf numFmtId="0" fontId="51" fillId="14" borderId="29" applyAlignment="1" pivotButton="0" quotePrefix="0" xfId="0">
      <alignment horizontal="center" vertical="center"/>
    </xf>
    <xf numFmtId="0" fontId="41" fillId="4" borderId="3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bottom"/>
    </xf>
    <xf numFmtId="0" fontId="53" fillId="4" borderId="30" applyAlignment="1" pivotButton="0" quotePrefix="0" xfId="0">
      <alignment horizontal="center" vertical="center"/>
    </xf>
    <xf numFmtId="0" fontId="54" fillId="4" borderId="26" applyAlignment="1" pivotButton="0" quotePrefix="0" xfId="0">
      <alignment horizontal="center" vertical="center" wrapText="1"/>
    </xf>
    <xf numFmtId="164" fontId="0" fillId="0" borderId="30" applyAlignment="1" pivotButton="0" quotePrefix="0" xfId="0">
      <alignment horizontal="general" vertical="bottom"/>
    </xf>
    <xf numFmtId="4" fontId="0" fillId="0" borderId="30" applyAlignment="1" pivotButton="0" quotePrefix="0" xfId="0">
      <alignment horizontal="general" vertical="bottom"/>
    </xf>
    <xf numFmtId="0" fontId="0" fillId="0" borderId="30" applyAlignment="1" pivotButton="0" quotePrefix="0" xfId="0">
      <alignment horizontal="general" vertical="bottom"/>
    </xf>
    <xf numFmtId="164" fontId="0" fillId="14" borderId="30" applyAlignment="1" pivotButton="0" quotePrefix="0" xfId="0">
      <alignment horizontal="general" vertical="bottom"/>
    </xf>
    <xf numFmtId="4" fontId="0" fillId="15" borderId="30" applyAlignment="1" pivotButton="0" quotePrefix="0" xfId="0">
      <alignment horizontal="general" vertical="bottom"/>
    </xf>
    <xf numFmtId="0" fontId="0" fillId="14" borderId="30" applyAlignment="1" pivotButton="0" quotePrefix="0" xfId="0">
      <alignment horizontal="general" vertical="bottom"/>
    </xf>
    <xf numFmtId="0" fontId="0" fillId="15" borderId="30" applyAlignment="1" pivotButton="0" quotePrefix="0" xfId="0">
      <alignment horizontal="general" vertical="bottom"/>
    </xf>
    <xf numFmtId="4" fontId="54" fillId="4" borderId="26" applyAlignment="1" pivotButton="0" quotePrefix="0" xfId="0">
      <alignment horizontal="center" vertical="center" wrapText="1"/>
    </xf>
    <xf numFmtId="0" fontId="54" fillId="16" borderId="3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" pivotButton="0" quotePrefix="0" xfId="0"/>
    <xf numFmtId="0" fontId="6" fillId="0" borderId="3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6" pivotButton="0" quotePrefix="0" xfId="0"/>
    <xf numFmtId="0" fontId="7" fillId="0" borderId="0" applyAlignment="1" pivotButton="0" quotePrefix="0" xfId="20">
      <alignment horizontal="general" vertical="bottom"/>
    </xf>
    <xf numFmtId="0" fontId="8" fillId="3" borderId="4" applyAlignment="1" pivotButton="0" quotePrefix="0" xfId="20">
      <alignment horizontal="center" vertical="center"/>
    </xf>
    <xf numFmtId="0" fontId="0" fillId="0" borderId="35" pivotButton="0" quotePrefix="0" xfId="0"/>
    <xf numFmtId="0" fontId="8" fillId="3" borderId="5" applyAlignment="1" pivotButton="0" quotePrefix="0" xfId="20">
      <alignment horizontal="center" vertical="center"/>
    </xf>
    <xf numFmtId="0" fontId="0" fillId="0" borderId="31" pivotButton="0" quotePrefix="0" xfId="0"/>
    <xf numFmtId="0" fontId="0" fillId="0" borderId="39" pivotButton="0" quotePrefix="0" xfId="0"/>
    <xf numFmtId="0" fontId="8" fillId="3" borderId="6" applyAlignment="1" pivotButton="0" quotePrefix="0" xfId="20">
      <alignment horizontal="center" vertical="center"/>
    </xf>
    <xf numFmtId="0" fontId="0" fillId="0" borderId="32" pivotButton="0" quotePrefix="0" xfId="0"/>
    <xf numFmtId="0" fontId="0" fillId="0" borderId="34" pivotButton="0" quotePrefix="0" xfId="0"/>
    <xf numFmtId="0" fontId="0" fillId="0" borderId="40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2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0" fillId="0" borderId="43" pivotButton="0" quotePrefix="0" xfId="0"/>
    <xf numFmtId="0" fontId="10" fillId="5" borderId="8" applyAlignment="1" pivotButton="0" quotePrefix="0" xfId="2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1" fillId="2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center"/>
    </xf>
    <xf numFmtId="0" fontId="13" fillId="3" borderId="0" applyAlignment="1" pivotButton="0" quotePrefix="0" xfId="0">
      <alignment horizontal="center" vertical="center"/>
    </xf>
    <xf numFmtId="0" fontId="7" fillId="0" borderId="0" applyAlignment="1" pivotButton="0" quotePrefix="0" xfId="20">
      <alignment horizontal="center" vertical="bottom"/>
    </xf>
    <xf numFmtId="0" fontId="14" fillId="0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11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17" fillId="4" borderId="10" applyAlignment="1" pivotButton="0" quotePrefix="0" xfId="0">
      <alignment horizontal="center" vertical="center"/>
    </xf>
    <xf numFmtId="164" fontId="17" fillId="4" borderId="11" applyAlignment="1" pivotButton="0" quotePrefix="0" xfId="0">
      <alignment horizontal="center" vertical="center" textRotation="90"/>
    </xf>
    <xf numFmtId="0" fontId="17" fillId="4" borderId="12" applyAlignment="1" pivotButton="0" quotePrefix="0" xfId="0">
      <alignment horizontal="center" vertical="center"/>
    </xf>
    <xf numFmtId="0" fontId="18" fillId="3" borderId="13" applyAlignment="1" pivotButton="0" quotePrefix="0" xfId="0">
      <alignment horizontal="general" vertical="bottom"/>
    </xf>
    <xf numFmtId="4" fontId="0" fillId="6" borderId="14" applyAlignment="1" pivotButton="0" quotePrefix="0" xfId="0">
      <alignment horizontal="general" vertical="bottom"/>
    </xf>
    <xf numFmtId="4" fontId="19" fillId="0" borderId="15" applyAlignment="1" pivotButton="0" quotePrefix="0" xfId="0">
      <alignment horizontal="general" vertical="bottom"/>
    </xf>
    <xf numFmtId="0" fontId="17" fillId="4" borderId="16" applyAlignment="1" pivotButton="0" quotePrefix="0" xfId="0">
      <alignment horizontal="general" vertical="bottom"/>
    </xf>
    <xf numFmtId="4" fontId="17" fillId="4" borderId="17" applyAlignment="1" pivotButton="0" quotePrefix="0" xfId="0">
      <alignment horizontal="general" vertical="bottom"/>
    </xf>
    <xf numFmtId="4" fontId="17" fillId="4" borderId="18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bottom"/>
    </xf>
    <xf numFmtId="0" fontId="0" fillId="0" borderId="19" pivotButton="0" quotePrefix="0" xfId="0"/>
    <xf numFmtId="0" fontId="0" fillId="5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4" fontId="17" fillId="5" borderId="0" applyAlignment="1" pivotButton="0" quotePrefix="0" xfId="0">
      <alignment horizontal="general" vertical="bottom"/>
    </xf>
    <xf numFmtId="0" fontId="18" fillId="3" borderId="13" applyAlignment="1" pivotButton="0" quotePrefix="0" xfId="0">
      <alignment horizontal="general" vertical="center"/>
    </xf>
    <xf numFmtId="4" fontId="0" fillId="6" borderId="20" applyAlignment="1" pivotButton="0" quotePrefix="0" xfId="0">
      <alignment horizontal="general" vertical="bottom"/>
    </xf>
    <xf numFmtId="4" fontId="19" fillId="0" borderId="21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20" fillId="7" borderId="14" applyAlignment="1" pivotButton="0" quotePrefix="0" xfId="0">
      <alignment horizontal="general" vertical="bottom"/>
    </xf>
    <xf numFmtId="4" fontId="0" fillId="6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65" fontId="0" fillId="6" borderId="0" applyAlignment="1" pivotButton="0" quotePrefix="0" xfId="0">
      <alignment horizontal="general" vertical="bottom"/>
    </xf>
    <xf numFmtId="3" fontId="0" fillId="6" borderId="0" applyAlignment="1" pivotButton="0" quotePrefix="0" xfId="0">
      <alignment horizontal="general" vertical="bottom"/>
    </xf>
    <xf numFmtId="0" fontId="21" fillId="5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general" vertical="bottom"/>
    </xf>
    <xf numFmtId="0" fontId="24" fillId="5" borderId="0" applyAlignment="1" pivotButton="0" quotePrefix="0" xfId="0">
      <alignment horizontal="general" vertical="bottom"/>
    </xf>
    <xf numFmtId="0" fontId="25" fillId="5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2" borderId="14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22" pivotButton="0" quotePrefix="0" xfId="0"/>
    <xf numFmtId="164" fontId="28" fillId="2" borderId="14" applyAlignment="1" pivotButton="0" quotePrefix="0" xfId="0">
      <alignment horizontal="center" vertical="center"/>
    </xf>
    <xf numFmtId="0" fontId="29" fillId="7" borderId="14" applyAlignment="1" pivotButton="0" quotePrefix="0" xfId="0">
      <alignment horizontal="left" vertical="bottom"/>
    </xf>
    <xf numFmtId="0" fontId="30" fillId="7" borderId="14" applyAlignment="1" pivotButton="0" quotePrefix="0" xfId="0">
      <alignment horizontal="general" vertical="bottom"/>
    </xf>
    <xf numFmtId="0" fontId="31" fillId="9" borderId="14" applyAlignment="1" pivotButton="0" quotePrefix="0" xfId="0">
      <alignment horizontal="general" vertical="bottom"/>
    </xf>
    <xf numFmtId="0" fontId="21" fillId="9" borderId="14" applyAlignment="1" pivotButton="0" quotePrefix="0" xfId="0">
      <alignment horizontal="center" vertical="center"/>
    </xf>
    <xf numFmtId="4" fontId="32" fillId="0" borderId="14" applyAlignment="1" pivotButton="0" quotePrefix="0" xfId="0">
      <alignment horizontal="general" vertical="bottom"/>
    </xf>
    <xf numFmtId="0" fontId="32" fillId="0" borderId="14" applyAlignment="1" pivotButton="0" quotePrefix="0" xfId="0">
      <alignment horizontal="general" vertical="bottom"/>
    </xf>
    <xf numFmtId="3" fontId="32" fillId="0" borderId="14" applyAlignment="1" pivotButton="0" quotePrefix="0" xfId="0">
      <alignment horizontal="general" vertical="bottom"/>
    </xf>
    <xf numFmtId="0" fontId="21" fillId="7" borderId="14" applyAlignment="1" pivotButton="0" quotePrefix="0" xfId="0">
      <alignment horizontal="general" vertical="bottom"/>
    </xf>
    <xf numFmtId="4" fontId="21" fillId="5" borderId="14" applyAlignment="1" pivotButton="0" quotePrefix="0" xfId="0">
      <alignment horizontal="general" vertical="bottom"/>
    </xf>
    <xf numFmtId="0" fontId="21" fillId="5" borderId="14" applyAlignment="1" pivotButton="0" quotePrefix="0" xfId="0">
      <alignment horizontal="general" vertical="bottom"/>
    </xf>
    <xf numFmtId="0" fontId="29" fillId="7" borderId="14" applyAlignment="1" pivotButton="0" quotePrefix="0" xfId="0">
      <alignment horizontal="general" vertical="bottom"/>
    </xf>
    <xf numFmtId="4" fontId="32" fillId="5" borderId="14" applyAlignment="1" pivotButton="0" quotePrefix="0" xfId="0">
      <alignment horizontal="general" vertical="bottom"/>
    </xf>
    <xf numFmtId="0" fontId="32" fillId="5" borderId="14" applyAlignment="1" pivotButton="0" quotePrefix="0" xfId="0">
      <alignment horizontal="general" vertical="bottom"/>
    </xf>
    <xf numFmtId="3" fontId="32" fillId="5" borderId="14" applyAlignment="1" pivotButton="0" quotePrefix="0" xfId="0">
      <alignment horizontal="general" vertical="bottom"/>
    </xf>
    <xf numFmtId="0" fontId="33" fillId="5" borderId="14" applyAlignment="1" pivotButton="0" quotePrefix="0" xfId="0">
      <alignment horizontal="general" vertical="bottom"/>
    </xf>
    <xf numFmtId="4" fontId="33" fillId="5" borderId="14" applyAlignment="1" pivotButton="0" quotePrefix="0" xfId="0">
      <alignment horizontal="general" vertical="bottom"/>
    </xf>
    <xf numFmtId="0" fontId="32" fillId="9" borderId="14" applyAlignment="1" pivotButton="0" quotePrefix="0" xfId="0">
      <alignment horizontal="general" vertical="bottom"/>
    </xf>
    <xf numFmtId="0" fontId="32" fillId="9" borderId="14" applyAlignment="1" pivotButton="0" quotePrefix="0" xfId="0">
      <alignment horizontal="center" vertical="center"/>
    </xf>
    <xf numFmtId="0" fontId="34" fillId="9" borderId="14" applyAlignment="1" pivotButton="0" quotePrefix="0" xfId="0">
      <alignment horizontal="center" vertical="center"/>
    </xf>
    <xf numFmtId="10" fontId="21" fillId="5" borderId="14" applyAlignment="1" pivotButton="0" quotePrefix="0" xfId="0">
      <alignment horizontal="general" vertical="bottom"/>
    </xf>
    <xf numFmtId="0" fontId="0" fillId="0" borderId="54" pivotButton="0" quotePrefix="0" xfId="0"/>
    <xf numFmtId="3" fontId="21" fillId="5" borderId="14" applyAlignment="1" pivotButton="0" quotePrefix="0" xfId="0">
      <alignment horizontal="general" vertical="bottom"/>
    </xf>
    <xf numFmtId="0" fontId="0" fillId="0" borderId="55" pivotButton="0" quotePrefix="0" xfId="0"/>
    <xf numFmtId="0" fontId="32" fillId="9" borderId="20" applyAlignment="1" pivotButton="0" quotePrefix="0" xfId="0">
      <alignment horizontal="general" vertical="bottom"/>
    </xf>
    <xf numFmtId="0" fontId="0" fillId="0" borderId="51" pivotButton="0" quotePrefix="0" xfId="0"/>
    <xf numFmtId="3" fontId="21" fillId="5" borderId="20" applyAlignment="1" pivotButton="0" quotePrefix="0" xfId="0">
      <alignment horizontal="general" vertical="bottom"/>
    </xf>
    <xf numFmtId="0" fontId="21" fillId="5" borderId="20" applyAlignment="1" pivotButton="0" quotePrefix="0" xfId="0">
      <alignment horizontal="general" vertical="bottom"/>
    </xf>
    <xf numFmtId="0" fontId="35" fillId="2" borderId="10" applyAlignment="1" pivotButton="0" quotePrefix="0" xfId="0">
      <alignment horizontal="left" vertical="bottom"/>
    </xf>
    <xf numFmtId="0" fontId="0" fillId="0" borderId="58" pivotButton="0" quotePrefix="0" xfId="0"/>
    <xf numFmtId="0" fontId="0" fillId="0" borderId="59" pivotButton="0" quotePrefix="0" xfId="0"/>
    <xf numFmtId="0" fontId="29" fillId="9" borderId="13" applyAlignment="1" pivotButton="0" quotePrefix="0" xfId="0">
      <alignment horizontal="center" vertical="center"/>
    </xf>
    <xf numFmtId="0" fontId="31" fillId="9" borderId="14" applyAlignment="1" pivotButton="0" quotePrefix="0" xfId="0">
      <alignment horizontal="center" vertical="center"/>
    </xf>
    <xf numFmtId="0" fontId="32" fillId="5" borderId="15" applyAlignment="1" pivotButton="0" quotePrefix="0" xfId="0">
      <alignment horizontal="general" vertical="bottom"/>
    </xf>
    <xf numFmtId="0" fontId="31" fillId="9" borderId="14" applyAlignment="1" pivotButton="0" quotePrefix="0" xfId="0">
      <alignment horizontal="center" vertical="center" wrapText="1"/>
    </xf>
    <xf numFmtId="4" fontId="32" fillId="7" borderId="14" applyAlignment="1" pivotButton="0" quotePrefix="0" xfId="0">
      <alignment horizontal="general" vertical="bottom"/>
    </xf>
    <xf numFmtId="4" fontId="32" fillId="7" borderId="15" applyAlignment="1" pivotButton="0" quotePrefix="0" xfId="0">
      <alignment horizontal="general" vertical="bottom"/>
    </xf>
    <xf numFmtId="0" fontId="21" fillId="5" borderId="15" applyAlignment="1" pivotButton="0" quotePrefix="0" xfId="0">
      <alignment horizontal="general" vertical="bottom"/>
    </xf>
    <xf numFmtId="0" fontId="29" fillId="9" borderId="16" applyAlignment="1" pivotButton="0" quotePrefix="0" xfId="0">
      <alignment horizontal="center" vertical="center"/>
    </xf>
    <xf numFmtId="0" fontId="31" fillId="9" borderId="17" applyAlignment="1" pivotButton="0" quotePrefix="0" xfId="0">
      <alignment horizontal="center" vertical="center" wrapText="1"/>
    </xf>
    <xf numFmtId="0" fontId="31" fillId="9" borderId="17" applyAlignment="1" pivotButton="0" quotePrefix="0" xfId="0">
      <alignment horizontal="center" vertical="center"/>
    </xf>
    <xf numFmtId="0" fontId="32" fillId="5" borderId="17" applyAlignment="1" pivotButton="0" quotePrefix="0" xfId="0">
      <alignment horizontal="general" vertical="bottom"/>
    </xf>
    <xf numFmtId="0" fontId="32" fillId="5" borderId="18" applyAlignment="1" pivotButton="0" quotePrefix="0" xfId="0">
      <alignment horizontal="general" vertical="bottom"/>
    </xf>
    <xf numFmtId="0" fontId="32" fillId="7" borderId="13" applyAlignment="1" pivotButton="0" quotePrefix="0" xfId="0">
      <alignment horizontal="general" vertical="bottom"/>
    </xf>
    <xf numFmtId="0" fontId="32" fillId="7" borderId="14" applyAlignment="1" pivotButton="0" quotePrefix="0" xfId="0">
      <alignment horizontal="general" vertical="bottom"/>
    </xf>
    <xf numFmtId="0" fontId="32" fillId="7" borderId="15" applyAlignment="1" pivotButton="0" quotePrefix="0" xfId="0">
      <alignment horizontal="general" vertical="bottom"/>
    </xf>
    <xf numFmtId="0" fontId="32" fillId="9" borderId="13" applyAlignment="1" pivotButton="0" quotePrefix="0" xfId="0">
      <alignment horizontal="general" vertical="bottom"/>
    </xf>
    <xf numFmtId="4" fontId="32" fillId="5" borderId="15" applyAlignment="1" pivotButton="0" quotePrefix="0" xfId="0">
      <alignment horizontal="general" vertical="bottom"/>
    </xf>
    <xf numFmtId="0" fontId="32" fillId="9" borderId="16" applyAlignment="1" pivotButton="0" quotePrefix="0" xfId="0">
      <alignment horizontal="general" vertical="bottom"/>
    </xf>
    <xf numFmtId="4" fontId="32" fillId="5" borderId="18" applyAlignment="1" pivotButton="0" quotePrefix="0" xfId="0">
      <alignment horizontal="general" vertical="bottom"/>
    </xf>
    <xf numFmtId="0" fontId="32" fillId="5" borderId="0" applyAlignment="1" pivotButton="0" quotePrefix="0" xfId="0">
      <alignment horizontal="general" vertical="bottom"/>
    </xf>
    <xf numFmtId="4" fontId="32" fillId="5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5" fillId="2" borderId="14" applyAlignment="1" pivotButton="0" quotePrefix="0" xfId="0">
      <alignment horizontal="left" vertical="center"/>
    </xf>
    <xf numFmtId="0" fontId="36" fillId="10" borderId="14" applyAlignment="1" pivotButton="0" quotePrefix="0" xfId="0">
      <alignment horizontal="center" vertical="center"/>
    </xf>
    <xf numFmtId="0" fontId="37" fillId="10" borderId="14" applyAlignment="1" pivotButton="0" quotePrefix="0" xfId="0">
      <alignment horizontal="general" vertical="bottom"/>
    </xf>
    <xf numFmtId="0" fontId="38" fillId="0" borderId="22" applyAlignment="1" pivotButton="0" quotePrefix="0" xfId="0">
      <alignment horizontal="general" vertical="bottom"/>
    </xf>
    <xf numFmtId="0" fontId="38" fillId="0" borderId="14" applyAlignment="1" pivotButton="0" quotePrefix="0" xfId="0">
      <alignment horizontal="general" vertical="bottom"/>
    </xf>
    <xf numFmtId="0" fontId="29" fillId="0" borderId="14" applyAlignment="1" pivotButton="0" quotePrefix="0" xfId="0">
      <alignment horizontal="general" vertical="bottom"/>
    </xf>
    <xf numFmtId="0" fontId="31" fillId="0" borderId="22" applyAlignment="1" pivotButton="0" quotePrefix="0" xfId="0">
      <alignment horizontal="general" vertical="bottom"/>
    </xf>
    <xf numFmtId="0" fontId="31" fillId="0" borderId="14" applyAlignment="1" pivotButton="0" quotePrefix="0" xfId="0">
      <alignment horizontal="general" vertical="bottom"/>
    </xf>
    <xf numFmtId="10" fontId="29" fillId="0" borderId="14" applyAlignment="1" pivotButton="0" quotePrefix="0" xfId="0">
      <alignment horizontal="general" vertical="bottom"/>
    </xf>
    <xf numFmtId="0" fontId="29" fillId="5" borderId="14" applyAlignment="1" pivotButton="0" quotePrefix="0" xfId="0">
      <alignment horizontal="general" vertical="bottom"/>
    </xf>
    <xf numFmtId="0" fontId="35" fillId="2" borderId="0" applyAlignment="1" pivotButton="0" quotePrefix="0" xfId="0">
      <alignment horizontal="left" vertical="center"/>
    </xf>
    <xf numFmtId="0" fontId="36" fillId="10" borderId="23" applyAlignment="1" pivotButton="0" quotePrefix="0" xfId="0">
      <alignment horizontal="left" vertical="center"/>
    </xf>
    <xf numFmtId="0" fontId="39" fillId="0" borderId="14" applyAlignment="1" pivotButton="0" quotePrefix="0" xfId="0">
      <alignment horizontal="general" vertical="bottom"/>
    </xf>
    <xf numFmtId="10" fontId="39" fillId="0" borderId="14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36" fillId="10" borderId="14" applyAlignment="1" pivotButton="0" quotePrefix="0" xfId="0">
      <alignment horizontal="left" vertical="center"/>
    </xf>
    <xf numFmtId="0" fontId="40" fillId="10" borderId="14" applyAlignment="1" pivotButton="0" quotePrefix="0" xfId="0">
      <alignment horizontal="left" vertical="center"/>
    </xf>
    <xf numFmtId="0" fontId="36" fillId="10" borderId="20" applyAlignment="1" pivotButton="0" quotePrefix="0" xfId="0">
      <alignment horizontal="center" vertical="center"/>
    </xf>
    <xf numFmtId="0" fontId="33" fillId="0" borderId="0" applyAlignment="1" pivotButton="0" quotePrefix="0" xfId="0">
      <alignment horizontal="general" vertical="bottom"/>
    </xf>
    <xf numFmtId="0" fontId="41" fillId="2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17" fillId="11" borderId="24" applyAlignment="1" pivotButton="0" quotePrefix="0" xfId="0">
      <alignment horizontal="center" vertical="center"/>
    </xf>
    <xf numFmtId="166" fontId="0" fillId="12" borderId="24" applyAlignment="1" pivotButton="0" quotePrefix="0" xfId="0">
      <alignment horizontal="center" vertical="center"/>
    </xf>
    <xf numFmtId="4" fontId="0" fillId="5" borderId="24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17" fillId="7" borderId="24" applyAlignment="1" pivotButton="0" quotePrefix="0" xfId="0">
      <alignment horizontal="center" vertical="center"/>
    </xf>
    <xf numFmtId="4" fontId="17" fillId="7" borderId="24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 vertical="center"/>
    </xf>
    <xf numFmtId="0" fontId="45" fillId="0" borderId="25" applyAlignment="1" pivotButton="0" quotePrefix="0" xfId="0">
      <alignment horizontal="center" vertical="center"/>
    </xf>
    <xf numFmtId="0" fontId="0" fillId="0" borderId="25" pivotButton="0" quotePrefix="0" xfId="0"/>
    <xf numFmtId="0" fontId="46" fillId="4" borderId="26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2" pivotButton="0" quotePrefix="0" xfId="0"/>
    <xf numFmtId="0" fontId="5" fillId="0" borderId="26" applyAlignment="1" pivotButton="0" quotePrefix="0" xfId="0">
      <alignment horizontal="center" vertical="center"/>
    </xf>
    <xf numFmtId="165" fontId="5" fillId="0" borderId="0" applyAlignment="1" pivotButton="0" quotePrefix="0" xfId="0">
      <alignment horizontal="general" vertical="bottom"/>
    </xf>
    <xf numFmtId="9" fontId="47" fillId="6" borderId="26" applyAlignment="1" pivotButton="0" quotePrefix="0" xfId="0">
      <alignment horizontal="center" vertical="center"/>
    </xf>
    <xf numFmtId="3" fontId="5" fillId="0" borderId="26" applyAlignment="1" pivotButton="0" quotePrefix="0" xfId="0">
      <alignment horizontal="center" vertical="center"/>
    </xf>
    <xf numFmtId="0" fontId="48" fillId="0" borderId="26" applyAlignment="1" pivotButton="0" quotePrefix="0" xfId="0">
      <alignment horizontal="center" vertical="center"/>
    </xf>
    <xf numFmtId="0" fontId="5" fillId="5" borderId="0" applyAlignment="1" pivotButton="0" quotePrefix="0" xfId="0">
      <alignment horizontal="general" vertical="bottom"/>
    </xf>
    <xf numFmtId="0" fontId="37" fillId="4" borderId="26" applyAlignment="1" pivotButton="0" quotePrefix="0" xfId="0">
      <alignment horizontal="center" vertical="center" wrapText="1"/>
    </xf>
    <xf numFmtId="0" fontId="5" fillId="13" borderId="26" applyAlignment="1" pivotButton="0" quotePrefix="0" xfId="0">
      <alignment horizontal="center" vertical="center"/>
    </xf>
    <xf numFmtId="0" fontId="5" fillId="13" borderId="27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bottom"/>
    </xf>
    <xf numFmtId="0" fontId="50" fillId="0" borderId="0" applyAlignment="1" pivotButton="0" quotePrefix="0" xfId="0">
      <alignment horizontal="center" vertical="bottom"/>
    </xf>
    <xf numFmtId="0" fontId="37" fillId="4" borderId="28" applyAlignment="1" pivotButton="0" quotePrefix="0" xfId="0">
      <alignment horizontal="general" vertical="center" wrapText="1"/>
    </xf>
    <xf numFmtId="0" fontId="51" fillId="14" borderId="29" applyAlignment="1" pivotButton="0" quotePrefix="0" xfId="0">
      <alignment horizontal="center" vertical="center"/>
    </xf>
    <xf numFmtId="0" fontId="0" fillId="0" borderId="29" pivotButton="0" quotePrefix="0" xfId="0"/>
    <xf numFmtId="0" fontId="41" fillId="4" borderId="30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5" pivotButton="0" quotePrefix="0" xfId="0"/>
    <xf numFmtId="0" fontId="0" fillId="0" borderId="66" pivotButton="0" quotePrefix="0" xfId="0"/>
    <xf numFmtId="0" fontId="52" fillId="0" borderId="0" applyAlignment="1" pivotButton="0" quotePrefix="0" xfId="0">
      <alignment horizontal="center" vertical="bottom"/>
    </xf>
    <xf numFmtId="0" fontId="53" fillId="4" borderId="30" applyAlignment="1" pivotButton="0" quotePrefix="0" xfId="0">
      <alignment horizontal="center" vertical="center"/>
    </xf>
    <xf numFmtId="0" fontId="54" fillId="4" borderId="26" applyAlignment="1" pivotButton="0" quotePrefix="0" xfId="0">
      <alignment horizontal="center" vertical="center" wrapText="1"/>
    </xf>
    <xf numFmtId="164" fontId="0" fillId="0" borderId="30" applyAlignment="1" pivotButton="0" quotePrefix="0" xfId="0">
      <alignment horizontal="general" vertical="bottom"/>
    </xf>
    <xf numFmtId="4" fontId="0" fillId="0" borderId="30" applyAlignment="1" pivotButton="0" quotePrefix="0" xfId="0">
      <alignment horizontal="general" vertical="bottom"/>
    </xf>
    <xf numFmtId="0" fontId="0" fillId="0" borderId="30" applyAlignment="1" pivotButton="0" quotePrefix="0" xfId="0">
      <alignment horizontal="general" vertical="bottom"/>
    </xf>
    <xf numFmtId="164" fontId="0" fillId="14" borderId="30" applyAlignment="1" pivotButton="0" quotePrefix="0" xfId="0">
      <alignment horizontal="general" vertical="bottom"/>
    </xf>
    <xf numFmtId="4" fontId="0" fillId="15" borderId="30" applyAlignment="1" pivotButton="0" quotePrefix="0" xfId="0">
      <alignment horizontal="general" vertical="bottom"/>
    </xf>
    <xf numFmtId="0" fontId="0" fillId="14" borderId="30" applyAlignment="1" pivotButton="0" quotePrefix="0" xfId="0">
      <alignment horizontal="general" vertical="bottom"/>
    </xf>
    <xf numFmtId="0" fontId="0" fillId="15" borderId="30" applyAlignment="1" pivotButton="0" quotePrefix="0" xfId="0">
      <alignment horizontal="general" vertical="bottom"/>
    </xf>
    <xf numFmtId="4" fontId="54" fillId="4" borderId="26" applyAlignment="1" pivotButton="0" quotePrefix="0" xfId="0">
      <alignment horizontal="center" vertical="center" wrapText="1"/>
    </xf>
    <xf numFmtId="0" fontId="54" fillId="16" borderId="30" applyAlignment="1" pivotButton="0" quotePrefix="0" xfId="0">
      <alignment horizontal="center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15">
    <dxf>
      <fill>
        <patternFill>
          <bgColor rgb="FFFFC7CE"/>
        </patternFill>
      </fill>
    </dxf>
    <dxf>
      <fill>
        <patternFill patternType="solid">
          <fgColor rgb="FF953735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8CC8A4"/>
        </patternFill>
      </fill>
    </dxf>
    <dxf>
      <fill>
        <patternFill>
          <bgColor rgb="FF0B6B63"/>
        </patternFill>
      </fill>
    </dxf>
    <dxf>
      <fill>
        <patternFill>
          <bgColor rgb="FFBD2137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CEFEB"/>
        </patternFill>
      </fill>
    </dxf>
    <dxf>
      <fill>
        <patternFill patternType="solid">
          <fgColor rgb="FFBD757F"/>
          <bgColor rgb="FF000000"/>
        </patternFill>
      </fill>
    </dxf>
    <dxf>
      <fill>
        <patternFill patternType="solid">
          <fgColor rgb="FFDCE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EF5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8E8E8"/>
      <rgbColor rgb="FFFF00FF"/>
      <rgbColor rgb="FF00FFFF"/>
      <rgbColor rgb="FF800000"/>
      <rgbColor rgb="FF008000"/>
      <rgbColor rgb="FF000080"/>
      <rgbColor rgb="FF808000"/>
      <rgbColor rgb="FF800080"/>
      <rgbColor rgb="FF0B6B63"/>
      <rgbColor rgb="FFB7C8C5"/>
      <rgbColor rgb="FFBD757F"/>
      <rgbColor rgb="FFF2DCDB"/>
      <rgbColor rgb="FF953735"/>
      <rgbColor rgb="FFFFF2CC"/>
      <rgbColor rgb="FFDCEFEB"/>
      <rgbColor rgb="FF660066"/>
      <rgbColor rgb="FFD99694"/>
      <rgbColor rgb="FF0066CC"/>
      <rgbColor rgb="FFB9CCC8"/>
      <rgbColor rgb="FF000080"/>
      <rgbColor rgb="FFFF00FF"/>
      <rgbColor rgb="FFF2F2F2"/>
      <rgbColor rgb="FF00FFFF"/>
      <rgbColor rgb="FF800080"/>
      <rgbColor rgb="FF800000"/>
      <rgbColor rgb="FF215968"/>
      <rgbColor rgb="FF0000FF"/>
      <rgbColor rgb="FF00CCFF"/>
      <rgbColor rgb="FFE7EFEC"/>
      <rgbColor rgb="FFEEF5F3"/>
      <rgbColor rgb="FFFDE9D9"/>
      <rgbColor rgb="FF8CC8A4"/>
      <rgbColor rgb="FFE6B9B8"/>
      <rgbColor rgb="FFFFC7CE"/>
      <rgbColor rgb="FFF4CCCC"/>
      <rgbColor rgb="FF3366FF"/>
      <rgbColor rgb="FF33CCCC"/>
      <rgbColor rgb="FF99CC00"/>
      <rgbColor rgb="FFFFCC00"/>
      <rgbColor rgb="FFFF9900"/>
      <rgbColor rgb="FFFF6600"/>
      <rgbColor rgb="FF5C6770"/>
      <rgbColor rgb="FF7F9E9A"/>
      <rgbColor rgb="FF17324D"/>
      <rgbColor rgb="FF339966"/>
      <rgbColor rgb="FF023C39"/>
      <rgbColor rgb="FF333300"/>
      <rgbColor rgb="FF993300"/>
      <rgbColor rgb="FFBD2137"/>
      <rgbColor rgb="FF333399"/>
      <rgbColor rgb="FF2632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MonthlySummaryTable" displayName="MonthlySummaryTable" ref="A7:F19" headerRowCount="1" totalsRowCount="0" totalsRowShown="0">
  <tableColumns count="6">
    <tableColumn id="1" name="Month"/>
    <tableColumn id="2" name="Energy Consumption"/>
    <tableColumn id="3" name="Water Consumption"/>
    <tableColumn id="4" name="Gas Consumption"/>
    <tableColumn id="5" name="Chilled Water Consumption"/>
    <tableColumn id="6" name="All Utiliti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Relationship Type="http://schemas.openxmlformats.org/officeDocument/2006/relationships/hyperlink" Target="../../Main_Consumption_SharePoint_Ready.xlsx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Relationship Type="http://schemas.openxmlformats.org/officeDocument/2006/relationships/hyperlink" Target="../../Main_Consumption_SharePoint_Ready.xlsx" TargetMode="External" Id="rId17"/><Relationship Type="http://schemas.openxmlformats.org/officeDocument/2006/relationships/hyperlink" Target="../../Main_Consumption_SharePoint_Ready.xlsx" TargetMode="External" Id="rId18"/><Relationship Type="http://schemas.openxmlformats.org/officeDocument/2006/relationships/hyperlink" Target="../../Main_Consumption_SharePoint_Ready.xlsx" TargetMode="External" Id="rId19"/><Relationship Type="http://schemas.openxmlformats.org/officeDocument/2006/relationships/hyperlink" Target="../../Main_Consumption_SharePoint_Ready.xlsx" TargetMode="External" Id="rId20"/><Relationship Type="http://schemas.openxmlformats.org/officeDocument/2006/relationships/hyperlink" Target="../../Main_Consumption_SharePoint_Ready.xlsx" TargetMode="External" Id="rId21"/><Relationship Type="http://schemas.openxmlformats.org/officeDocument/2006/relationships/hyperlink" Target="../../Main_Consumption_SharePoint_Ready.xlsx" TargetMode="External" Id="rId22"/><Relationship Type="http://schemas.openxmlformats.org/officeDocument/2006/relationships/hyperlink" Target="../../Main_Consumption_SharePoint_Ready.xlsx" TargetMode="External" Id="rId23"/><Relationship Type="http://schemas.openxmlformats.org/officeDocument/2006/relationships/hyperlink" Target="../../Main_Consumption_SharePoint_Ready.xlsx" TargetMode="External" Id="rId24"/><Relationship Type="http://schemas.openxmlformats.org/officeDocument/2006/relationships/hyperlink" Target="../../Main_Consumption_SharePoint_Ready.xlsx" TargetMode="External" Id="rId25"/><Relationship Type="http://schemas.openxmlformats.org/officeDocument/2006/relationships/table" Target="/xl/tables/table1.xml" Id="rId26"/></Relationships>
</file>

<file path=xl/worksheets/_rels/sheet7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8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11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13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14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15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16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17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_rels/sheet18.xml.rels><Relationships xmlns="http://schemas.openxmlformats.org/package/2006/relationships"><Relationship Type="http://schemas.openxmlformats.org/officeDocument/2006/relationships/hyperlink" Target="../../Main_Consumption_SharePoint_Ready.xlsx" TargetMode="External" Id="rId1"/><Relationship Type="http://schemas.openxmlformats.org/officeDocument/2006/relationships/hyperlink" Target="../../Main_Consumption_SharePoint_Ready.xlsx" TargetMode="External" Id="rId2"/><Relationship Type="http://schemas.openxmlformats.org/officeDocument/2006/relationships/hyperlink" Target="../../Main_Consumption_SharePoint_Ready.xlsx" TargetMode="External" Id="rId3"/><Relationship Type="http://schemas.openxmlformats.org/officeDocument/2006/relationships/hyperlink" Target="../../Main_Consumption_SharePoint_Ready.xlsx" TargetMode="External" Id="rId4"/><Relationship Type="http://schemas.openxmlformats.org/officeDocument/2006/relationships/hyperlink" Target="../../Main_Consumption_SharePoint_Ready.xlsx" TargetMode="External" Id="rId5"/><Relationship Type="http://schemas.openxmlformats.org/officeDocument/2006/relationships/hyperlink" Target="../../Main_Consumption_SharePoint_Ready.xlsx" TargetMode="External" Id="rId6"/><Relationship Type="http://schemas.openxmlformats.org/officeDocument/2006/relationships/hyperlink" Target="../../Main_Consumption_SharePoint_Ready.xlsx" TargetMode="External" Id="rId7"/><Relationship Type="http://schemas.openxmlformats.org/officeDocument/2006/relationships/hyperlink" Target="../../Main_Consumption_SharePoint_Ready.xlsx" TargetMode="External" Id="rId8"/><Relationship Type="http://schemas.openxmlformats.org/officeDocument/2006/relationships/hyperlink" Target="../../Main_Consumption_SharePoint_Ready.xlsx" TargetMode="External" Id="rId9"/><Relationship Type="http://schemas.openxmlformats.org/officeDocument/2006/relationships/hyperlink" Target="../../Main_Consumption_SharePoint_Ready.xlsx" TargetMode="External" Id="rId10"/><Relationship Type="http://schemas.openxmlformats.org/officeDocument/2006/relationships/hyperlink" Target="../../Main_Consumption_SharePoint_Ready.xlsx" TargetMode="External" Id="rId11"/><Relationship Type="http://schemas.openxmlformats.org/officeDocument/2006/relationships/hyperlink" Target="../../Main_Consumption_SharePoint_Ready.xlsx" TargetMode="External" Id="rId12"/><Relationship Type="http://schemas.openxmlformats.org/officeDocument/2006/relationships/hyperlink" Target="../../Main_Consumption_SharePoint_Ready.xlsx" TargetMode="External" Id="rId13"/><Relationship Type="http://schemas.openxmlformats.org/officeDocument/2006/relationships/hyperlink" Target="../../Main_Consumption_SharePoint_Ready.xlsx" TargetMode="External" Id="rId14"/><Relationship Type="http://schemas.openxmlformats.org/officeDocument/2006/relationships/hyperlink" Target="../../Main_Consumption_SharePoint_Ready.xlsx" TargetMode="External" Id="rId15"/><Relationship Type="http://schemas.openxmlformats.org/officeDocument/2006/relationships/hyperlink" Target="../../Main_Consumption_SharePoint_Ready.xlsx" TargetMode="External" Id="rId16"/></Relationships>
</file>

<file path=xl/worksheets/sheet1.xml><?xml version="1.0" encoding="utf-8"?>
<worksheet xmlns="http://schemas.openxmlformats.org/spreadsheetml/2006/main">
  <sheetPr filterMode="0">
    <tabColor rgb="FF215968"/>
    <outlinePr summaryBelow="1" summaryRight="1"/>
    <pageSetUpPr fitToPage="0"/>
  </sheetPr>
  <dimension ref="A1:P54"/>
  <sheetViews>
    <sheetView showFormulas="0" showGridLines="0" showRowColHeaders="1" showZeros="1" rightToLeft="0" tabSelected="0" showOutlineSymbols="1" defaultGridColor="1" view="normal" topLeftCell="A1" colorId="64" zoomScale="49" zoomScaleNormal="49" zoomScalePageLayoutView="100" workbookViewId="0">
      <selection pane="topLeft" activeCell="I6" activeCellId="0" sqref="I6"/>
    </sheetView>
  </sheetViews>
  <sheetFormatPr baseColWidth="8" defaultColWidth="8.71484375" defaultRowHeight="14.25" customHeight="1" zeroHeight="0" outlineLevelRow="0"/>
  <cols>
    <col width="14" customWidth="1" style="165" min="1" max="14"/>
  </cols>
  <sheetData>
    <row r="1" ht="97.5" customHeight="1" s="166">
      <c r="B1" s="167" t="n"/>
    </row>
    <row r="2" ht="30" customHeight="1" s="166">
      <c r="B2" s="168" t="inlineStr">
        <is>
          <t>MAIN CONSUMPTION CONTROL CENTER</t>
        </is>
      </c>
      <c r="M2" s="169" t="n"/>
      <c r="O2" s="170" t="n"/>
      <c r="P2" s="170" t="n"/>
    </row>
    <row r="3" ht="24" customHeight="1" s="166">
      <c r="A3" s="171" t="n"/>
      <c r="M3" s="169" t="n"/>
      <c r="N3" s="170" t="n"/>
      <c r="O3" s="170" t="n"/>
      <c r="P3" s="170" t="n"/>
    </row>
    <row r="4" ht="24" customHeight="1" s="166">
      <c r="A4" s="170" t="n"/>
      <c r="B4" s="172" t="n"/>
      <c r="C4" s="172" t="n"/>
      <c r="D4" s="172" t="n"/>
      <c r="E4" s="172" t="n"/>
      <c r="F4" s="172" t="n"/>
      <c r="G4" s="172" t="n"/>
      <c r="H4" s="172" t="n"/>
      <c r="I4" s="172" t="n"/>
      <c r="J4" s="172" t="n"/>
      <c r="K4" s="172" t="n"/>
      <c r="L4" s="172" t="n"/>
      <c r="M4" s="169" t="n"/>
      <c r="N4" s="170" t="n"/>
      <c r="O4" s="170" t="n"/>
      <c r="P4" s="170" t="n"/>
    </row>
    <row r="5" ht="24" customHeight="1" s="166">
      <c r="A5" s="170" t="n"/>
      <c r="B5" s="173" t="inlineStr">
        <is>
          <t>01 OCTOBER 2026 → 30 SEPTEMBER 2027  |  Energy • Water • Gas • Chilled Water • LPG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5" t="n"/>
      <c r="M5" s="169" t="n"/>
      <c r="N5" s="170" t="n"/>
      <c r="O5" s="176" t="n"/>
      <c r="P5" s="170" t="n"/>
    </row>
    <row r="6" ht="24" customHeight="1" s="166">
      <c r="A6" s="170" t="n"/>
      <c r="B6" s="177">
        <f>HYPERLINK("#'DAILY CONSUMPTION'!A1","DAILY CONSUMPTION")</f>
        <v/>
      </c>
      <c r="E6" s="178" t="n"/>
      <c r="F6" s="179">
        <f>HYPERLINK("#'Utility Budget &amp; Actual'!A1","Utility Budget &amp; Actual")</f>
        <v/>
      </c>
      <c r="G6" s="180" t="n"/>
      <c r="H6" s="181" t="n"/>
      <c r="I6" s="182">
        <f>HYPERLINK("#'LPG Dashboard'!A1","LPG Dashboard")</f>
        <v/>
      </c>
      <c r="J6" s="180" t="n"/>
      <c r="K6" s="180" t="n"/>
      <c r="L6" s="183" t="n"/>
      <c r="M6" s="169" t="n"/>
    </row>
    <row r="7" ht="27.75" customHeight="1" s="166">
      <c r="A7" s="170" t="n"/>
      <c r="B7" s="184" t="n"/>
      <c r="E7" s="178" t="n"/>
      <c r="F7" s="184" t="n"/>
      <c r="H7" s="178" t="n"/>
      <c r="L7" s="185" t="n"/>
      <c r="M7" s="169" t="n"/>
    </row>
    <row r="8" ht="27.75" customHeight="1" s="166">
      <c r="A8" s="170" t="n"/>
      <c r="B8" s="186" t="n"/>
      <c r="C8" s="187" t="n"/>
      <c r="D8" s="187" t="n"/>
      <c r="E8" s="188" t="n"/>
      <c r="F8" s="186" t="n"/>
      <c r="G8" s="187" t="n"/>
      <c r="H8" s="188" t="n"/>
      <c r="I8" s="189" t="n"/>
      <c r="J8" s="189" t="n"/>
      <c r="K8" s="189" t="n"/>
      <c r="L8" s="190" t="n"/>
      <c r="M8" s="191" t="n"/>
    </row>
    <row r="9" ht="27.75" customHeight="1" s="166">
      <c r="A9" s="170" t="n"/>
      <c r="M9" s="191" t="n"/>
      <c r="N9" s="170" t="n"/>
      <c r="O9" s="170" t="n"/>
      <c r="P9" s="170" t="n"/>
    </row>
    <row r="10" ht="27.75" customHeight="1" s="166">
      <c r="A10" s="170" t="n"/>
      <c r="D10" s="179">
        <f>HYPERLINK("#'Daily Comparison'!A1","Daily Comparison")</f>
        <v/>
      </c>
      <c r="E10" s="180" t="n"/>
      <c r="F10" s="181" t="n"/>
      <c r="H10" s="179">
        <f>HYPERLINK("#'Monthly Summary'!A1","Monthly Summary")</f>
        <v/>
      </c>
      <c r="I10" s="180" t="n"/>
      <c r="J10" s="181" t="n"/>
      <c r="M10" s="191" t="n"/>
      <c r="N10" s="170" t="n"/>
      <c r="O10" s="170" t="n"/>
      <c r="P10" s="170" t="n"/>
    </row>
    <row r="11" ht="27.75" customHeight="1" s="166">
      <c r="A11" s="170" t="n"/>
      <c r="D11" s="184" t="n"/>
      <c r="F11" s="178" t="n"/>
      <c r="H11" s="184" t="n"/>
      <c r="J11" s="178" t="n"/>
      <c r="M11" s="191" t="n"/>
      <c r="N11" s="170" t="n"/>
      <c r="O11" s="170" t="n"/>
      <c r="P11" s="170" t="n"/>
    </row>
    <row r="12" ht="27.75" customHeight="1" s="166">
      <c r="A12" s="170" t="n"/>
      <c r="D12" s="186" t="n"/>
      <c r="E12" s="187" t="n"/>
      <c r="F12" s="188" t="n"/>
      <c r="H12" s="186" t="n"/>
      <c r="I12" s="187" t="n"/>
      <c r="J12" s="188" t="n"/>
      <c r="M12" s="191" t="n"/>
      <c r="N12" s="170" t="n"/>
      <c r="O12" s="170" t="n"/>
      <c r="P12" s="170" t="n"/>
    </row>
    <row r="13" ht="14.25" customHeight="1" s="166">
      <c r="A13" s="170" t="n"/>
      <c r="B13" s="191" t="n"/>
      <c r="C13" s="191" t="n"/>
      <c r="D13" s="191" t="n"/>
      <c r="E13" s="191" t="n"/>
      <c r="F13" s="191" t="n"/>
      <c r="G13" s="191" t="n"/>
      <c r="H13" s="191" t="n"/>
      <c r="I13" s="191" t="n"/>
      <c r="J13" s="191" t="n"/>
      <c r="K13" s="191" t="n"/>
      <c r="L13" s="191" t="n"/>
      <c r="M13" s="191" t="n"/>
      <c r="N13" s="170" t="n"/>
      <c r="O13" s="170" t="n"/>
      <c r="P13" s="170" t="n"/>
    </row>
    <row r="14" ht="33.75" customHeight="1" s="166">
      <c r="A14" s="170" t="n"/>
      <c r="B14" s="192" t="inlineStr">
        <is>
          <t>MONTHLY CONSUMPTION</t>
        </is>
      </c>
      <c r="C14" s="193" t="n"/>
      <c r="D14" s="193" t="n"/>
      <c r="E14" s="193" t="n"/>
      <c r="F14" s="193" t="n"/>
      <c r="G14" s="193" t="n"/>
      <c r="H14" s="193" t="n"/>
      <c r="I14" s="193" t="n"/>
      <c r="J14" s="193" t="n"/>
      <c r="K14" s="193" t="n"/>
      <c r="L14" s="193" t="n"/>
      <c r="M14" s="191" t="n"/>
      <c r="N14" s="170" t="n"/>
      <c r="O14" s="170" t="n"/>
      <c r="P14" s="170" t="n"/>
    </row>
    <row r="15" ht="24" customHeight="1" s="166">
      <c r="A15" s="170" t="n"/>
      <c r="B15" s="191" t="n"/>
      <c r="C15" s="191" t="n"/>
      <c r="D15" s="191" t="n"/>
      <c r="E15" s="191" t="n"/>
      <c r="F15" s="191" t="n"/>
      <c r="G15" s="191" t="n"/>
      <c r="H15" s="191" t="n"/>
      <c r="I15" s="191" t="n"/>
      <c r="J15" s="191" t="n"/>
      <c r="K15" s="191" t="n"/>
      <c r="L15" s="191" t="n"/>
      <c r="M15" s="191" t="n"/>
      <c r="N15" s="170" t="n"/>
      <c r="O15" s="170" t="n"/>
      <c r="P15" s="170" t="n"/>
    </row>
    <row r="16" ht="24" customHeight="1" s="166">
      <c r="A16" s="170" t="n"/>
      <c r="B16" s="194">
        <f>HYPERLINK("#'Oct 2026'!A1","Oct 2026")</f>
        <v/>
      </c>
      <c r="C16" s="195" t="n"/>
      <c r="D16" s="191" t="n"/>
      <c r="E16" s="194">
        <f>HYPERLINK("#'Nov 2026'!A1","Nov 2026")</f>
        <v/>
      </c>
      <c r="F16" s="195" t="n"/>
      <c r="G16" s="191" t="n"/>
      <c r="H16" s="194">
        <f>HYPERLINK("#'Dec 2026'!A1","Dec 2026")</f>
        <v/>
      </c>
      <c r="I16" s="195" t="n"/>
      <c r="J16" s="191" t="n"/>
      <c r="K16" s="194">
        <f>HYPERLINK("#'Jan 2027'!A1","Jan 2027")</f>
        <v/>
      </c>
      <c r="L16" s="195" t="n"/>
      <c r="M16" s="191" t="n"/>
      <c r="N16" s="170" t="n"/>
      <c r="O16" s="170" t="n"/>
      <c r="P16" s="170" t="n"/>
    </row>
    <row r="17" ht="24" customHeight="1" s="166">
      <c r="A17" s="170" t="n"/>
      <c r="B17" s="196" t="n"/>
      <c r="C17" s="197" t="n"/>
      <c r="D17" s="191" t="n"/>
      <c r="E17" s="196" t="n"/>
      <c r="F17" s="197" t="n"/>
      <c r="G17" s="191" t="n"/>
      <c r="H17" s="196" t="n"/>
      <c r="I17" s="197" t="n"/>
      <c r="J17" s="191" t="n"/>
      <c r="K17" s="196" t="n"/>
      <c r="L17" s="197" t="n"/>
      <c r="M17" s="191" t="n"/>
      <c r="N17" s="170" t="n"/>
      <c r="O17" s="170" t="n"/>
      <c r="P17" s="170" t="n"/>
    </row>
    <row r="18" ht="24" customHeight="1" s="166">
      <c r="A18" s="170" t="n"/>
      <c r="B18" s="191" t="n"/>
      <c r="C18" s="191" t="n"/>
      <c r="D18" s="191" t="n"/>
      <c r="E18" s="191" t="n"/>
      <c r="F18" s="191" t="n"/>
      <c r="G18" s="191" t="n"/>
      <c r="H18" s="191" t="n"/>
      <c r="I18" s="191" t="n"/>
      <c r="J18" s="191" t="n"/>
      <c r="K18" s="191" t="n"/>
      <c r="L18" s="191" t="n"/>
      <c r="M18" s="191" t="n"/>
      <c r="N18" s="170" t="n"/>
      <c r="O18" s="170" t="n"/>
      <c r="P18" s="170" t="n"/>
    </row>
    <row r="19" ht="24" customHeight="1" s="166">
      <c r="A19" s="170" t="n"/>
      <c r="B19" s="194">
        <f>HYPERLINK("#'Feb 2027'!A1","Feb 2027")</f>
        <v/>
      </c>
      <c r="C19" s="195" t="n"/>
      <c r="D19" s="191" t="n"/>
      <c r="E19" s="194">
        <f>HYPERLINK("#'Mar 2027'!A1","Mar 2027")</f>
        <v/>
      </c>
      <c r="F19" s="195" t="n"/>
      <c r="G19" s="191" t="n"/>
      <c r="H19" s="194">
        <f>HYPERLINK("#'Apr 2027'!A1","Apr 2027")</f>
        <v/>
      </c>
      <c r="I19" s="195" t="n"/>
      <c r="J19" s="191" t="n"/>
      <c r="K19" s="194">
        <f>HYPERLINK("#'May 2027'!A1","May 2027")</f>
        <v/>
      </c>
      <c r="L19" s="195" t="n"/>
      <c r="M19" s="191" t="n"/>
      <c r="N19" s="170" t="n"/>
      <c r="O19" s="170" t="n"/>
      <c r="P19" s="170" t="n"/>
    </row>
    <row r="20" ht="24" customHeight="1" s="166">
      <c r="A20" s="170" t="n"/>
      <c r="B20" s="196" t="n"/>
      <c r="C20" s="197" t="n"/>
      <c r="D20" s="191" t="n"/>
      <c r="E20" s="196" t="n"/>
      <c r="F20" s="197" t="n"/>
      <c r="G20" s="191" t="n"/>
      <c r="H20" s="196" t="n"/>
      <c r="I20" s="197" t="n"/>
      <c r="J20" s="191" t="n"/>
      <c r="K20" s="196" t="n"/>
      <c r="L20" s="197" t="n"/>
      <c r="M20" s="191" t="n"/>
      <c r="N20" s="170" t="n"/>
      <c r="O20" s="170" t="n"/>
      <c r="P20" s="170" t="n"/>
    </row>
    <row r="21" ht="24" customHeight="1" s="166">
      <c r="A21" s="170" t="n"/>
      <c r="B21" s="191" t="n"/>
      <c r="C21" s="191" t="n"/>
      <c r="D21" s="191" t="n"/>
      <c r="E21" s="191" t="n"/>
      <c r="F21" s="191" t="n"/>
      <c r="G21" s="191" t="n"/>
      <c r="H21" s="191" t="n"/>
      <c r="I21" s="191" t="n"/>
      <c r="J21" s="191" t="n"/>
      <c r="K21" s="191" t="n"/>
      <c r="L21" s="191" t="n"/>
      <c r="M21" s="191" t="n"/>
      <c r="N21" s="170" t="n"/>
      <c r="O21" s="170" t="n"/>
      <c r="P21" s="170" t="n"/>
    </row>
    <row r="22" ht="24" customHeight="1" s="166">
      <c r="A22" s="170" t="n"/>
      <c r="B22" s="194">
        <f>HYPERLINK("#'Jun 2027'!A1","Jun 2027")</f>
        <v/>
      </c>
      <c r="C22" s="195" t="n"/>
      <c r="D22" s="191" t="n"/>
      <c r="E22" s="194">
        <f>HYPERLINK("#'Jul 2027'!A1","Jul 2027")</f>
        <v/>
      </c>
      <c r="F22" s="195" t="n"/>
      <c r="G22" s="191" t="n"/>
      <c r="H22" s="194">
        <f>HYPERLINK("#'Aug 2027'!A1","Aug 2027")</f>
        <v/>
      </c>
      <c r="I22" s="195" t="n"/>
      <c r="J22" s="191" t="n"/>
      <c r="K22" s="194">
        <f>HYPERLINK("#'Aug 2027'!A1","Aug 2027")</f>
        <v/>
      </c>
      <c r="L22" s="195" t="n"/>
      <c r="M22" s="191" t="n"/>
      <c r="N22" s="170" t="n"/>
      <c r="O22" s="170" t="n"/>
      <c r="P22" s="170" t="n"/>
    </row>
    <row r="23" ht="24" customHeight="1" s="166">
      <c r="A23" s="170" t="n"/>
      <c r="B23" s="196" t="n"/>
      <c r="C23" s="197" t="n"/>
      <c r="D23" s="191" t="n"/>
      <c r="E23" s="196" t="n"/>
      <c r="F23" s="197" t="n"/>
      <c r="G23" s="191" t="n"/>
      <c r="H23" s="196" t="n"/>
      <c r="I23" s="197" t="n"/>
      <c r="J23" s="191" t="n"/>
      <c r="K23" s="196" t="n"/>
      <c r="L23" s="197" t="n"/>
      <c r="M23" s="191" t="n"/>
      <c r="N23" s="170" t="n"/>
      <c r="O23" s="170" t="n"/>
      <c r="P23" s="170" t="n"/>
    </row>
    <row r="24" ht="24" customHeight="1" s="166">
      <c r="A24" s="170" t="n"/>
      <c r="B24" s="191" t="n"/>
      <c r="C24" s="191" t="n"/>
      <c r="D24" s="191" t="n"/>
      <c r="E24" s="191" t="n"/>
      <c r="F24" s="191" t="n"/>
      <c r="G24" s="191" t="n"/>
      <c r="H24" s="191" t="n"/>
      <c r="I24" s="191" t="n"/>
      <c r="J24" s="191" t="n"/>
      <c r="K24" s="191" t="n"/>
      <c r="L24" s="191" t="n"/>
      <c r="M24" s="191" t="n"/>
      <c r="N24" s="170" t="n"/>
      <c r="O24" s="170" t="n"/>
      <c r="P24" s="170" t="n"/>
    </row>
    <row r="25" ht="49.5" customHeight="1" s="166">
      <c r="A25" s="170" t="n"/>
      <c r="B25" s="198" t="inlineStr">
        <is>
          <t>GRAND HYATT CONSUMPTION DASHBOARD</t>
        </is>
      </c>
      <c r="M25" s="191" t="n"/>
      <c r="N25" s="170" t="n"/>
      <c r="O25" s="170" t="n"/>
      <c r="P25" s="170" t="n"/>
    </row>
    <row r="26" ht="24" customHeight="1" s="166">
      <c r="A26" s="170" t="n"/>
      <c r="B26" s="199" t="inlineStr">
        <is>
          <t>01-Oct-2026 → 30-Sep-2027 | Daily entries | Automatic monthly and annual analysis</t>
        </is>
      </c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0" t="n"/>
      <c r="L26" s="200" t="n"/>
      <c r="M26" s="191" t="n"/>
      <c r="N26" s="170" t="n"/>
      <c r="O26" s="170" t="n"/>
      <c r="P26" s="170" t="n"/>
    </row>
    <row r="27" ht="24" customHeight="1" s="166">
      <c r="A27" s="170" t="n"/>
      <c r="B27" s="201" t="inlineStr">
        <is>
          <t>Energy</t>
        </is>
      </c>
      <c r="C27" s="175" t="n"/>
      <c r="D27" s="202" t="n"/>
      <c r="E27" s="201" t="inlineStr">
        <is>
          <t>Water</t>
        </is>
      </c>
      <c r="F27" s="175" t="n"/>
      <c r="G27" s="202" t="n"/>
      <c r="H27" s="201" t="inlineStr">
        <is>
          <t>Gas</t>
        </is>
      </c>
      <c r="I27" s="175" t="n"/>
      <c r="J27" s="202" t="n"/>
      <c r="K27" s="201" t="inlineStr">
        <is>
          <t>Chilled Water</t>
        </is>
      </c>
      <c r="L27" s="175" t="n"/>
      <c r="M27" s="170" t="n"/>
      <c r="N27" s="170" t="n"/>
      <c r="O27" s="170" t="n"/>
      <c r="P27" s="170" t="n"/>
    </row>
    <row r="28" ht="24" customHeight="1" s="166">
      <c r="A28" s="170" t="n"/>
      <c r="B28" s="203">
        <f>'Monthly Summary'!B20</f>
        <v/>
      </c>
      <c r="D28" s="202" t="n"/>
      <c r="E28" s="203">
        <f>'Monthly Summary'!C20</f>
        <v/>
      </c>
      <c r="G28" s="202" t="n"/>
      <c r="H28" s="203">
        <f>'Monthly Summary'!D20</f>
        <v/>
      </c>
      <c r="J28" s="202" t="n"/>
      <c r="K28" s="203">
        <f>'Monthly Summary'!E20</f>
        <v/>
      </c>
      <c r="M28" s="170" t="n"/>
      <c r="N28" s="170" t="n"/>
      <c r="O28" s="170" t="n"/>
      <c r="P28" s="170" t="n"/>
    </row>
    <row r="29" ht="24" customHeight="1" s="166">
      <c r="A29" s="170" t="n"/>
      <c r="B29" s="203" t="inlineStr">
        <is>
          <t>kWh</t>
        </is>
      </c>
      <c r="D29" s="202" t="n"/>
      <c r="E29" s="203" t="inlineStr">
        <is>
          <t>m³</t>
        </is>
      </c>
      <c r="G29" s="202" t="n"/>
      <c r="H29" s="203" t="inlineStr">
        <is>
          <t>L</t>
        </is>
      </c>
      <c r="J29" s="202" t="n"/>
      <c r="K29" s="203" t="inlineStr">
        <is>
          <t>m³</t>
        </is>
      </c>
      <c r="M29" s="170" t="n"/>
      <c r="N29" s="170" t="n"/>
      <c r="O29" s="170" t="n"/>
      <c r="P29" s="170" t="n"/>
    </row>
    <row r="30" ht="24" customHeight="1" s="166">
      <c r="A30" s="170" t="n"/>
      <c r="B30" s="167" t="n"/>
      <c r="E30" s="167" t="n"/>
      <c r="H30" s="167" t="n"/>
      <c r="K30" s="167" t="n"/>
      <c r="M30" s="170" t="n"/>
      <c r="N30" s="170" t="n"/>
      <c r="O30" s="170" t="n"/>
      <c r="P30" s="170" t="n"/>
    </row>
    <row r="31" ht="14.25" customHeight="1" s="166">
      <c r="A31" s="170" t="n"/>
      <c r="B31" s="165" t="n"/>
      <c r="M31" s="170" t="n"/>
      <c r="N31" s="170" t="n"/>
      <c r="O31" s="170" t="n"/>
      <c r="P31" s="170" t="n"/>
    </row>
    <row r="32" ht="14.25" customHeight="1" s="166">
      <c r="A32" s="170" t="n"/>
      <c r="B32" s="170" t="n"/>
      <c r="C32" s="170" t="n"/>
      <c r="D32" s="170" t="n"/>
      <c r="E32" s="170" t="n"/>
      <c r="F32" s="170" t="n"/>
      <c r="G32" s="170" t="n"/>
      <c r="H32" s="170" t="n"/>
      <c r="I32" s="170" t="n"/>
      <c r="J32" s="170" t="n"/>
      <c r="K32" s="170" t="n"/>
      <c r="L32" s="170" t="n"/>
      <c r="M32" s="170" t="n"/>
      <c r="N32" s="170" t="n"/>
      <c r="O32" s="170" t="n"/>
      <c r="P32" s="170" t="n"/>
    </row>
    <row r="33" ht="14.25" customHeight="1" s="166">
      <c r="A33" s="170" t="n"/>
      <c r="K33" s="170" t="n"/>
      <c r="L33" s="170" t="n"/>
      <c r="M33" s="170" t="n"/>
      <c r="N33" s="170" t="n"/>
      <c r="O33" s="170" t="n"/>
      <c r="P33" s="170" t="n"/>
    </row>
    <row r="34" ht="14.25" customHeight="1" s="166">
      <c r="A34" s="170" t="n"/>
      <c r="B34" s="170" t="n"/>
      <c r="C34" s="170" t="n"/>
      <c r="D34" s="170" t="n"/>
      <c r="E34" s="170" t="n"/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0" t="n"/>
      <c r="O34" s="170" t="n"/>
      <c r="P34" s="170" t="n"/>
    </row>
    <row r="35" ht="14.25" customHeight="1" s="166">
      <c r="A35" s="170" t="n"/>
      <c r="B35" s="170" t="n"/>
      <c r="C35" s="170" t="n"/>
      <c r="D35" s="170" t="n"/>
      <c r="E35" s="170" t="n"/>
      <c r="F35" s="170" t="n"/>
      <c r="G35" s="170" t="n"/>
      <c r="H35" s="170" t="n"/>
      <c r="I35" s="170" t="n"/>
      <c r="J35" s="170" t="n"/>
      <c r="K35" s="170" t="n"/>
      <c r="L35" s="170" t="n"/>
      <c r="M35" s="170" t="n"/>
      <c r="N35" s="170" t="n"/>
      <c r="O35" s="170" t="n"/>
      <c r="P35" s="170" t="n"/>
    </row>
    <row r="36" ht="14.25" customHeight="1" s="166">
      <c r="A36" s="170" t="n"/>
      <c r="B36" s="170" t="n"/>
      <c r="C36" s="170" t="n"/>
      <c r="D36" s="170" t="n"/>
      <c r="E36" s="170" t="n"/>
      <c r="F36" s="170" t="n"/>
      <c r="G36" s="170" t="n"/>
      <c r="H36" s="170" t="n"/>
      <c r="I36" s="170" t="n"/>
      <c r="J36" s="170" t="n"/>
      <c r="K36" s="170" t="n"/>
      <c r="L36" s="170" t="n"/>
      <c r="M36" s="170" t="n"/>
      <c r="N36" s="170" t="n"/>
      <c r="O36" s="170" t="n"/>
      <c r="P36" s="170" t="n"/>
    </row>
    <row r="37" ht="14.25" customHeight="1" s="166">
      <c r="A37" s="170" t="n"/>
      <c r="B37" s="170" t="n"/>
      <c r="C37" s="170" t="n"/>
      <c r="D37" s="170" t="n"/>
      <c r="E37" s="170" t="n"/>
      <c r="F37" s="170" t="n"/>
      <c r="G37" s="170" t="n"/>
      <c r="H37" s="170" t="n"/>
      <c r="I37" s="170" t="n"/>
      <c r="J37" s="170" t="n"/>
      <c r="K37" s="170" t="n"/>
      <c r="L37" s="170" t="n"/>
      <c r="M37" s="170" t="n"/>
      <c r="N37" s="170" t="n"/>
      <c r="O37" s="170" t="n"/>
      <c r="P37" s="170" t="n"/>
    </row>
    <row r="38" ht="14.25" customHeight="1" s="166">
      <c r="A38" s="170" t="n"/>
      <c r="B38" s="170" t="n"/>
      <c r="C38" s="170" t="n"/>
      <c r="D38" s="170" t="n"/>
      <c r="E38" s="170" t="n"/>
      <c r="F38" s="170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</row>
    <row r="39" ht="14.25" customHeight="1" s="166">
      <c r="A39" s="170" t="n"/>
      <c r="B39" s="170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170" t="n"/>
      <c r="P39" s="170" t="n"/>
    </row>
    <row r="40" ht="14.25" customHeight="1" s="166">
      <c r="A40" s="170" t="n"/>
      <c r="B40" s="170" t="n"/>
      <c r="C40" s="170" t="n"/>
      <c r="D40" s="170" t="n"/>
      <c r="E40" s="170" t="n"/>
      <c r="F40" s="170" t="n"/>
      <c r="G40" s="170" t="n"/>
      <c r="H40" s="170" t="n"/>
      <c r="I40" s="170" t="n"/>
      <c r="J40" s="170" t="n"/>
      <c r="K40" s="170" t="n"/>
      <c r="L40" s="170" t="n"/>
      <c r="M40" s="170" t="n"/>
      <c r="N40" s="170" t="n"/>
      <c r="O40" s="170" t="n"/>
      <c r="P40" s="170" t="n"/>
    </row>
    <row r="41" ht="14.25" customHeight="1" s="166">
      <c r="A41" s="170" t="n"/>
      <c r="B41" s="170" t="n"/>
      <c r="C41" s="170" t="n"/>
      <c r="D41" s="170" t="n"/>
      <c r="E41" s="170" t="n"/>
      <c r="F41" s="170" t="n"/>
      <c r="G41" s="170" t="n"/>
      <c r="H41" s="170" t="n"/>
      <c r="I41" s="170" t="n"/>
      <c r="J41" s="170" t="n"/>
      <c r="K41" s="170" t="n"/>
      <c r="L41" s="170" t="n"/>
      <c r="M41" s="170" t="n"/>
      <c r="N41" s="170" t="n"/>
      <c r="O41" s="170" t="n"/>
      <c r="P41" s="170" t="n"/>
    </row>
    <row r="42" ht="14.25" customHeight="1" s="166">
      <c r="A42" s="170" t="n"/>
      <c r="B42" s="170" t="n"/>
      <c r="C42" s="170" t="n"/>
      <c r="D42" s="170" t="n"/>
      <c r="E42" s="170" t="n"/>
      <c r="F42" s="170" t="n"/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170" t="n"/>
      <c r="P42" s="170" t="n"/>
    </row>
    <row r="43" ht="14.25" customHeight="1" s="166">
      <c r="A43" s="170" t="n"/>
      <c r="B43" s="170" t="n"/>
      <c r="C43" s="170" t="n"/>
      <c r="D43" s="170" t="n"/>
      <c r="E43" s="170" t="n"/>
      <c r="F43" s="170" t="n"/>
      <c r="G43" s="170" t="n"/>
      <c r="H43" s="170" t="n"/>
      <c r="I43" s="170" t="n"/>
      <c r="J43" s="170" t="n"/>
      <c r="K43" s="170" t="n"/>
      <c r="L43" s="170" t="n"/>
      <c r="M43" s="170" t="n"/>
      <c r="N43" s="170" t="n"/>
      <c r="O43" s="170" t="n"/>
      <c r="P43" s="170" t="n"/>
    </row>
    <row r="44" ht="14.25" customHeight="1" s="166">
      <c r="A44" s="170" t="n"/>
      <c r="B44" s="170" t="n"/>
      <c r="C44" s="170" t="n"/>
      <c r="D44" s="170" t="n"/>
      <c r="E44" s="170" t="n"/>
      <c r="F44" s="170" t="n"/>
      <c r="G44" s="170" t="n"/>
      <c r="H44" s="170" t="n"/>
      <c r="I44" s="170" t="n"/>
      <c r="J44" s="170" t="n"/>
      <c r="K44" s="170" t="n"/>
      <c r="L44" s="170" t="n"/>
      <c r="M44" s="170" t="n"/>
      <c r="N44" s="170" t="n"/>
      <c r="O44" s="170" t="n"/>
      <c r="P44" s="170" t="n"/>
    </row>
    <row r="45" ht="14.25" customHeight="1" s="166">
      <c r="A45" s="170" t="n"/>
      <c r="B45" s="170" t="n"/>
      <c r="C45" s="170" t="n"/>
      <c r="D45" s="170" t="n"/>
      <c r="E45" s="170" t="n"/>
      <c r="F45" s="170" t="n"/>
      <c r="G45" s="170" t="n"/>
      <c r="H45" s="170" t="n"/>
      <c r="I45" s="170" t="n"/>
      <c r="J45" s="170" t="n"/>
      <c r="K45" s="170" t="n"/>
      <c r="L45" s="170" t="n"/>
      <c r="M45" s="170" t="n"/>
      <c r="N45" s="170" t="n"/>
      <c r="O45" s="170" t="n"/>
      <c r="P45" s="170" t="n"/>
    </row>
    <row r="46" ht="14.25" customHeight="1" s="166">
      <c r="A46" s="170" t="n"/>
      <c r="B46" s="170" t="n"/>
      <c r="C46" s="170" t="n"/>
      <c r="D46" s="170" t="n"/>
      <c r="E46" s="170" t="n"/>
      <c r="F46" s="170" t="n"/>
      <c r="G46" s="170" t="n"/>
      <c r="H46" s="170" t="n"/>
      <c r="I46" s="170" t="n"/>
      <c r="J46" s="170" t="n"/>
      <c r="K46" s="170" t="n"/>
      <c r="L46" s="170" t="n"/>
      <c r="M46" s="170" t="n"/>
      <c r="N46" s="170" t="n"/>
      <c r="O46" s="170" t="n"/>
      <c r="P46" s="170" t="n"/>
    </row>
    <row r="47" ht="14.25" customHeight="1" s="166">
      <c r="A47" s="170" t="n"/>
      <c r="B47" s="170" t="n"/>
      <c r="C47" s="170" t="n"/>
      <c r="D47" s="170" t="n"/>
      <c r="E47" s="170" t="n"/>
      <c r="F47" s="170" t="n"/>
      <c r="G47" s="170" t="n"/>
      <c r="H47" s="170" t="n"/>
      <c r="I47" s="170" t="n"/>
      <c r="J47" s="170" t="n"/>
      <c r="K47" s="170" t="n"/>
      <c r="L47" s="170" t="n"/>
      <c r="M47" s="170" t="n"/>
      <c r="N47" s="170" t="n"/>
      <c r="O47" s="170" t="n"/>
      <c r="P47" s="170" t="n"/>
    </row>
    <row r="48" ht="14.25" customHeight="1" s="166">
      <c r="A48" s="170" t="n"/>
      <c r="B48" s="170" t="n"/>
      <c r="C48" s="170" t="n"/>
      <c r="D48" s="170" t="n"/>
      <c r="E48" s="170" t="n"/>
      <c r="F48" s="170" t="n"/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 t="n"/>
      <c r="P48" s="170" t="n"/>
    </row>
    <row r="49" ht="14.25" customHeight="1" s="166">
      <c r="A49" s="170" t="n"/>
      <c r="B49" s="170" t="n"/>
      <c r="C49" s="170" t="n"/>
      <c r="D49" s="170" t="n"/>
      <c r="E49" s="170" t="n"/>
      <c r="F49" s="170" t="n"/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 t="n"/>
      <c r="P49" s="170" t="n"/>
    </row>
    <row r="50" ht="14.25" customHeight="1" s="166">
      <c r="A50" s="170" t="n"/>
      <c r="B50" s="170" t="n"/>
      <c r="C50" s="170" t="n"/>
      <c r="D50" s="170" t="n"/>
      <c r="E50" s="170" t="n"/>
      <c r="F50" s="170" t="n"/>
      <c r="G50" s="170" t="n"/>
      <c r="H50" s="170" t="n"/>
      <c r="I50" s="170" t="n"/>
      <c r="J50" s="170" t="n"/>
      <c r="K50" s="170" t="n"/>
      <c r="L50" s="170" t="n"/>
      <c r="M50" s="170" t="n"/>
      <c r="N50" s="170" t="n"/>
      <c r="O50" s="170" t="n"/>
      <c r="P50" s="170" t="n"/>
    </row>
    <row r="51" ht="14.25" customHeight="1" s="166">
      <c r="A51" s="170" t="n"/>
      <c r="B51" s="170" t="n"/>
      <c r="C51" s="170" t="n"/>
      <c r="D51" s="170" t="n"/>
      <c r="E51" s="170" t="n"/>
      <c r="F51" s="170" t="n"/>
      <c r="G51" s="170" t="n"/>
      <c r="H51" s="170" t="n"/>
      <c r="I51" s="170" t="n"/>
      <c r="J51" s="170" t="n"/>
      <c r="K51" s="170" t="n"/>
      <c r="L51" s="170" t="n"/>
      <c r="M51" s="170" t="n"/>
      <c r="N51" s="170" t="n"/>
      <c r="O51" s="170" t="n"/>
      <c r="P51" s="170" t="n"/>
    </row>
    <row r="52" ht="14.25" customHeight="1" s="166">
      <c r="A52" s="170" t="n"/>
      <c r="B52" s="170" t="n"/>
      <c r="C52" s="170" t="n"/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70" t="n"/>
      <c r="N52" s="170" t="n"/>
      <c r="O52" s="170" t="n"/>
      <c r="P52" s="170" t="n"/>
    </row>
    <row r="53" ht="14.25" customHeight="1" s="166">
      <c r="A53" s="170" t="n"/>
      <c r="B53" s="170" t="n"/>
      <c r="C53" s="170" t="n"/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0" t="n"/>
      <c r="N53" s="170" t="n"/>
      <c r="O53" s="170" t="n"/>
      <c r="P53" s="170" t="n"/>
    </row>
    <row r="54" ht="14.25" customHeight="1" s="166">
      <c r="A54" s="170" t="n"/>
      <c r="B54" s="170" t="n"/>
      <c r="C54" s="170" t="n"/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0" t="n"/>
      <c r="N54" s="170" t="n"/>
      <c r="O54" s="170" t="n"/>
      <c r="P54" s="170" t="n"/>
    </row>
  </sheetData>
  <mergeCells count="40">
    <mergeCell ref="B6:E8"/>
    <mergeCell ref="B26:L26"/>
    <mergeCell ref="K30:L30"/>
    <mergeCell ref="H22:I23"/>
    <mergeCell ref="H29:I29"/>
    <mergeCell ref="B25:L25"/>
    <mergeCell ref="B19:C20"/>
    <mergeCell ref="H19:I20"/>
    <mergeCell ref="B31:C31"/>
    <mergeCell ref="B27:C27"/>
    <mergeCell ref="H16:I17"/>
    <mergeCell ref="K29:L29"/>
    <mergeCell ref="I6:L8"/>
    <mergeCell ref="E29:F29"/>
    <mergeCell ref="E16:F17"/>
    <mergeCell ref="E28:F28"/>
    <mergeCell ref="B2:L4"/>
    <mergeCell ref="K19:L20"/>
    <mergeCell ref="B14:L14"/>
    <mergeCell ref="B1:L1"/>
    <mergeCell ref="K16:L17"/>
    <mergeCell ref="B22:C23"/>
    <mergeCell ref="E30:F30"/>
    <mergeCell ref="B29:C29"/>
    <mergeCell ref="B16:C17"/>
    <mergeCell ref="E22:F23"/>
    <mergeCell ref="B28:C28"/>
    <mergeCell ref="E27:F27"/>
    <mergeCell ref="K27:L27"/>
    <mergeCell ref="H28:I28"/>
    <mergeCell ref="H27:I27"/>
    <mergeCell ref="B30:C30"/>
    <mergeCell ref="D10:F12"/>
    <mergeCell ref="F6:H8"/>
    <mergeCell ref="K28:L28"/>
    <mergeCell ref="B5:L5"/>
    <mergeCell ref="E19:F20"/>
    <mergeCell ref="H10:J12"/>
    <mergeCell ref="K22:L23"/>
    <mergeCell ref="H30:I30"/>
  </mergeCells>
  <hyperlinks>
    <hyperlink xmlns:r="http://schemas.openxmlformats.org/officeDocument/2006/relationships" ref="B6" location="'Daily%20Consumption'!A1" display="file:///mnt/Main_Consumption_SharePoint_Ready.xlsx#'Daily%20Consumption'!A1" r:id="rId1"/>
    <hyperlink xmlns:r="http://schemas.openxmlformats.org/officeDocument/2006/relationships" ref="F6" location="'Daily%20Consumption'!A1" display="file:///mnt/Main_Consumption_SharePoint_Ready.xlsx#'Daily%20Consumption'!A1" r:id="rId2"/>
    <hyperlink xmlns:r="http://schemas.openxmlformats.org/officeDocument/2006/relationships" ref="I6" location="'LPG%20Dashboard'!A1" display="file:///mnt/Main_Consumption_SharePoint_Ready.xlsx#'LPG%20Dashboard'!A1" r:id="rId3"/>
    <hyperlink xmlns:r="http://schemas.openxmlformats.org/officeDocument/2006/relationships" ref="D10" location="'Menu'!A1" display="file:///mnt/Main_Consumption_SharePoint_Ready.xlsx#'Menu'!A1" r:id="rId4"/>
    <hyperlink xmlns:r="http://schemas.openxmlformats.org/officeDocument/2006/relationships" ref="H10" location="'Menu'!A1" display="file:///mnt/Main_Consumption_SharePoint_Ready.xlsx#'Menu'!A1" r:id="rId5"/>
    <hyperlink xmlns:r="http://schemas.openxmlformats.org/officeDocument/2006/relationships" ref="B16" location="'Oct%202026'!A1" display="file:///mnt/Main_Consumption_SharePoint_Ready.xlsx#'Oct%202026'!A1" r:id="rId6"/>
    <hyperlink xmlns:r="http://schemas.openxmlformats.org/officeDocument/2006/relationships" ref="E16" location="'Nov%202026'!A1" display="file:///mnt/Main_Consumption_SharePoint_Ready.xlsx#'Nov%202026'!A1" r:id="rId7"/>
    <hyperlink xmlns:r="http://schemas.openxmlformats.org/officeDocument/2006/relationships" ref="H16" location="'Dec%202026'!A1" display="file:///mnt/Main_Consumption_SharePoint_Ready.xlsx#'Dec%202026'!A1" r:id="rId8"/>
    <hyperlink xmlns:r="http://schemas.openxmlformats.org/officeDocument/2006/relationships" ref="K16" location="'Jan%202027'!A1" display="file:///mnt/Main_Consumption_SharePoint_Ready.xlsx#'Jan%202027'!A1" r:id="rId9"/>
    <hyperlink xmlns:r="http://schemas.openxmlformats.org/officeDocument/2006/relationships" ref="B19" location="'Feb%202027'!A1" display="file:///mnt/Main_Consumption_SharePoint_Ready.xlsx#'Feb%202027'!A1" r:id="rId10"/>
    <hyperlink xmlns:r="http://schemas.openxmlformats.org/officeDocument/2006/relationships" ref="E19" location="'Mar%202027'!A1" display="file:///mnt/Main_Consumption_SharePoint_Ready.xlsx#'Mar%202027'!A1" r:id="rId11"/>
    <hyperlink xmlns:r="http://schemas.openxmlformats.org/officeDocument/2006/relationships" ref="H19" location="'Apr%202027'!A1" display="file:///mnt/Main_Consumption_SharePoint_Ready.xlsx#'Apr%202027'!A1" r:id="rId12"/>
    <hyperlink xmlns:r="http://schemas.openxmlformats.org/officeDocument/2006/relationships" ref="K19" location="'May%202027'!A1" display="file:///mnt/Main_Consumption_SharePoint_Ready.xlsx#'May%202027'!A1" r:id="rId13"/>
    <hyperlink xmlns:r="http://schemas.openxmlformats.org/officeDocument/2006/relationships" ref="B22" location="'Jun%202027'!A1" display="file:///mnt/Main_Consumption_SharePoint_Ready.xlsx#'Jun%202027'!A1" r:id="rId14"/>
    <hyperlink xmlns:r="http://schemas.openxmlformats.org/officeDocument/2006/relationships" ref="E22" location="'Jul%202027'!A1" display="file:///mnt/Main_Consumption_SharePoint_Ready.xlsx#'Jul%202027'!A1" r:id="rId15"/>
    <hyperlink xmlns:r="http://schemas.openxmlformats.org/officeDocument/2006/relationships" ref="H22" location="'Aug%202027'!A1" display="file:///mnt/Main_Consumption_SharePoint_Ready.xlsx#'Aug%202027'!A1" r:id="rId16"/>
    <hyperlink xmlns:r="http://schemas.openxmlformats.org/officeDocument/2006/relationships" ref="K22" location="'Sep%202027'!A1" display="file:///mnt/Main_Consumption_SharePoint_Ready.xlsx#'Sep%202027'!A1" r:id="rId1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BD2137"/>
    <outlinePr summaryBelow="1" summaryRight="1"/>
    <pageSetUpPr fitToPage="1"/>
  </sheetPr>
  <dimension ref="A1:NC114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B39" activeCellId="0" sqref="B39"/>
    </sheetView>
  </sheetViews>
  <sheetFormatPr baseColWidth="8" defaultColWidth="8.71484375" defaultRowHeight="14.25" customHeight="1" zeroHeight="0" outlineLevelRow="0"/>
  <cols>
    <col width="46.71" customWidth="1" style="165" min="1" max="1"/>
    <col width="6.57" customWidth="1" style="165" min="2" max="366"/>
    <col width="15.57" customWidth="1" style="165" min="367" max="367"/>
  </cols>
  <sheetData>
    <row r="1" ht="42" customHeight="1" s="166">
      <c r="A1" s="204" t="n"/>
      <c r="G1" s="205" t="inlineStr">
        <is>
          <t>INPUT RULE: Enter cumulative meter readings. Daily consumption = current reading − previous reading.</t>
        </is>
      </c>
    </row>
    <row r="2" ht="70.5" customHeight="1" s="166">
      <c r="G2" s="206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7" t="n"/>
      <c r="S2" s="207" t="n"/>
      <c r="T2" s="207" t="n"/>
      <c r="U2" s="207" t="n"/>
      <c r="V2" s="207" t="n"/>
    </row>
    <row r="3" ht="15" customHeight="1" s="166"/>
    <row r="4" ht="30" customFormat="1" customHeight="1" s="208">
      <c r="A4" s="209" t="inlineStr">
        <is>
          <t>ENERGY — METER READINGS</t>
        </is>
      </c>
    </row>
    <row r="5" ht="14.25" customHeight="1" s="166">
      <c r="A5" s="210" t="inlineStr">
        <is>
          <t>Daily meter readings by area | Enter cumulative opening/closing meter readings only</t>
        </is>
      </c>
      <c r="AA5" s="169" t="n"/>
    </row>
    <row r="6" ht="75" customHeight="1" s="166">
      <c r="A6" s="211" t="inlineStr">
        <is>
          <t>Meter / Area</t>
        </is>
      </c>
      <c r="B6" s="212" t="n">
        <v>46296</v>
      </c>
      <c r="C6" s="212" t="n">
        <v>46297</v>
      </c>
      <c r="D6" s="212" t="n">
        <v>46298</v>
      </c>
      <c r="E6" s="212" t="n">
        <v>46299</v>
      </c>
      <c r="F6" s="212" t="n">
        <v>46300</v>
      </c>
      <c r="G6" s="212" t="n">
        <v>46301</v>
      </c>
      <c r="H6" s="212" t="n">
        <v>46302</v>
      </c>
      <c r="I6" s="212" t="n">
        <v>46303</v>
      </c>
      <c r="J6" s="212" t="n">
        <v>46304</v>
      </c>
      <c r="K6" s="212" t="n">
        <v>46305</v>
      </c>
      <c r="L6" s="212" t="n">
        <v>46306</v>
      </c>
      <c r="M6" s="212" t="n">
        <v>46307</v>
      </c>
      <c r="N6" s="212" t="n">
        <v>46308</v>
      </c>
      <c r="O6" s="212" t="n">
        <v>46309</v>
      </c>
      <c r="P6" s="212" t="n">
        <v>46310</v>
      </c>
      <c r="Q6" s="212" t="n">
        <v>46311</v>
      </c>
      <c r="R6" s="212" t="n">
        <v>46312</v>
      </c>
      <c r="S6" s="212" t="n">
        <v>46313</v>
      </c>
      <c r="T6" s="212" t="n">
        <v>46314</v>
      </c>
      <c r="U6" s="212" t="n">
        <v>46315</v>
      </c>
      <c r="V6" s="212" t="n">
        <v>46316</v>
      </c>
      <c r="W6" s="212" t="n">
        <v>46317</v>
      </c>
      <c r="X6" s="212" t="n">
        <v>46318</v>
      </c>
      <c r="Y6" s="212" t="n">
        <v>46319</v>
      </c>
      <c r="Z6" s="212" t="n">
        <v>46320</v>
      </c>
      <c r="AA6" s="212" t="n">
        <v>46321</v>
      </c>
      <c r="AB6" s="212" t="n">
        <v>46322</v>
      </c>
      <c r="AC6" s="212" t="n">
        <v>46323</v>
      </c>
      <c r="AD6" s="212" t="n">
        <v>46324</v>
      </c>
      <c r="AE6" s="212" t="n">
        <v>46325</v>
      </c>
      <c r="AF6" s="212" t="n">
        <v>46326</v>
      </c>
      <c r="AG6" s="212" t="n">
        <v>46327</v>
      </c>
      <c r="AH6" s="212" t="n">
        <v>46328</v>
      </c>
      <c r="AI6" s="212" t="n">
        <v>46329</v>
      </c>
      <c r="AJ6" s="212" t="n">
        <v>46330</v>
      </c>
      <c r="AK6" s="212" t="n">
        <v>46331</v>
      </c>
      <c r="AL6" s="212" t="n">
        <v>46332</v>
      </c>
      <c r="AM6" s="212" t="n">
        <v>46333</v>
      </c>
      <c r="AN6" s="212" t="n">
        <v>46334</v>
      </c>
      <c r="AO6" s="212" t="n">
        <v>46335</v>
      </c>
      <c r="AP6" s="212" t="n">
        <v>46336</v>
      </c>
      <c r="AQ6" s="212" t="n">
        <v>46337</v>
      </c>
      <c r="AR6" s="212" t="n">
        <v>46338</v>
      </c>
      <c r="AS6" s="212" t="n">
        <v>46339</v>
      </c>
      <c r="AT6" s="212" t="n">
        <v>46340</v>
      </c>
      <c r="AU6" s="212" t="n">
        <v>46341</v>
      </c>
      <c r="AV6" s="212" t="n">
        <v>46342</v>
      </c>
      <c r="AW6" s="212" t="n">
        <v>46343</v>
      </c>
      <c r="AX6" s="212" t="n">
        <v>46344</v>
      </c>
      <c r="AY6" s="212" t="n">
        <v>46345</v>
      </c>
      <c r="AZ6" s="212" t="n">
        <v>46346</v>
      </c>
      <c r="BA6" s="212" t="n">
        <v>46347</v>
      </c>
      <c r="BB6" s="212" t="n">
        <v>46348</v>
      </c>
      <c r="BC6" s="212" t="n">
        <v>46349</v>
      </c>
      <c r="BD6" s="212" t="n">
        <v>46350</v>
      </c>
      <c r="BE6" s="212" t="n">
        <v>46351</v>
      </c>
      <c r="BF6" s="212" t="n">
        <v>46352</v>
      </c>
      <c r="BG6" s="212" t="n">
        <v>46353</v>
      </c>
      <c r="BH6" s="212" t="n">
        <v>46354</v>
      </c>
      <c r="BI6" s="212" t="n">
        <v>46355</v>
      </c>
      <c r="BJ6" s="212" t="n">
        <v>46356</v>
      </c>
      <c r="BK6" s="212" t="n">
        <v>46357</v>
      </c>
      <c r="BL6" s="212" t="n">
        <v>46358</v>
      </c>
      <c r="BM6" s="212" t="n">
        <v>46359</v>
      </c>
      <c r="BN6" s="212" t="n">
        <v>46360</v>
      </c>
      <c r="BO6" s="212" t="n">
        <v>46361</v>
      </c>
      <c r="BP6" s="212" t="n">
        <v>46362</v>
      </c>
      <c r="BQ6" s="212" t="n">
        <v>46363</v>
      </c>
      <c r="BR6" s="212" t="n">
        <v>46364</v>
      </c>
      <c r="BS6" s="212" t="n">
        <v>46365</v>
      </c>
      <c r="BT6" s="212" t="n">
        <v>46366</v>
      </c>
      <c r="BU6" s="212" t="n">
        <v>46367</v>
      </c>
      <c r="BV6" s="212" t="n">
        <v>46368</v>
      </c>
      <c r="BW6" s="212" t="n">
        <v>46369</v>
      </c>
      <c r="BX6" s="212" t="n">
        <v>46370</v>
      </c>
      <c r="BY6" s="212" t="n">
        <v>46371</v>
      </c>
      <c r="BZ6" s="212" t="n">
        <v>46372</v>
      </c>
      <c r="CA6" s="212" t="n">
        <v>46373</v>
      </c>
      <c r="CB6" s="212" t="n">
        <v>46374</v>
      </c>
      <c r="CC6" s="212" t="n">
        <v>46375</v>
      </c>
      <c r="CD6" s="212" t="n">
        <v>46376</v>
      </c>
      <c r="CE6" s="212" t="n">
        <v>46377</v>
      </c>
      <c r="CF6" s="212" t="n">
        <v>46378</v>
      </c>
      <c r="CG6" s="212" t="n">
        <v>46379</v>
      </c>
      <c r="CH6" s="212" t="n">
        <v>46380</v>
      </c>
      <c r="CI6" s="212" t="n">
        <v>46381</v>
      </c>
      <c r="CJ6" s="212" t="n">
        <v>46382</v>
      </c>
      <c r="CK6" s="212" t="n">
        <v>46383</v>
      </c>
      <c r="CL6" s="212" t="n">
        <v>46384</v>
      </c>
      <c r="CM6" s="212" t="n">
        <v>46385</v>
      </c>
      <c r="CN6" s="212" t="n">
        <v>46386</v>
      </c>
      <c r="CO6" s="212" t="n">
        <v>46387</v>
      </c>
      <c r="CP6" s="212" t="n">
        <v>46388</v>
      </c>
      <c r="CQ6" s="212" t="n">
        <v>46389</v>
      </c>
      <c r="CR6" s="212" t="n">
        <v>46390</v>
      </c>
      <c r="CS6" s="212" t="n">
        <v>46391</v>
      </c>
      <c r="CT6" s="212" t="n">
        <v>46392</v>
      </c>
      <c r="CU6" s="212" t="n">
        <v>46393</v>
      </c>
      <c r="CV6" s="212" t="n">
        <v>46394</v>
      </c>
      <c r="CW6" s="212" t="n">
        <v>46395</v>
      </c>
      <c r="CX6" s="212" t="n">
        <v>46396</v>
      </c>
      <c r="CY6" s="212" t="n">
        <v>46397</v>
      </c>
      <c r="CZ6" s="212" t="n">
        <v>46398</v>
      </c>
      <c r="DA6" s="212" t="n">
        <v>46399</v>
      </c>
      <c r="DB6" s="212" t="n">
        <v>46400</v>
      </c>
      <c r="DC6" s="212" t="n">
        <v>46401</v>
      </c>
      <c r="DD6" s="212" t="n">
        <v>46402</v>
      </c>
      <c r="DE6" s="212" t="n">
        <v>46403</v>
      </c>
      <c r="DF6" s="212" t="n">
        <v>46404</v>
      </c>
      <c r="DG6" s="212" t="n">
        <v>46405</v>
      </c>
      <c r="DH6" s="212" t="n">
        <v>46406</v>
      </c>
      <c r="DI6" s="212" t="n">
        <v>46407</v>
      </c>
      <c r="DJ6" s="212" t="n">
        <v>46408</v>
      </c>
      <c r="DK6" s="212" t="n">
        <v>46409</v>
      </c>
      <c r="DL6" s="212" t="n">
        <v>46410</v>
      </c>
      <c r="DM6" s="212" t="n">
        <v>46411</v>
      </c>
      <c r="DN6" s="212" t="n">
        <v>46412</v>
      </c>
      <c r="DO6" s="212" t="n">
        <v>46413</v>
      </c>
      <c r="DP6" s="212" t="n">
        <v>46414</v>
      </c>
      <c r="DQ6" s="212" t="n">
        <v>46415</v>
      </c>
      <c r="DR6" s="212" t="n">
        <v>46416</v>
      </c>
      <c r="DS6" s="212" t="n">
        <v>46417</v>
      </c>
      <c r="DT6" s="212" t="n">
        <v>46418</v>
      </c>
      <c r="DU6" s="212" t="n">
        <v>46419</v>
      </c>
      <c r="DV6" s="212" t="n">
        <v>46420</v>
      </c>
      <c r="DW6" s="212" t="n">
        <v>46421</v>
      </c>
      <c r="DX6" s="212" t="n">
        <v>46422</v>
      </c>
      <c r="DY6" s="212" t="n">
        <v>46423</v>
      </c>
      <c r="DZ6" s="212" t="n">
        <v>46424</v>
      </c>
      <c r="EA6" s="212" t="n">
        <v>46425</v>
      </c>
      <c r="EB6" s="212" t="n">
        <v>46426</v>
      </c>
      <c r="EC6" s="212" t="n">
        <v>46427</v>
      </c>
      <c r="ED6" s="212" t="n">
        <v>46428</v>
      </c>
      <c r="EE6" s="212" t="n">
        <v>46429</v>
      </c>
      <c r="EF6" s="212" t="n">
        <v>46430</v>
      </c>
      <c r="EG6" s="212" t="n">
        <v>46431</v>
      </c>
      <c r="EH6" s="212" t="n">
        <v>46432</v>
      </c>
      <c r="EI6" s="212" t="n">
        <v>46433</v>
      </c>
      <c r="EJ6" s="212" t="n">
        <v>46434</v>
      </c>
      <c r="EK6" s="212" t="n">
        <v>46435</v>
      </c>
      <c r="EL6" s="212" t="n">
        <v>46436</v>
      </c>
      <c r="EM6" s="212" t="n">
        <v>46437</v>
      </c>
      <c r="EN6" s="212" t="n">
        <v>46438</v>
      </c>
      <c r="EO6" s="212" t="n">
        <v>46439</v>
      </c>
      <c r="EP6" s="212" t="n">
        <v>46440</v>
      </c>
      <c r="EQ6" s="212" t="n">
        <v>46441</v>
      </c>
      <c r="ER6" s="212" t="n">
        <v>46442</v>
      </c>
      <c r="ES6" s="212" t="n">
        <v>46443</v>
      </c>
      <c r="ET6" s="212" t="n">
        <v>46444</v>
      </c>
      <c r="EU6" s="212" t="n">
        <v>46445</v>
      </c>
      <c r="EV6" s="212" t="n">
        <v>46446</v>
      </c>
      <c r="EW6" s="212" t="n">
        <v>46447</v>
      </c>
      <c r="EX6" s="212" t="n">
        <v>46448</v>
      </c>
      <c r="EY6" s="212" t="n">
        <v>46449</v>
      </c>
      <c r="EZ6" s="212" t="n">
        <v>46450</v>
      </c>
      <c r="FA6" s="212" t="n">
        <v>46451</v>
      </c>
      <c r="FB6" s="212" t="n">
        <v>46452</v>
      </c>
      <c r="FC6" s="212" t="n">
        <v>46453</v>
      </c>
      <c r="FD6" s="212" t="n">
        <v>46454</v>
      </c>
      <c r="FE6" s="212" t="n">
        <v>46455</v>
      </c>
      <c r="FF6" s="212" t="n">
        <v>46456</v>
      </c>
      <c r="FG6" s="212" t="n">
        <v>46457</v>
      </c>
      <c r="FH6" s="212" t="n">
        <v>46458</v>
      </c>
      <c r="FI6" s="212" t="n">
        <v>46459</v>
      </c>
      <c r="FJ6" s="212" t="n">
        <v>46460</v>
      </c>
      <c r="FK6" s="212" t="n">
        <v>46461</v>
      </c>
      <c r="FL6" s="212" t="n">
        <v>46462</v>
      </c>
      <c r="FM6" s="212" t="n">
        <v>46463</v>
      </c>
      <c r="FN6" s="212" t="n">
        <v>46464</v>
      </c>
      <c r="FO6" s="212" t="n">
        <v>46465</v>
      </c>
      <c r="FP6" s="212" t="n">
        <v>46466</v>
      </c>
      <c r="FQ6" s="212" t="n">
        <v>46467</v>
      </c>
      <c r="FR6" s="212" t="n">
        <v>46468</v>
      </c>
      <c r="FS6" s="212" t="n">
        <v>46469</v>
      </c>
      <c r="FT6" s="212" t="n">
        <v>46470</v>
      </c>
      <c r="FU6" s="212" t="n">
        <v>46471</v>
      </c>
      <c r="FV6" s="212" t="n">
        <v>46472</v>
      </c>
      <c r="FW6" s="212" t="n">
        <v>46473</v>
      </c>
      <c r="FX6" s="212" t="n">
        <v>46474</v>
      </c>
      <c r="FY6" s="212" t="n">
        <v>46475</v>
      </c>
      <c r="FZ6" s="212" t="n">
        <v>46476</v>
      </c>
      <c r="GA6" s="212" t="n">
        <v>46477</v>
      </c>
      <c r="GB6" s="212" t="n">
        <v>46478</v>
      </c>
      <c r="GC6" s="212" t="n">
        <v>46479</v>
      </c>
      <c r="GD6" s="212" t="n">
        <v>46480</v>
      </c>
      <c r="GE6" s="212" t="n">
        <v>46481</v>
      </c>
      <c r="GF6" s="212" t="n">
        <v>46482</v>
      </c>
      <c r="GG6" s="212" t="n">
        <v>46483</v>
      </c>
      <c r="GH6" s="212" t="n">
        <v>46484</v>
      </c>
      <c r="GI6" s="212" t="n">
        <v>46485</v>
      </c>
      <c r="GJ6" s="212" t="n">
        <v>46486</v>
      </c>
      <c r="GK6" s="212" t="n">
        <v>46487</v>
      </c>
      <c r="GL6" s="212" t="n">
        <v>46488</v>
      </c>
      <c r="GM6" s="212" t="n">
        <v>46489</v>
      </c>
      <c r="GN6" s="212" t="n">
        <v>46490</v>
      </c>
      <c r="GO6" s="212" t="n">
        <v>46491</v>
      </c>
      <c r="GP6" s="212" t="n">
        <v>46492</v>
      </c>
      <c r="GQ6" s="212" t="n">
        <v>46493</v>
      </c>
      <c r="GR6" s="212" t="n">
        <v>46494</v>
      </c>
      <c r="GS6" s="212" t="n">
        <v>46495</v>
      </c>
      <c r="GT6" s="212" t="n">
        <v>46496</v>
      </c>
      <c r="GU6" s="212" t="n">
        <v>46497</v>
      </c>
      <c r="GV6" s="212" t="n">
        <v>46498</v>
      </c>
      <c r="GW6" s="212" t="n">
        <v>46499</v>
      </c>
      <c r="GX6" s="212" t="n">
        <v>46500</v>
      </c>
      <c r="GY6" s="212" t="n">
        <v>46501</v>
      </c>
      <c r="GZ6" s="212" t="n">
        <v>46502</v>
      </c>
      <c r="HA6" s="212" t="n">
        <v>46503</v>
      </c>
      <c r="HB6" s="212" t="n">
        <v>46504</v>
      </c>
      <c r="HC6" s="212" t="n">
        <v>46505</v>
      </c>
      <c r="HD6" s="212" t="n">
        <v>46506</v>
      </c>
      <c r="HE6" s="212" t="n">
        <v>46507</v>
      </c>
      <c r="HF6" s="212" t="n">
        <v>46508</v>
      </c>
      <c r="HG6" s="212" t="n">
        <v>46509</v>
      </c>
      <c r="HH6" s="212" t="n">
        <v>46510</v>
      </c>
      <c r="HI6" s="212" t="n">
        <v>46511</v>
      </c>
      <c r="HJ6" s="212" t="n">
        <v>46512</v>
      </c>
      <c r="HK6" s="212" t="n">
        <v>46513</v>
      </c>
      <c r="HL6" s="212" t="n">
        <v>46514</v>
      </c>
      <c r="HM6" s="212" t="n">
        <v>46515</v>
      </c>
      <c r="HN6" s="212" t="n">
        <v>46516</v>
      </c>
      <c r="HO6" s="212" t="n">
        <v>46517</v>
      </c>
      <c r="HP6" s="212" t="n">
        <v>46518</v>
      </c>
      <c r="HQ6" s="212" t="n">
        <v>46519</v>
      </c>
      <c r="HR6" s="212" t="n">
        <v>46520</v>
      </c>
      <c r="HS6" s="212" t="n">
        <v>46521</v>
      </c>
      <c r="HT6" s="212" t="n">
        <v>46522</v>
      </c>
      <c r="HU6" s="212" t="n">
        <v>46523</v>
      </c>
      <c r="HV6" s="212" t="n">
        <v>46524</v>
      </c>
      <c r="HW6" s="212" t="n">
        <v>46525</v>
      </c>
      <c r="HX6" s="212" t="n">
        <v>46526</v>
      </c>
      <c r="HY6" s="212" t="n">
        <v>46527</v>
      </c>
      <c r="HZ6" s="212" t="n">
        <v>46528</v>
      </c>
      <c r="IA6" s="212" t="n">
        <v>46529</v>
      </c>
      <c r="IB6" s="212" t="n">
        <v>46530</v>
      </c>
      <c r="IC6" s="212" t="n">
        <v>46531</v>
      </c>
      <c r="ID6" s="212" t="n">
        <v>46532</v>
      </c>
      <c r="IE6" s="212" t="n">
        <v>46533</v>
      </c>
      <c r="IF6" s="212" t="n">
        <v>46534</v>
      </c>
      <c r="IG6" s="212" t="n">
        <v>46535</v>
      </c>
      <c r="IH6" s="212" t="n">
        <v>46536</v>
      </c>
      <c r="II6" s="212" t="n">
        <v>46537</v>
      </c>
      <c r="IJ6" s="212" t="n">
        <v>46538</v>
      </c>
      <c r="IK6" s="212" t="n">
        <v>46539</v>
      </c>
      <c r="IL6" s="212" t="n">
        <v>46540</v>
      </c>
      <c r="IM6" s="212" t="n">
        <v>46541</v>
      </c>
      <c r="IN6" s="212" t="n">
        <v>46542</v>
      </c>
      <c r="IO6" s="212" t="n">
        <v>46543</v>
      </c>
      <c r="IP6" s="212" t="n">
        <v>46544</v>
      </c>
      <c r="IQ6" s="212" t="n">
        <v>46545</v>
      </c>
      <c r="IR6" s="212" t="n">
        <v>46546</v>
      </c>
      <c r="IS6" s="212" t="n">
        <v>46547</v>
      </c>
      <c r="IT6" s="212" t="n">
        <v>46548</v>
      </c>
      <c r="IU6" s="212" t="n">
        <v>46549</v>
      </c>
      <c r="IV6" s="212" t="n">
        <v>46550</v>
      </c>
      <c r="IW6" s="212" t="n">
        <v>46551</v>
      </c>
      <c r="IX6" s="212" t="n">
        <v>46552</v>
      </c>
      <c r="IY6" s="212" t="n">
        <v>46553</v>
      </c>
      <c r="IZ6" s="212" t="n">
        <v>46554</v>
      </c>
      <c r="JA6" s="212" t="n">
        <v>46555</v>
      </c>
      <c r="JB6" s="212" t="n">
        <v>46556</v>
      </c>
      <c r="JC6" s="212" t="n">
        <v>46557</v>
      </c>
      <c r="JD6" s="212" t="n">
        <v>46558</v>
      </c>
      <c r="JE6" s="212" t="n">
        <v>46559</v>
      </c>
      <c r="JF6" s="212" t="n">
        <v>46560</v>
      </c>
      <c r="JG6" s="212" t="n">
        <v>46561</v>
      </c>
      <c r="JH6" s="212" t="n">
        <v>46562</v>
      </c>
      <c r="JI6" s="212" t="n">
        <v>46563</v>
      </c>
      <c r="JJ6" s="212" t="n">
        <v>46564</v>
      </c>
      <c r="JK6" s="212" t="n">
        <v>46565</v>
      </c>
      <c r="JL6" s="212" t="n">
        <v>46566</v>
      </c>
      <c r="JM6" s="212" t="n">
        <v>46567</v>
      </c>
      <c r="JN6" s="212" t="n">
        <v>46568</v>
      </c>
      <c r="JO6" s="212" t="n">
        <v>46569</v>
      </c>
      <c r="JP6" s="212" t="n">
        <v>46570</v>
      </c>
      <c r="JQ6" s="212" t="n">
        <v>46571</v>
      </c>
      <c r="JR6" s="212" t="n">
        <v>46572</v>
      </c>
      <c r="JS6" s="212" t="n">
        <v>46573</v>
      </c>
      <c r="JT6" s="212" t="n">
        <v>46574</v>
      </c>
      <c r="JU6" s="212" t="n">
        <v>46575</v>
      </c>
      <c r="JV6" s="212" t="n">
        <v>46576</v>
      </c>
      <c r="JW6" s="212" t="n">
        <v>46577</v>
      </c>
      <c r="JX6" s="212" t="n">
        <v>46578</v>
      </c>
      <c r="JY6" s="212" t="n">
        <v>46579</v>
      </c>
      <c r="JZ6" s="212" t="n">
        <v>46580</v>
      </c>
      <c r="KA6" s="212" t="n">
        <v>46581</v>
      </c>
      <c r="KB6" s="212" t="n">
        <v>46582</v>
      </c>
      <c r="KC6" s="212" t="n">
        <v>46583</v>
      </c>
      <c r="KD6" s="212" t="n">
        <v>46584</v>
      </c>
      <c r="KE6" s="212" t="n">
        <v>46585</v>
      </c>
      <c r="KF6" s="212" t="n">
        <v>46586</v>
      </c>
      <c r="KG6" s="212" t="n">
        <v>46587</v>
      </c>
      <c r="KH6" s="212" t="n">
        <v>46588</v>
      </c>
      <c r="KI6" s="212" t="n">
        <v>46589</v>
      </c>
      <c r="KJ6" s="212" t="n">
        <v>46590</v>
      </c>
      <c r="KK6" s="212" t="n">
        <v>46591</v>
      </c>
      <c r="KL6" s="212" t="n">
        <v>46592</v>
      </c>
      <c r="KM6" s="212" t="n">
        <v>46593</v>
      </c>
      <c r="KN6" s="212" t="n">
        <v>46594</v>
      </c>
      <c r="KO6" s="212" t="n">
        <v>46595</v>
      </c>
      <c r="KP6" s="212" t="n">
        <v>46596</v>
      </c>
      <c r="KQ6" s="212" t="n">
        <v>46597</v>
      </c>
      <c r="KR6" s="212" t="n">
        <v>46598</v>
      </c>
      <c r="KS6" s="212" t="n">
        <v>46599</v>
      </c>
      <c r="KT6" s="212" t="n">
        <v>46600</v>
      </c>
      <c r="KU6" s="212" t="n">
        <v>46601</v>
      </c>
      <c r="KV6" s="212" t="n">
        <v>46602</v>
      </c>
      <c r="KW6" s="212" t="n">
        <v>46603</v>
      </c>
      <c r="KX6" s="212" t="n">
        <v>46604</v>
      </c>
      <c r="KY6" s="212" t="n">
        <v>46605</v>
      </c>
      <c r="KZ6" s="212" t="n">
        <v>46606</v>
      </c>
      <c r="LA6" s="212" t="n">
        <v>46607</v>
      </c>
      <c r="LB6" s="212" t="n">
        <v>46608</v>
      </c>
      <c r="LC6" s="212" t="n">
        <v>46609</v>
      </c>
      <c r="LD6" s="212" t="n">
        <v>46610</v>
      </c>
      <c r="LE6" s="212" t="n">
        <v>46611</v>
      </c>
      <c r="LF6" s="212" t="n">
        <v>46612</v>
      </c>
      <c r="LG6" s="212" t="n">
        <v>46613</v>
      </c>
      <c r="LH6" s="212" t="n">
        <v>46614</v>
      </c>
      <c r="LI6" s="212" t="n">
        <v>46615</v>
      </c>
      <c r="LJ6" s="212" t="n">
        <v>46616</v>
      </c>
      <c r="LK6" s="212" t="n">
        <v>46617</v>
      </c>
      <c r="LL6" s="212" t="n">
        <v>46618</v>
      </c>
      <c r="LM6" s="212" t="n">
        <v>46619</v>
      </c>
      <c r="LN6" s="212" t="n">
        <v>46620</v>
      </c>
      <c r="LO6" s="212" t="n">
        <v>46621</v>
      </c>
      <c r="LP6" s="212" t="n">
        <v>46622</v>
      </c>
      <c r="LQ6" s="212" t="n">
        <v>46623</v>
      </c>
      <c r="LR6" s="212" t="n">
        <v>46624</v>
      </c>
      <c r="LS6" s="212" t="n">
        <v>46625</v>
      </c>
      <c r="LT6" s="212" t="n">
        <v>46626</v>
      </c>
      <c r="LU6" s="212" t="n">
        <v>46627</v>
      </c>
      <c r="LV6" s="212" t="n">
        <v>46628</v>
      </c>
      <c r="LW6" s="212" t="n">
        <v>46629</v>
      </c>
      <c r="LX6" s="212" t="n">
        <v>46630</v>
      </c>
      <c r="LY6" s="212" t="n">
        <v>46631</v>
      </c>
      <c r="LZ6" s="212" t="n">
        <v>46632</v>
      </c>
      <c r="MA6" s="212" t="n">
        <v>46633</v>
      </c>
      <c r="MB6" s="212" t="n">
        <v>46634</v>
      </c>
      <c r="MC6" s="212" t="n">
        <v>46635</v>
      </c>
      <c r="MD6" s="212" t="n">
        <v>46636</v>
      </c>
      <c r="ME6" s="212" t="n">
        <v>46637</v>
      </c>
      <c r="MF6" s="212" t="n">
        <v>46638</v>
      </c>
      <c r="MG6" s="212" t="n">
        <v>46639</v>
      </c>
      <c r="MH6" s="212" t="n">
        <v>46640</v>
      </c>
      <c r="MI6" s="212" t="n">
        <v>46641</v>
      </c>
      <c r="MJ6" s="212" t="n">
        <v>46642</v>
      </c>
      <c r="MK6" s="212" t="n">
        <v>46643</v>
      </c>
      <c r="ML6" s="212" t="n">
        <v>46644</v>
      </c>
      <c r="MM6" s="212" t="n">
        <v>46645</v>
      </c>
      <c r="MN6" s="212" t="n">
        <v>46646</v>
      </c>
      <c r="MO6" s="212" t="n">
        <v>46647</v>
      </c>
      <c r="MP6" s="212" t="n">
        <v>46648</v>
      </c>
      <c r="MQ6" s="212" t="n">
        <v>46649</v>
      </c>
      <c r="MR6" s="212" t="n">
        <v>46650</v>
      </c>
      <c r="MS6" s="212" t="n">
        <v>46651</v>
      </c>
      <c r="MT6" s="212" t="n">
        <v>46652</v>
      </c>
      <c r="MU6" s="212" t="n">
        <v>46653</v>
      </c>
      <c r="MV6" s="212" t="n">
        <v>46654</v>
      </c>
      <c r="MW6" s="212" t="n">
        <v>46655</v>
      </c>
      <c r="MX6" s="212" t="n">
        <v>46656</v>
      </c>
      <c r="MY6" s="212" t="n">
        <v>46657</v>
      </c>
      <c r="MZ6" s="212" t="n">
        <v>46658</v>
      </c>
      <c r="NA6" s="212" t="n">
        <v>46659</v>
      </c>
      <c r="NB6" s="212" t="n">
        <v>46660</v>
      </c>
      <c r="NC6" s="213" t="inlineStr">
        <is>
          <t>Annual Total</t>
        </is>
      </c>
    </row>
    <row r="7" ht="14.25" customHeight="1" s="166">
      <c r="A7" s="214" t="inlineStr">
        <is>
          <t>Speciality Restaurant 1 - Embers</t>
        </is>
      </c>
      <c r="B7" s="215" t="n"/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5" t="n"/>
      <c r="AB7" s="215" t="n"/>
      <c r="AC7" s="215" t="n"/>
      <c r="AD7" s="215" t="n"/>
      <c r="AE7" s="215" t="n"/>
      <c r="AF7" s="215" t="n"/>
      <c r="AG7" s="215" t="n"/>
      <c r="AH7" s="215" t="n"/>
      <c r="AI7" s="215" t="n"/>
      <c r="AJ7" s="215" t="n"/>
      <c r="AK7" s="215" t="n"/>
      <c r="AL7" s="215" t="n"/>
      <c r="AM7" s="215" t="n"/>
      <c r="AN7" s="215" t="n"/>
      <c r="AO7" s="215" t="n"/>
      <c r="AP7" s="215" t="n"/>
      <c r="AQ7" s="215" t="n"/>
      <c r="AR7" s="215" t="n"/>
      <c r="AS7" s="215" t="n"/>
      <c r="AT7" s="215" t="n"/>
      <c r="AU7" s="215" t="n"/>
      <c r="AV7" s="215" t="n"/>
      <c r="AW7" s="215" t="n"/>
      <c r="AX7" s="215" t="n"/>
      <c r="AY7" s="215" t="n"/>
      <c r="AZ7" s="215" t="n"/>
      <c r="BA7" s="215" t="n"/>
      <c r="BB7" s="215" t="n"/>
      <c r="BC7" s="215" t="n"/>
      <c r="BD7" s="215" t="n"/>
      <c r="BE7" s="215" t="n"/>
      <c r="BF7" s="215" t="n"/>
      <c r="BG7" s="215" t="n"/>
      <c r="BH7" s="215" t="n"/>
      <c r="BI7" s="215" t="n"/>
      <c r="BJ7" s="215" t="n"/>
      <c r="BK7" s="215" t="n"/>
      <c r="BL7" s="215" t="n"/>
      <c r="BM7" s="215" t="n"/>
      <c r="BN7" s="215" t="n"/>
      <c r="BO7" s="215" t="n"/>
      <c r="BP7" s="215" t="n"/>
      <c r="BQ7" s="215" t="n"/>
      <c r="BR7" s="215" t="n"/>
      <c r="BS7" s="215" t="n"/>
      <c r="BT7" s="215" t="n"/>
      <c r="BU7" s="215" t="n"/>
      <c r="BV7" s="215" t="n"/>
      <c r="BW7" s="215" t="n"/>
      <c r="BX7" s="215" t="n"/>
      <c r="BY7" s="215" t="n"/>
      <c r="BZ7" s="215" t="n"/>
      <c r="CA7" s="215" t="n"/>
      <c r="CB7" s="215" t="n"/>
      <c r="CC7" s="215" t="n"/>
      <c r="CD7" s="215" t="n"/>
      <c r="CE7" s="215" t="n"/>
      <c r="CF7" s="215" t="n"/>
      <c r="CG7" s="215" t="n"/>
      <c r="CH7" s="215" t="n"/>
      <c r="CI7" s="215" t="n"/>
      <c r="CJ7" s="215" t="n"/>
      <c r="CK7" s="215" t="n"/>
      <c r="CL7" s="215" t="n"/>
      <c r="CM7" s="215" t="n"/>
      <c r="CN7" s="215" t="n"/>
      <c r="CO7" s="215" t="n"/>
      <c r="CP7" s="215" t="n"/>
      <c r="CQ7" s="215" t="n"/>
      <c r="CR7" s="215" t="n"/>
      <c r="CS7" s="215" t="n"/>
      <c r="CT7" s="215" t="n"/>
      <c r="CU7" s="215" t="n"/>
      <c r="CV7" s="215" t="n"/>
      <c r="CW7" s="215" t="n"/>
      <c r="CX7" s="215" t="n"/>
      <c r="CY7" s="215" t="n"/>
      <c r="CZ7" s="215" t="n"/>
      <c r="DA7" s="215" t="n"/>
      <c r="DB7" s="215" t="n"/>
      <c r="DC7" s="215" t="n"/>
      <c r="DD7" s="215" t="n"/>
      <c r="DE7" s="215" t="n"/>
      <c r="DF7" s="215" t="n"/>
      <c r="DG7" s="215" t="n"/>
      <c r="DH7" s="215" t="n"/>
      <c r="DI7" s="215" t="n"/>
      <c r="DJ7" s="215" t="n"/>
      <c r="DK7" s="215" t="n"/>
      <c r="DL7" s="215" t="n"/>
      <c r="DM7" s="215" t="n"/>
      <c r="DN7" s="215" t="n"/>
      <c r="DO7" s="215" t="n"/>
      <c r="DP7" s="215" t="n"/>
      <c r="DQ7" s="215" t="n"/>
      <c r="DR7" s="215" t="n"/>
      <c r="DS7" s="215" t="n"/>
      <c r="DT7" s="215" t="n"/>
      <c r="DU7" s="215" t="n"/>
      <c r="DV7" s="215" t="n"/>
      <c r="DW7" s="215" t="n"/>
      <c r="DX7" s="215" t="n"/>
      <c r="DY7" s="215" t="n"/>
      <c r="DZ7" s="215" t="n"/>
      <c r="EA7" s="215" t="n"/>
      <c r="EB7" s="215" t="n"/>
      <c r="EC7" s="215" t="n"/>
      <c r="ED7" s="215" t="n"/>
      <c r="EE7" s="215" t="n"/>
      <c r="EF7" s="215" t="n"/>
      <c r="EG7" s="215" t="n"/>
      <c r="EH7" s="215" t="n"/>
      <c r="EI7" s="215" t="n"/>
      <c r="EJ7" s="215" t="n"/>
      <c r="EK7" s="215" t="n"/>
      <c r="EL7" s="215" t="n"/>
      <c r="EM7" s="215" t="n"/>
      <c r="EN7" s="215" t="n"/>
      <c r="EO7" s="215" t="n"/>
      <c r="EP7" s="215" t="n"/>
      <c r="EQ7" s="215" t="n"/>
      <c r="ER7" s="215" t="n"/>
      <c r="ES7" s="215" t="n"/>
      <c r="ET7" s="215" t="n"/>
      <c r="EU7" s="215" t="n"/>
      <c r="EV7" s="215" t="n"/>
      <c r="EW7" s="215" t="n"/>
      <c r="EX7" s="215" t="n"/>
      <c r="EY7" s="215" t="n"/>
      <c r="EZ7" s="215" t="n"/>
      <c r="FA7" s="215" t="n"/>
      <c r="FB7" s="215" t="n"/>
      <c r="FC7" s="215" t="n"/>
      <c r="FD7" s="215" t="n"/>
      <c r="FE7" s="215" t="n"/>
      <c r="FF7" s="215" t="n"/>
      <c r="FG7" s="215" t="n"/>
      <c r="FH7" s="215" t="n"/>
      <c r="FI7" s="215" t="n"/>
      <c r="FJ7" s="215" t="n"/>
      <c r="FK7" s="215" t="n"/>
      <c r="FL7" s="215" t="n"/>
      <c r="FM7" s="215" t="n"/>
      <c r="FN7" s="215" t="n"/>
      <c r="FO7" s="215" t="n"/>
      <c r="FP7" s="215" t="n"/>
      <c r="FQ7" s="215" t="n"/>
      <c r="FR7" s="215" t="n"/>
      <c r="FS7" s="215" t="n"/>
      <c r="FT7" s="215" t="n"/>
      <c r="FU7" s="215" t="n"/>
      <c r="FV7" s="215" t="n"/>
      <c r="FW7" s="215" t="n"/>
      <c r="FX7" s="215" t="n"/>
      <c r="FY7" s="215" t="n"/>
      <c r="FZ7" s="215" t="n"/>
      <c r="GA7" s="215" t="n"/>
      <c r="GB7" s="215" t="n"/>
      <c r="GC7" s="215" t="n"/>
      <c r="GD7" s="215" t="n"/>
      <c r="GE7" s="215" t="n"/>
      <c r="GF7" s="215" t="n"/>
      <c r="GG7" s="215" t="n"/>
      <c r="GH7" s="215" t="n"/>
      <c r="GI7" s="215" t="n"/>
      <c r="GJ7" s="215" t="n"/>
      <c r="GK7" s="215" t="n"/>
      <c r="GL7" s="215" t="n"/>
      <c r="GM7" s="215" t="n"/>
      <c r="GN7" s="215" t="n"/>
      <c r="GO7" s="215" t="n"/>
      <c r="GP7" s="215" t="n"/>
      <c r="GQ7" s="215" t="n"/>
      <c r="GR7" s="215" t="n"/>
      <c r="GS7" s="215" t="n"/>
      <c r="GT7" s="215" t="n"/>
      <c r="GU7" s="215" t="n"/>
      <c r="GV7" s="215" t="n"/>
      <c r="GW7" s="215" t="n"/>
      <c r="GX7" s="215" t="n"/>
      <c r="GY7" s="215" t="n"/>
      <c r="GZ7" s="215" t="n"/>
      <c r="HA7" s="215" t="n"/>
      <c r="HB7" s="215" t="n"/>
      <c r="HC7" s="215" t="n"/>
      <c r="HD7" s="215" t="n"/>
      <c r="HE7" s="215" t="n"/>
      <c r="HF7" s="215" t="n"/>
      <c r="HG7" s="215" t="n"/>
      <c r="HH7" s="215" t="n"/>
      <c r="HI7" s="215" t="n"/>
      <c r="HJ7" s="215" t="n"/>
      <c r="HK7" s="215" t="n"/>
      <c r="HL7" s="215" t="n"/>
      <c r="HM7" s="215" t="n"/>
      <c r="HN7" s="215" t="n"/>
      <c r="HO7" s="215" t="n"/>
      <c r="HP7" s="215" t="n"/>
      <c r="HQ7" s="215" t="n"/>
      <c r="HR7" s="215" t="n"/>
      <c r="HS7" s="215" t="n"/>
      <c r="HT7" s="215" t="n"/>
      <c r="HU7" s="215" t="n"/>
      <c r="HV7" s="215" t="n"/>
      <c r="HW7" s="215" t="n"/>
      <c r="HX7" s="215" t="n"/>
      <c r="HY7" s="215" t="n"/>
      <c r="HZ7" s="215" t="n"/>
      <c r="IA7" s="215" t="n"/>
      <c r="IB7" s="215" t="n"/>
      <c r="IC7" s="215" t="n"/>
      <c r="ID7" s="215" t="n"/>
      <c r="IE7" s="215" t="n"/>
      <c r="IF7" s="215" t="n"/>
      <c r="IG7" s="215" t="n"/>
      <c r="IH7" s="215" t="n"/>
      <c r="II7" s="215" t="n"/>
      <c r="IJ7" s="215" t="n"/>
      <c r="IK7" s="215" t="n"/>
      <c r="IL7" s="215" t="n"/>
      <c r="IM7" s="215" t="n"/>
      <c r="IN7" s="215" t="n"/>
      <c r="IO7" s="215" t="n"/>
      <c r="IP7" s="215" t="n"/>
      <c r="IQ7" s="215" t="n"/>
      <c r="IR7" s="215" t="n"/>
      <c r="IS7" s="215" t="n"/>
      <c r="IT7" s="215" t="n"/>
      <c r="IU7" s="215" t="n"/>
      <c r="IV7" s="215" t="n"/>
      <c r="IW7" s="215" t="n"/>
      <c r="IX7" s="215" t="n"/>
      <c r="IY7" s="215" t="n"/>
      <c r="IZ7" s="215" t="n"/>
      <c r="JA7" s="215" t="n"/>
      <c r="JB7" s="215" t="n"/>
      <c r="JC7" s="215" t="n"/>
      <c r="JD7" s="215" t="n"/>
      <c r="JE7" s="215" t="n"/>
      <c r="JF7" s="215" t="n"/>
      <c r="JG7" s="215" t="n"/>
      <c r="JH7" s="215" t="n"/>
      <c r="JI7" s="215" t="n"/>
      <c r="JJ7" s="215" t="n"/>
      <c r="JK7" s="215" t="n"/>
      <c r="JL7" s="215" t="n"/>
      <c r="JM7" s="215" t="n"/>
      <c r="JN7" s="215" t="n"/>
      <c r="JO7" s="215" t="n"/>
      <c r="JP7" s="215" t="n"/>
      <c r="JQ7" s="215" t="n"/>
      <c r="JR7" s="215" t="n"/>
      <c r="JS7" s="215" t="n"/>
      <c r="JT7" s="215" t="n"/>
      <c r="JU7" s="215" t="n"/>
      <c r="JV7" s="215" t="n"/>
      <c r="JW7" s="215" t="n"/>
      <c r="JX7" s="215" t="n"/>
      <c r="JY7" s="215" t="n"/>
      <c r="JZ7" s="215" t="n"/>
      <c r="KA7" s="215" t="n"/>
      <c r="KB7" s="215" t="n"/>
      <c r="KC7" s="215" t="n"/>
      <c r="KD7" s="215" t="n"/>
      <c r="KE7" s="215" t="n"/>
      <c r="KF7" s="215" t="n"/>
      <c r="KG7" s="215" t="n"/>
      <c r="KH7" s="215" t="n"/>
      <c r="KI7" s="215" t="n"/>
      <c r="KJ7" s="215" t="n"/>
      <c r="KK7" s="215" t="n"/>
      <c r="KL7" s="215" t="n"/>
      <c r="KM7" s="215" t="n"/>
      <c r="KN7" s="215" t="n"/>
      <c r="KO7" s="215" t="n"/>
      <c r="KP7" s="215" t="n"/>
      <c r="KQ7" s="215" t="n"/>
      <c r="KR7" s="215" t="n"/>
      <c r="KS7" s="215" t="n"/>
      <c r="KT7" s="215" t="n"/>
      <c r="KU7" s="215" t="n"/>
      <c r="KV7" s="215" t="n"/>
      <c r="KW7" s="215" t="n"/>
      <c r="KX7" s="215" t="n"/>
      <c r="KY7" s="215" t="n"/>
      <c r="KZ7" s="215" t="n"/>
      <c r="LA7" s="215" t="n"/>
      <c r="LB7" s="215" t="n"/>
      <c r="LC7" s="215" t="n"/>
      <c r="LD7" s="215" t="n"/>
      <c r="LE7" s="215" t="n"/>
      <c r="LF7" s="215" t="n"/>
      <c r="LG7" s="215" t="n"/>
      <c r="LH7" s="215" t="n"/>
      <c r="LI7" s="215" t="n"/>
      <c r="LJ7" s="215" t="n"/>
      <c r="LK7" s="215" t="n"/>
      <c r="LL7" s="215" t="n"/>
      <c r="LM7" s="215" t="n"/>
      <c r="LN7" s="215" t="n"/>
      <c r="LO7" s="215" t="n"/>
      <c r="LP7" s="215" t="n"/>
      <c r="LQ7" s="215" t="n"/>
      <c r="LR7" s="215" t="n"/>
      <c r="LS7" s="215" t="n"/>
      <c r="LT7" s="215" t="n"/>
      <c r="LU7" s="215" t="n"/>
      <c r="LV7" s="215" t="n"/>
      <c r="LW7" s="215" t="n"/>
      <c r="LX7" s="215" t="n"/>
      <c r="LY7" s="215" t="n"/>
      <c r="LZ7" s="215" t="n"/>
      <c r="MA7" s="215" t="n"/>
      <c r="MB7" s="215" t="n"/>
      <c r="MC7" s="215" t="n"/>
      <c r="MD7" s="215" t="n"/>
      <c r="ME7" s="215" t="n"/>
      <c r="MF7" s="215" t="n"/>
      <c r="MG7" s="215" t="n"/>
      <c r="MH7" s="215" t="n"/>
      <c r="MI7" s="215" t="n"/>
      <c r="MJ7" s="215" t="n"/>
      <c r="MK7" s="215" t="n"/>
      <c r="ML7" s="215" t="n"/>
      <c r="MM7" s="215" t="n"/>
      <c r="MN7" s="215" t="n"/>
      <c r="MO7" s="215" t="n"/>
      <c r="MP7" s="215" t="n"/>
      <c r="MQ7" s="215" t="n"/>
      <c r="MR7" s="215" t="n"/>
      <c r="MS7" s="215" t="n"/>
      <c r="MT7" s="215" t="n"/>
      <c r="MU7" s="215" t="n"/>
      <c r="MV7" s="215" t="n"/>
      <c r="MW7" s="215" t="n"/>
      <c r="MX7" s="215" t="n"/>
      <c r="MY7" s="215" t="n"/>
      <c r="MZ7" s="215" t="n"/>
      <c r="NA7" s="215" t="n"/>
      <c r="NB7" s="215" t="n"/>
      <c r="NC7" s="216">
        <f>SUM(B7:NB7)</f>
        <v/>
      </c>
    </row>
    <row r="8" ht="14.25" customHeight="1" s="166">
      <c r="A8" s="214" t="inlineStr">
        <is>
          <t>Pool Bar &amp; Grill - Drift</t>
        </is>
      </c>
      <c r="B8" s="215" t="n"/>
      <c r="C8" s="215" t="n"/>
      <c r="D8" s="215" t="n"/>
      <c r="E8" s="215" t="n"/>
      <c r="F8" s="215" t="n"/>
      <c r="G8" s="215" t="n"/>
      <c r="H8" s="215" t="n"/>
      <c r="I8" s="215" t="n"/>
      <c r="J8" s="215" t="n"/>
      <c r="K8" s="215" t="n"/>
      <c r="L8" s="215" t="n"/>
      <c r="M8" s="215" t="n"/>
      <c r="N8" s="215" t="n"/>
      <c r="O8" s="215" t="n"/>
      <c r="P8" s="215" t="n"/>
      <c r="Q8" s="215" t="n"/>
      <c r="R8" s="215" t="n"/>
      <c r="S8" s="215" t="n"/>
      <c r="T8" s="215" t="n"/>
      <c r="U8" s="215" t="n"/>
      <c r="V8" s="215" t="n"/>
      <c r="W8" s="215" t="n"/>
      <c r="X8" s="215" t="n"/>
      <c r="Y8" s="215" t="n"/>
      <c r="Z8" s="215" t="n"/>
      <c r="AA8" s="215" t="n"/>
      <c r="AB8" s="215" t="n"/>
      <c r="AC8" s="215" t="n"/>
      <c r="AD8" s="215" t="n"/>
      <c r="AE8" s="215" t="n"/>
      <c r="AF8" s="215" t="n"/>
      <c r="AG8" s="215" t="n"/>
      <c r="AH8" s="215" t="n"/>
      <c r="AI8" s="215" t="n"/>
      <c r="AJ8" s="215" t="n"/>
      <c r="AK8" s="215" t="n"/>
      <c r="AL8" s="215" t="n"/>
      <c r="AM8" s="215" t="n"/>
      <c r="AN8" s="215" t="n"/>
      <c r="AO8" s="215" t="n"/>
      <c r="AP8" s="215" t="n"/>
      <c r="AQ8" s="215" t="n"/>
      <c r="AR8" s="215" t="n"/>
      <c r="AS8" s="215" t="n"/>
      <c r="AT8" s="215" t="n"/>
      <c r="AU8" s="215" t="n"/>
      <c r="AV8" s="215" t="n"/>
      <c r="AW8" s="215" t="n"/>
      <c r="AX8" s="215" t="n"/>
      <c r="AY8" s="215" t="n"/>
      <c r="AZ8" s="215" t="n"/>
      <c r="BA8" s="215" t="n"/>
      <c r="BB8" s="215" t="n"/>
      <c r="BC8" s="215" t="n"/>
      <c r="BD8" s="215" t="n"/>
      <c r="BE8" s="215" t="n"/>
      <c r="BF8" s="215" t="n"/>
      <c r="BG8" s="215" t="n"/>
      <c r="BH8" s="215" t="n"/>
      <c r="BI8" s="215" t="n"/>
      <c r="BJ8" s="215" t="n"/>
      <c r="BK8" s="215" t="n"/>
      <c r="BL8" s="215" t="n"/>
      <c r="BM8" s="215" t="n"/>
      <c r="BN8" s="215" t="n"/>
      <c r="BO8" s="215" t="n"/>
      <c r="BP8" s="215" t="n"/>
      <c r="BQ8" s="215" t="n"/>
      <c r="BR8" s="215" t="n"/>
      <c r="BS8" s="215" t="n"/>
      <c r="BT8" s="215" t="n"/>
      <c r="BU8" s="215" t="n"/>
      <c r="BV8" s="215" t="n"/>
      <c r="BW8" s="215" t="n"/>
      <c r="BX8" s="215" t="n"/>
      <c r="BY8" s="215" t="n"/>
      <c r="BZ8" s="215" t="n"/>
      <c r="CA8" s="215" t="n"/>
      <c r="CB8" s="215" t="n"/>
      <c r="CC8" s="215" t="n"/>
      <c r="CD8" s="215" t="n"/>
      <c r="CE8" s="215" t="n"/>
      <c r="CF8" s="215" t="n"/>
      <c r="CG8" s="215" t="n"/>
      <c r="CH8" s="215" t="n"/>
      <c r="CI8" s="215" t="n"/>
      <c r="CJ8" s="215" t="n"/>
      <c r="CK8" s="215" t="n"/>
      <c r="CL8" s="215" t="n"/>
      <c r="CM8" s="215" t="n"/>
      <c r="CN8" s="215" t="n"/>
      <c r="CO8" s="215" t="n"/>
      <c r="CP8" s="215" t="n"/>
      <c r="CQ8" s="215" t="n"/>
      <c r="CR8" s="215" t="n"/>
      <c r="CS8" s="215" t="n"/>
      <c r="CT8" s="215" t="n"/>
      <c r="CU8" s="215" t="n"/>
      <c r="CV8" s="215" t="n"/>
      <c r="CW8" s="215" t="n"/>
      <c r="CX8" s="215" t="n"/>
      <c r="CY8" s="215" t="n"/>
      <c r="CZ8" s="215" t="n"/>
      <c r="DA8" s="215" t="n"/>
      <c r="DB8" s="215" t="n"/>
      <c r="DC8" s="215" t="n"/>
      <c r="DD8" s="215" t="n"/>
      <c r="DE8" s="215" t="n"/>
      <c r="DF8" s="215" t="n"/>
      <c r="DG8" s="215" t="n"/>
      <c r="DH8" s="215" t="n"/>
      <c r="DI8" s="215" t="n"/>
      <c r="DJ8" s="215" t="n"/>
      <c r="DK8" s="215" t="n"/>
      <c r="DL8" s="215" t="n"/>
      <c r="DM8" s="215" t="n"/>
      <c r="DN8" s="215" t="n"/>
      <c r="DO8" s="215" t="n"/>
      <c r="DP8" s="215" t="n"/>
      <c r="DQ8" s="215" t="n"/>
      <c r="DR8" s="215" t="n"/>
      <c r="DS8" s="215" t="n"/>
      <c r="DT8" s="215" t="n"/>
      <c r="DU8" s="215" t="n"/>
      <c r="DV8" s="215" t="n"/>
      <c r="DW8" s="215" t="n"/>
      <c r="DX8" s="215" t="n"/>
      <c r="DY8" s="215" t="n"/>
      <c r="DZ8" s="215" t="n"/>
      <c r="EA8" s="215" t="n"/>
      <c r="EB8" s="215" t="n"/>
      <c r="EC8" s="215" t="n"/>
      <c r="ED8" s="215" t="n"/>
      <c r="EE8" s="215" t="n"/>
      <c r="EF8" s="215" t="n"/>
      <c r="EG8" s="215" t="n"/>
      <c r="EH8" s="215" t="n"/>
      <c r="EI8" s="215" t="n"/>
      <c r="EJ8" s="215" t="n"/>
      <c r="EK8" s="215" t="n"/>
      <c r="EL8" s="215" t="n"/>
      <c r="EM8" s="215" t="n"/>
      <c r="EN8" s="215" t="n"/>
      <c r="EO8" s="215" t="n"/>
      <c r="EP8" s="215" t="n"/>
      <c r="EQ8" s="215" t="n"/>
      <c r="ER8" s="215" t="n"/>
      <c r="ES8" s="215" t="n"/>
      <c r="ET8" s="215" t="n"/>
      <c r="EU8" s="215" t="n"/>
      <c r="EV8" s="215" t="n"/>
      <c r="EW8" s="215" t="n"/>
      <c r="EX8" s="215" t="n"/>
      <c r="EY8" s="215" t="n"/>
      <c r="EZ8" s="215" t="n"/>
      <c r="FA8" s="215" t="n"/>
      <c r="FB8" s="215" t="n"/>
      <c r="FC8" s="215" t="n"/>
      <c r="FD8" s="215" t="n"/>
      <c r="FE8" s="215" t="n"/>
      <c r="FF8" s="215" t="n"/>
      <c r="FG8" s="215" t="n"/>
      <c r="FH8" s="215" t="n"/>
      <c r="FI8" s="215" t="n"/>
      <c r="FJ8" s="215" t="n"/>
      <c r="FK8" s="215" t="n"/>
      <c r="FL8" s="215" t="n"/>
      <c r="FM8" s="215" t="n"/>
      <c r="FN8" s="215" t="n"/>
      <c r="FO8" s="215" t="n"/>
      <c r="FP8" s="215" t="n"/>
      <c r="FQ8" s="215" t="n"/>
      <c r="FR8" s="215" t="n"/>
      <c r="FS8" s="215" t="n"/>
      <c r="FT8" s="215" t="n"/>
      <c r="FU8" s="215" t="n"/>
      <c r="FV8" s="215" t="n"/>
      <c r="FW8" s="215" t="n"/>
      <c r="FX8" s="215" t="n"/>
      <c r="FY8" s="215" t="n"/>
      <c r="FZ8" s="215" t="n"/>
      <c r="GA8" s="215" t="n"/>
      <c r="GB8" s="215" t="n"/>
      <c r="GC8" s="215" t="n"/>
      <c r="GD8" s="215" t="n"/>
      <c r="GE8" s="215" t="n"/>
      <c r="GF8" s="215" t="n"/>
      <c r="GG8" s="215" t="n"/>
      <c r="GH8" s="215" t="n"/>
      <c r="GI8" s="215" t="n"/>
      <c r="GJ8" s="215" t="n"/>
      <c r="GK8" s="215" t="n"/>
      <c r="GL8" s="215" t="n"/>
      <c r="GM8" s="215" t="n"/>
      <c r="GN8" s="215" t="n"/>
      <c r="GO8" s="215" t="n"/>
      <c r="GP8" s="215" t="n"/>
      <c r="GQ8" s="215" t="n"/>
      <c r="GR8" s="215" t="n"/>
      <c r="GS8" s="215" t="n"/>
      <c r="GT8" s="215" t="n"/>
      <c r="GU8" s="215" t="n"/>
      <c r="GV8" s="215" t="n"/>
      <c r="GW8" s="215" t="n"/>
      <c r="GX8" s="215" t="n"/>
      <c r="GY8" s="215" t="n"/>
      <c r="GZ8" s="215" t="n"/>
      <c r="HA8" s="215" t="n"/>
      <c r="HB8" s="215" t="n"/>
      <c r="HC8" s="215" t="n"/>
      <c r="HD8" s="215" t="n"/>
      <c r="HE8" s="215" t="n"/>
      <c r="HF8" s="215" t="n"/>
      <c r="HG8" s="215" t="n"/>
      <c r="HH8" s="215" t="n"/>
      <c r="HI8" s="215" t="n"/>
      <c r="HJ8" s="215" t="n"/>
      <c r="HK8" s="215" t="n"/>
      <c r="HL8" s="215" t="n"/>
      <c r="HM8" s="215" t="n"/>
      <c r="HN8" s="215" t="n"/>
      <c r="HO8" s="215" t="n"/>
      <c r="HP8" s="215" t="n"/>
      <c r="HQ8" s="215" t="n"/>
      <c r="HR8" s="215" t="n"/>
      <c r="HS8" s="215" t="n"/>
      <c r="HT8" s="215" t="n"/>
      <c r="HU8" s="215" t="n"/>
      <c r="HV8" s="215" t="n"/>
      <c r="HW8" s="215" t="n"/>
      <c r="HX8" s="215" t="n"/>
      <c r="HY8" s="215" t="n"/>
      <c r="HZ8" s="215" t="n"/>
      <c r="IA8" s="215" t="n"/>
      <c r="IB8" s="215" t="n"/>
      <c r="IC8" s="215" t="n"/>
      <c r="ID8" s="215" t="n"/>
      <c r="IE8" s="215" t="n"/>
      <c r="IF8" s="215" t="n"/>
      <c r="IG8" s="215" t="n"/>
      <c r="IH8" s="215" t="n"/>
      <c r="II8" s="215" t="n"/>
      <c r="IJ8" s="215" t="n"/>
      <c r="IK8" s="215" t="n"/>
      <c r="IL8" s="215" t="n"/>
      <c r="IM8" s="215" t="n"/>
      <c r="IN8" s="215" t="n"/>
      <c r="IO8" s="215" t="n"/>
      <c r="IP8" s="215" t="n"/>
      <c r="IQ8" s="215" t="n"/>
      <c r="IR8" s="215" t="n"/>
      <c r="IS8" s="215" t="n"/>
      <c r="IT8" s="215" t="n"/>
      <c r="IU8" s="215" t="n"/>
      <c r="IV8" s="215" t="n"/>
      <c r="IW8" s="215" t="n"/>
      <c r="IX8" s="215" t="n"/>
      <c r="IY8" s="215" t="n"/>
      <c r="IZ8" s="215" t="n"/>
      <c r="JA8" s="215" t="n"/>
      <c r="JB8" s="215" t="n"/>
      <c r="JC8" s="215" t="n"/>
      <c r="JD8" s="215" t="n"/>
      <c r="JE8" s="215" t="n"/>
      <c r="JF8" s="215" t="n"/>
      <c r="JG8" s="215" t="n"/>
      <c r="JH8" s="215" t="n"/>
      <c r="JI8" s="215" t="n"/>
      <c r="JJ8" s="215" t="n"/>
      <c r="JK8" s="215" t="n"/>
      <c r="JL8" s="215" t="n"/>
      <c r="JM8" s="215" t="n"/>
      <c r="JN8" s="215" t="n"/>
      <c r="JO8" s="215" t="n"/>
      <c r="JP8" s="215" t="n"/>
      <c r="JQ8" s="215" t="n"/>
      <c r="JR8" s="215" t="n"/>
      <c r="JS8" s="215" t="n"/>
      <c r="JT8" s="215" t="n"/>
      <c r="JU8" s="215" t="n"/>
      <c r="JV8" s="215" t="n"/>
      <c r="JW8" s="215" t="n"/>
      <c r="JX8" s="215" t="n"/>
      <c r="JY8" s="215" t="n"/>
      <c r="JZ8" s="215" t="n"/>
      <c r="KA8" s="215" t="n"/>
      <c r="KB8" s="215" t="n"/>
      <c r="KC8" s="215" t="n"/>
      <c r="KD8" s="215" t="n"/>
      <c r="KE8" s="215" t="n"/>
      <c r="KF8" s="215" t="n"/>
      <c r="KG8" s="215" t="n"/>
      <c r="KH8" s="215" t="n"/>
      <c r="KI8" s="215" t="n"/>
      <c r="KJ8" s="215" t="n"/>
      <c r="KK8" s="215" t="n"/>
      <c r="KL8" s="215" t="n"/>
      <c r="KM8" s="215" t="n"/>
      <c r="KN8" s="215" t="n"/>
      <c r="KO8" s="215" t="n"/>
      <c r="KP8" s="215" t="n"/>
      <c r="KQ8" s="215" t="n"/>
      <c r="KR8" s="215" t="n"/>
      <c r="KS8" s="215" t="n"/>
      <c r="KT8" s="215" t="n"/>
      <c r="KU8" s="215" t="n"/>
      <c r="KV8" s="215" t="n"/>
      <c r="KW8" s="215" t="n"/>
      <c r="KX8" s="215" t="n"/>
      <c r="KY8" s="215" t="n"/>
      <c r="KZ8" s="215" t="n"/>
      <c r="LA8" s="215" t="n"/>
      <c r="LB8" s="215" t="n"/>
      <c r="LC8" s="215" t="n"/>
      <c r="LD8" s="215" t="n"/>
      <c r="LE8" s="215" t="n"/>
      <c r="LF8" s="215" t="n"/>
      <c r="LG8" s="215" t="n"/>
      <c r="LH8" s="215" t="n"/>
      <c r="LI8" s="215" t="n"/>
      <c r="LJ8" s="215" t="n"/>
      <c r="LK8" s="215" t="n"/>
      <c r="LL8" s="215" t="n"/>
      <c r="LM8" s="215" t="n"/>
      <c r="LN8" s="215" t="n"/>
      <c r="LO8" s="215" t="n"/>
      <c r="LP8" s="215" t="n"/>
      <c r="LQ8" s="215" t="n"/>
      <c r="LR8" s="215" t="n"/>
      <c r="LS8" s="215" t="n"/>
      <c r="LT8" s="215" t="n"/>
      <c r="LU8" s="215" t="n"/>
      <c r="LV8" s="215" t="n"/>
      <c r="LW8" s="215" t="n"/>
      <c r="LX8" s="215" t="n"/>
      <c r="LY8" s="215" t="n"/>
      <c r="LZ8" s="215" t="n"/>
      <c r="MA8" s="215" t="n"/>
      <c r="MB8" s="215" t="n"/>
      <c r="MC8" s="215" t="n"/>
      <c r="MD8" s="215" t="n"/>
      <c r="ME8" s="215" t="n"/>
      <c r="MF8" s="215" t="n"/>
      <c r="MG8" s="215" t="n"/>
      <c r="MH8" s="215" t="n"/>
      <c r="MI8" s="215" t="n"/>
      <c r="MJ8" s="215" t="n"/>
      <c r="MK8" s="215" t="n"/>
      <c r="ML8" s="215" t="n"/>
      <c r="MM8" s="215" t="n"/>
      <c r="MN8" s="215" t="n"/>
      <c r="MO8" s="215" t="n"/>
      <c r="MP8" s="215" t="n"/>
      <c r="MQ8" s="215" t="n"/>
      <c r="MR8" s="215" t="n"/>
      <c r="MS8" s="215" t="n"/>
      <c r="MT8" s="215" t="n"/>
      <c r="MU8" s="215" t="n"/>
      <c r="MV8" s="215" t="n"/>
      <c r="MW8" s="215" t="n"/>
      <c r="MX8" s="215" t="n"/>
      <c r="MY8" s="215" t="n"/>
      <c r="MZ8" s="215" t="n"/>
      <c r="NA8" s="215" t="n"/>
      <c r="NB8" s="215" t="n"/>
      <c r="NC8" s="216">
        <f>SUM(B8:NB8)</f>
        <v/>
      </c>
    </row>
    <row r="9" ht="14.25" customHeight="1" s="166">
      <c r="A9" s="214" t="inlineStr">
        <is>
          <t>Main Kitchen</t>
        </is>
      </c>
      <c r="B9" s="215" t="n"/>
      <c r="C9" s="215" t="n"/>
      <c r="D9" s="215" t="n"/>
      <c r="E9" s="215" t="n"/>
      <c r="F9" s="215" t="n"/>
      <c r="G9" s="215" t="n"/>
      <c r="H9" s="215" t="n"/>
      <c r="I9" s="215" t="n"/>
      <c r="J9" s="215" t="n"/>
      <c r="K9" s="215" t="n"/>
      <c r="L9" s="215" t="n"/>
      <c r="M9" s="215" t="n"/>
      <c r="N9" s="215" t="n"/>
      <c r="O9" s="215" t="n"/>
      <c r="P9" s="215" t="n"/>
      <c r="Q9" s="215" t="n"/>
      <c r="R9" s="215" t="n"/>
      <c r="S9" s="215" t="n"/>
      <c r="T9" s="215" t="n"/>
      <c r="U9" s="215" t="n"/>
      <c r="V9" s="215" t="n"/>
      <c r="W9" s="215" t="n"/>
      <c r="X9" s="215" t="n"/>
      <c r="Y9" s="215" t="n"/>
      <c r="Z9" s="215" t="n"/>
      <c r="AA9" s="215" t="n"/>
      <c r="AB9" s="215" t="n"/>
      <c r="AC9" s="215" t="n"/>
      <c r="AD9" s="215" t="n"/>
      <c r="AE9" s="215" t="n"/>
      <c r="AF9" s="215" t="n"/>
      <c r="AG9" s="215" t="n"/>
      <c r="AH9" s="215" t="n"/>
      <c r="AI9" s="215" t="n"/>
      <c r="AJ9" s="215" t="n"/>
      <c r="AK9" s="215" t="n"/>
      <c r="AL9" s="215" t="n"/>
      <c r="AM9" s="215" t="n"/>
      <c r="AN9" s="215" t="n"/>
      <c r="AO9" s="215" t="n"/>
      <c r="AP9" s="215" t="n"/>
      <c r="AQ9" s="215" t="n"/>
      <c r="AR9" s="215" t="n"/>
      <c r="AS9" s="215" t="n"/>
      <c r="AT9" s="215" t="n"/>
      <c r="AU9" s="215" t="n"/>
      <c r="AV9" s="215" t="n"/>
      <c r="AW9" s="215" t="n"/>
      <c r="AX9" s="215" t="n"/>
      <c r="AY9" s="215" t="n"/>
      <c r="AZ9" s="215" t="n"/>
      <c r="BA9" s="215" t="n"/>
      <c r="BB9" s="215" t="n"/>
      <c r="BC9" s="215" t="n"/>
      <c r="BD9" s="215" t="n"/>
      <c r="BE9" s="215" t="n"/>
      <c r="BF9" s="215" t="n"/>
      <c r="BG9" s="215" t="n"/>
      <c r="BH9" s="215" t="n"/>
      <c r="BI9" s="215" t="n"/>
      <c r="BJ9" s="215" t="n"/>
      <c r="BK9" s="215" t="n"/>
      <c r="BL9" s="215" t="n"/>
      <c r="BM9" s="215" t="n"/>
      <c r="BN9" s="215" t="n"/>
      <c r="BO9" s="215" t="n"/>
      <c r="BP9" s="215" t="n"/>
      <c r="BQ9" s="215" t="n"/>
      <c r="BR9" s="215" t="n"/>
      <c r="BS9" s="215" t="n"/>
      <c r="BT9" s="215" t="n"/>
      <c r="BU9" s="215" t="n"/>
      <c r="BV9" s="215" t="n"/>
      <c r="BW9" s="215" t="n"/>
      <c r="BX9" s="215" t="n"/>
      <c r="BY9" s="215" t="n"/>
      <c r="BZ9" s="215" t="n"/>
      <c r="CA9" s="215" t="n"/>
      <c r="CB9" s="215" t="n"/>
      <c r="CC9" s="215" t="n"/>
      <c r="CD9" s="215" t="n"/>
      <c r="CE9" s="215" t="n"/>
      <c r="CF9" s="215" t="n"/>
      <c r="CG9" s="215" t="n"/>
      <c r="CH9" s="215" t="n"/>
      <c r="CI9" s="215" t="n"/>
      <c r="CJ9" s="215" t="n"/>
      <c r="CK9" s="215" t="n"/>
      <c r="CL9" s="215" t="n"/>
      <c r="CM9" s="215" t="n"/>
      <c r="CN9" s="215" t="n"/>
      <c r="CO9" s="215" t="n"/>
      <c r="CP9" s="215" t="n"/>
      <c r="CQ9" s="215" t="n"/>
      <c r="CR9" s="215" t="n"/>
      <c r="CS9" s="215" t="n"/>
      <c r="CT9" s="215" t="n"/>
      <c r="CU9" s="215" t="n"/>
      <c r="CV9" s="215" t="n"/>
      <c r="CW9" s="215" t="n"/>
      <c r="CX9" s="215" t="n"/>
      <c r="CY9" s="215" t="n"/>
      <c r="CZ9" s="215" t="n"/>
      <c r="DA9" s="215" t="n"/>
      <c r="DB9" s="215" t="n"/>
      <c r="DC9" s="215" t="n"/>
      <c r="DD9" s="215" t="n"/>
      <c r="DE9" s="215" t="n"/>
      <c r="DF9" s="215" t="n"/>
      <c r="DG9" s="215" t="n"/>
      <c r="DH9" s="215" t="n"/>
      <c r="DI9" s="215" t="n"/>
      <c r="DJ9" s="215" t="n"/>
      <c r="DK9" s="215" t="n"/>
      <c r="DL9" s="215" t="n"/>
      <c r="DM9" s="215" t="n"/>
      <c r="DN9" s="215" t="n"/>
      <c r="DO9" s="215" t="n"/>
      <c r="DP9" s="215" t="n"/>
      <c r="DQ9" s="215" t="n"/>
      <c r="DR9" s="215" t="n"/>
      <c r="DS9" s="215" t="n"/>
      <c r="DT9" s="215" t="n"/>
      <c r="DU9" s="215" t="n"/>
      <c r="DV9" s="215" t="n"/>
      <c r="DW9" s="215" t="n"/>
      <c r="DX9" s="215" t="n"/>
      <c r="DY9" s="215" t="n"/>
      <c r="DZ9" s="215" t="n"/>
      <c r="EA9" s="215" t="n"/>
      <c r="EB9" s="215" t="n"/>
      <c r="EC9" s="215" t="n"/>
      <c r="ED9" s="215" t="n"/>
      <c r="EE9" s="215" t="n"/>
      <c r="EF9" s="215" t="n"/>
      <c r="EG9" s="215" t="n"/>
      <c r="EH9" s="215" t="n"/>
      <c r="EI9" s="215" t="n"/>
      <c r="EJ9" s="215" t="n"/>
      <c r="EK9" s="215" t="n"/>
      <c r="EL9" s="215" t="n"/>
      <c r="EM9" s="215" t="n"/>
      <c r="EN9" s="215" t="n"/>
      <c r="EO9" s="215" t="n"/>
      <c r="EP9" s="215" t="n"/>
      <c r="EQ9" s="215" t="n"/>
      <c r="ER9" s="215" t="n"/>
      <c r="ES9" s="215" t="n"/>
      <c r="ET9" s="215" t="n"/>
      <c r="EU9" s="215" t="n"/>
      <c r="EV9" s="215" t="n"/>
      <c r="EW9" s="215" t="n"/>
      <c r="EX9" s="215" t="n"/>
      <c r="EY9" s="215" t="n"/>
      <c r="EZ9" s="215" t="n"/>
      <c r="FA9" s="215" t="n"/>
      <c r="FB9" s="215" t="n"/>
      <c r="FC9" s="215" t="n"/>
      <c r="FD9" s="215" t="n"/>
      <c r="FE9" s="215" t="n"/>
      <c r="FF9" s="215" t="n"/>
      <c r="FG9" s="215" t="n"/>
      <c r="FH9" s="215" t="n"/>
      <c r="FI9" s="215" t="n"/>
      <c r="FJ9" s="215" t="n"/>
      <c r="FK9" s="215" t="n"/>
      <c r="FL9" s="215" t="n"/>
      <c r="FM9" s="215" t="n"/>
      <c r="FN9" s="215" t="n"/>
      <c r="FO9" s="215" t="n"/>
      <c r="FP9" s="215" t="n"/>
      <c r="FQ9" s="215" t="n"/>
      <c r="FR9" s="215" t="n"/>
      <c r="FS9" s="215" t="n"/>
      <c r="FT9" s="215" t="n"/>
      <c r="FU9" s="215" t="n"/>
      <c r="FV9" s="215" t="n"/>
      <c r="FW9" s="215" t="n"/>
      <c r="FX9" s="215" t="n"/>
      <c r="FY9" s="215" t="n"/>
      <c r="FZ9" s="215" t="n"/>
      <c r="GA9" s="215" t="n"/>
      <c r="GB9" s="215" t="n"/>
      <c r="GC9" s="215" t="n"/>
      <c r="GD9" s="215" t="n"/>
      <c r="GE9" s="215" t="n"/>
      <c r="GF9" s="215" t="n"/>
      <c r="GG9" s="215" t="n"/>
      <c r="GH9" s="215" t="n"/>
      <c r="GI9" s="215" t="n"/>
      <c r="GJ9" s="215" t="n"/>
      <c r="GK9" s="215" t="n"/>
      <c r="GL9" s="215" t="n"/>
      <c r="GM9" s="215" t="n"/>
      <c r="GN9" s="215" t="n"/>
      <c r="GO9" s="215" t="n"/>
      <c r="GP9" s="215" t="n"/>
      <c r="GQ9" s="215" t="n"/>
      <c r="GR9" s="215" t="n"/>
      <c r="GS9" s="215" t="n"/>
      <c r="GT9" s="215" t="n"/>
      <c r="GU9" s="215" t="n"/>
      <c r="GV9" s="215" t="n"/>
      <c r="GW9" s="215" t="n"/>
      <c r="GX9" s="215" t="n"/>
      <c r="GY9" s="215" t="n"/>
      <c r="GZ9" s="215" t="n"/>
      <c r="HA9" s="215" t="n"/>
      <c r="HB9" s="215" t="n"/>
      <c r="HC9" s="215" t="n"/>
      <c r="HD9" s="215" t="n"/>
      <c r="HE9" s="215" t="n"/>
      <c r="HF9" s="215" t="n"/>
      <c r="HG9" s="215" t="n"/>
      <c r="HH9" s="215" t="n"/>
      <c r="HI9" s="215" t="n"/>
      <c r="HJ9" s="215" t="n"/>
      <c r="HK9" s="215" t="n"/>
      <c r="HL9" s="215" t="n"/>
      <c r="HM9" s="215" t="n"/>
      <c r="HN9" s="215" t="n"/>
      <c r="HO9" s="215" t="n"/>
      <c r="HP9" s="215" t="n"/>
      <c r="HQ9" s="215" t="n"/>
      <c r="HR9" s="215" t="n"/>
      <c r="HS9" s="215" t="n"/>
      <c r="HT9" s="215" t="n"/>
      <c r="HU9" s="215" t="n"/>
      <c r="HV9" s="215" t="n"/>
      <c r="HW9" s="215" t="n"/>
      <c r="HX9" s="215" t="n"/>
      <c r="HY9" s="215" t="n"/>
      <c r="HZ9" s="215" t="n"/>
      <c r="IA9" s="215" t="n"/>
      <c r="IB9" s="215" t="n"/>
      <c r="IC9" s="215" t="n"/>
      <c r="ID9" s="215" t="n"/>
      <c r="IE9" s="215" t="n"/>
      <c r="IF9" s="215" t="n"/>
      <c r="IG9" s="215" t="n"/>
      <c r="IH9" s="215" t="n"/>
      <c r="II9" s="215" t="n"/>
      <c r="IJ9" s="215" t="n"/>
      <c r="IK9" s="215" t="n"/>
      <c r="IL9" s="215" t="n"/>
      <c r="IM9" s="215" t="n"/>
      <c r="IN9" s="215" t="n"/>
      <c r="IO9" s="215" t="n"/>
      <c r="IP9" s="215" t="n"/>
      <c r="IQ9" s="215" t="n"/>
      <c r="IR9" s="215" t="n"/>
      <c r="IS9" s="215" t="n"/>
      <c r="IT9" s="215" t="n"/>
      <c r="IU9" s="215" t="n"/>
      <c r="IV9" s="215" t="n"/>
      <c r="IW9" s="215" t="n"/>
      <c r="IX9" s="215" t="n"/>
      <c r="IY9" s="215" t="n"/>
      <c r="IZ9" s="215" t="n"/>
      <c r="JA9" s="215" t="n"/>
      <c r="JB9" s="215" t="n"/>
      <c r="JC9" s="215" t="n"/>
      <c r="JD9" s="215" t="n"/>
      <c r="JE9" s="215" t="n"/>
      <c r="JF9" s="215" t="n"/>
      <c r="JG9" s="215" t="n"/>
      <c r="JH9" s="215" t="n"/>
      <c r="JI9" s="215" t="n"/>
      <c r="JJ9" s="215" t="n"/>
      <c r="JK9" s="215" t="n"/>
      <c r="JL9" s="215" t="n"/>
      <c r="JM9" s="215" t="n"/>
      <c r="JN9" s="215" t="n"/>
      <c r="JO9" s="215" t="n"/>
      <c r="JP9" s="215" t="n"/>
      <c r="JQ9" s="215" t="n"/>
      <c r="JR9" s="215" t="n"/>
      <c r="JS9" s="215" t="n"/>
      <c r="JT9" s="215" t="n"/>
      <c r="JU9" s="215" t="n"/>
      <c r="JV9" s="215" t="n"/>
      <c r="JW9" s="215" t="n"/>
      <c r="JX9" s="215" t="n"/>
      <c r="JY9" s="215" t="n"/>
      <c r="JZ9" s="215" t="n"/>
      <c r="KA9" s="215" t="n"/>
      <c r="KB9" s="215" t="n"/>
      <c r="KC9" s="215" t="n"/>
      <c r="KD9" s="215" t="n"/>
      <c r="KE9" s="215" t="n"/>
      <c r="KF9" s="215" t="n"/>
      <c r="KG9" s="215" t="n"/>
      <c r="KH9" s="215" t="n"/>
      <c r="KI9" s="215" t="n"/>
      <c r="KJ9" s="215" t="n"/>
      <c r="KK9" s="215" t="n"/>
      <c r="KL9" s="215" t="n"/>
      <c r="KM9" s="215" t="n"/>
      <c r="KN9" s="215" t="n"/>
      <c r="KO9" s="215" t="n"/>
      <c r="KP9" s="215" t="n"/>
      <c r="KQ9" s="215" t="n"/>
      <c r="KR9" s="215" t="n"/>
      <c r="KS9" s="215" t="n"/>
      <c r="KT9" s="215" t="n"/>
      <c r="KU9" s="215" t="n"/>
      <c r="KV9" s="215" t="n"/>
      <c r="KW9" s="215" t="n"/>
      <c r="KX9" s="215" t="n"/>
      <c r="KY9" s="215" t="n"/>
      <c r="KZ9" s="215" t="n"/>
      <c r="LA9" s="215" t="n"/>
      <c r="LB9" s="215" t="n"/>
      <c r="LC9" s="215" t="n"/>
      <c r="LD9" s="215" t="n"/>
      <c r="LE9" s="215" t="n"/>
      <c r="LF9" s="215" t="n"/>
      <c r="LG9" s="215" t="n"/>
      <c r="LH9" s="215" t="n"/>
      <c r="LI9" s="215" t="n"/>
      <c r="LJ9" s="215" t="n"/>
      <c r="LK9" s="215" t="n"/>
      <c r="LL9" s="215" t="n"/>
      <c r="LM9" s="215" t="n"/>
      <c r="LN9" s="215" t="n"/>
      <c r="LO9" s="215" t="n"/>
      <c r="LP9" s="215" t="n"/>
      <c r="LQ9" s="215" t="n"/>
      <c r="LR9" s="215" t="n"/>
      <c r="LS9" s="215" t="n"/>
      <c r="LT9" s="215" t="n"/>
      <c r="LU9" s="215" t="n"/>
      <c r="LV9" s="215" t="n"/>
      <c r="LW9" s="215" t="n"/>
      <c r="LX9" s="215" t="n"/>
      <c r="LY9" s="215" t="n"/>
      <c r="LZ9" s="215" t="n"/>
      <c r="MA9" s="215" t="n"/>
      <c r="MB9" s="215" t="n"/>
      <c r="MC9" s="215" t="n"/>
      <c r="MD9" s="215" t="n"/>
      <c r="ME9" s="215" t="n"/>
      <c r="MF9" s="215" t="n"/>
      <c r="MG9" s="215" t="n"/>
      <c r="MH9" s="215" t="n"/>
      <c r="MI9" s="215" t="n"/>
      <c r="MJ9" s="215" t="n"/>
      <c r="MK9" s="215" t="n"/>
      <c r="ML9" s="215" t="n"/>
      <c r="MM9" s="215" t="n"/>
      <c r="MN9" s="215" t="n"/>
      <c r="MO9" s="215" t="n"/>
      <c r="MP9" s="215" t="n"/>
      <c r="MQ9" s="215" t="n"/>
      <c r="MR9" s="215" t="n"/>
      <c r="MS9" s="215" t="n"/>
      <c r="MT9" s="215" t="n"/>
      <c r="MU9" s="215" t="n"/>
      <c r="MV9" s="215" t="n"/>
      <c r="MW9" s="215" t="n"/>
      <c r="MX9" s="215" t="n"/>
      <c r="MY9" s="215" t="n"/>
      <c r="MZ9" s="215" t="n"/>
      <c r="NA9" s="215" t="n"/>
      <c r="NB9" s="215" t="n"/>
      <c r="NC9" s="216">
        <f>SUM(B9:NB9)</f>
        <v/>
      </c>
    </row>
    <row r="10" ht="14.25" customHeight="1" s="166">
      <c r="A10" s="214" t="inlineStr">
        <is>
          <t>Amalfi</t>
        </is>
      </c>
      <c r="B10" s="215" t="n"/>
      <c r="C10" s="215" t="n"/>
      <c r="D10" s="215" t="n"/>
      <c r="E10" s="215" t="n"/>
      <c r="F10" s="215" t="n"/>
      <c r="G10" s="215" t="n"/>
      <c r="H10" s="215" t="n"/>
      <c r="I10" s="215" t="n"/>
      <c r="J10" s="215" t="n"/>
      <c r="K10" s="215" t="n"/>
      <c r="L10" s="215" t="n"/>
      <c r="M10" s="215" t="n"/>
      <c r="N10" s="215" t="n"/>
      <c r="O10" s="215" t="n"/>
      <c r="P10" s="215" t="n"/>
      <c r="Q10" s="215" t="n"/>
      <c r="R10" s="215" t="n"/>
      <c r="S10" s="215" t="n"/>
      <c r="T10" s="215" t="n"/>
      <c r="U10" s="215" t="n"/>
      <c r="V10" s="215" t="n"/>
      <c r="W10" s="215" t="n"/>
      <c r="X10" s="215" t="n"/>
      <c r="Y10" s="215" t="n"/>
      <c r="Z10" s="215" t="n"/>
      <c r="AA10" s="215" t="n"/>
      <c r="AB10" s="215" t="n"/>
      <c r="AC10" s="215" t="n"/>
      <c r="AD10" s="215" t="n"/>
      <c r="AE10" s="215" t="n"/>
      <c r="AF10" s="215" t="n"/>
      <c r="AG10" s="215" t="n"/>
      <c r="AH10" s="215" t="n"/>
      <c r="AI10" s="215" t="n"/>
      <c r="AJ10" s="215" t="n"/>
      <c r="AK10" s="215" t="n"/>
      <c r="AL10" s="215" t="n"/>
      <c r="AM10" s="215" t="n"/>
      <c r="AN10" s="215" t="n"/>
      <c r="AO10" s="215" t="n"/>
      <c r="AP10" s="215" t="n"/>
      <c r="AQ10" s="215" t="n"/>
      <c r="AR10" s="215" t="n"/>
      <c r="AS10" s="215" t="n"/>
      <c r="AT10" s="215" t="n"/>
      <c r="AU10" s="215" t="n"/>
      <c r="AV10" s="215" t="n"/>
      <c r="AW10" s="215" t="n"/>
      <c r="AX10" s="215" t="n"/>
      <c r="AY10" s="215" t="n"/>
      <c r="AZ10" s="215" t="n"/>
      <c r="BA10" s="215" t="n"/>
      <c r="BB10" s="215" t="n"/>
      <c r="BC10" s="215" t="n"/>
      <c r="BD10" s="215" t="n"/>
      <c r="BE10" s="215" t="n"/>
      <c r="BF10" s="215" t="n"/>
      <c r="BG10" s="215" t="n"/>
      <c r="BH10" s="215" t="n"/>
      <c r="BI10" s="215" t="n"/>
      <c r="BJ10" s="215" t="n"/>
      <c r="BK10" s="215" t="n"/>
      <c r="BL10" s="215" t="n"/>
      <c r="BM10" s="215" t="n"/>
      <c r="BN10" s="215" t="n"/>
      <c r="BO10" s="215" t="n"/>
      <c r="BP10" s="215" t="n"/>
      <c r="BQ10" s="215" t="n"/>
      <c r="BR10" s="215" t="n"/>
      <c r="BS10" s="215" t="n"/>
      <c r="BT10" s="215" t="n"/>
      <c r="BU10" s="215" t="n"/>
      <c r="BV10" s="215" t="n"/>
      <c r="BW10" s="215" t="n"/>
      <c r="BX10" s="215" t="n"/>
      <c r="BY10" s="215" t="n"/>
      <c r="BZ10" s="215" t="n"/>
      <c r="CA10" s="215" t="n"/>
      <c r="CB10" s="215" t="n"/>
      <c r="CC10" s="215" t="n"/>
      <c r="CD10" s="215" t="n"/>
      <c r="CE10" s="215" t="n"/>
      <c r="CF10" s="215" t="n"/>
      <c r="CG10" s="215" t="n"/>
      <c r="CH10" s="215" t="n"/>
      <c r="CI10" s="215" t="n"/>
      <c r="CJ10" s="215" t="n"/>
      <c r="CK10" s="215" t="n"/>
      <c r="CL10" s="215" t="n"/>
      <c r="CM10" s="215" t="n"/>
      <c r="CN10" s="215" t="n"/>
      <c r="CO10" s="215" t="n"/>
      <c r="CP10" s="215" t="n"/>
      <c r="CQ10" s="215" t="n"/>
      <c r="CR10" s="215" t="n"/>
      <c r="CS10" s="215" t="n"/>
      <c r="CT10" s="215" t="n"/>
      <c r="CU10" s="215" t="n"/>
      <c r="CV10" s="215" t="n"/>
      <c r="CW10" s="215" t="n"/>
      <c r="CX10" s="215" t="n"/>
      <c r="CY10" s="215" t="n"/>
      <c r="CZ10" s="215" t="n"/>
      <c r="DA10" s="215" t="n"/>
      <c r="DB10" s="215" t="n"/>
      <c r="DC10" s="215" t="n"/>
      <c r="DD10" s="215" t="n"/>
      <c r="DE10" s="215" t="n"/>
      <c r="DF10" s="215" t="n"/>
      <c r="DG10" s="215" t="n"/>
      <c r="DH10" s="215" t="n"/>
      <c r="DI10" s="215" t="n"/>
      <c r="DJ10" s="215" t="n"/>
      <c r="DK10" s="215" t="n"/>
      <c r="DL10" s="215" t="n"/>
      <c r="DM10" s="215" t="n"/>
      <c r="DN10" s="215" t="n"/>
      <c r="DO10" s="215" t="n"/>
      <c r="DP10" s="215" t="n"/>
      <c r="DQ10" s="215" t="n"/>
      <c r="DR10" s="215" t="n"/>
      <c r="DS10" s="215" t="n"/>
      <c r="DT10" s="215" t="n"/>
      <c r="DU10" s="215" t="n"/>
      <c r="DV10" s="215" t="n"/>
      <c r="DW10" s="215" t="n"/>
      <c r="DX10" s="215" t="n"/>
      <c r="DY10" s="215" t="n"/>
      <c r="DZ10" s="215" t="n"/>
      <c r="EA10" s="215" t="n"/>
      <c r="EB10" s="215" t="n"/>
      <c r="EC10" s="215" t="n"/>
      <c r="ED10" s="215" t="n"/>
      <c r="EE10" s="215" t="n"/>
      <c r="EF10" s="215" t="n"/>
      <c r="EG10" s="215" t="n"/>
      <c r="EH10" s="215" t="n"/>
      <c r="EI10" s="215" t="n"/>
      <c r="EJ10" s="215" t="n"/>
      <c r="EK10" s="215" t="n"/>
      <c r="EL10" s="215" t="n"/>
      <c r="EM10" s="215" t="n"/>
      <c r="EN10" s="215" t="n"/>
      <c r="EO10" s="215" t="n"/>
      <c r="EP10" s="215" t="n"/>
      <c r="EQ10" s="215" t="n"/>
      <c r="ER10" s="215" t="n"/>
      <c r="ES10" s="215" t="n"/>
      <c r="ET10" s="215" t="n"/>
      <c r="EU10" s="215" t="n"/>
      <c r="EV10" s="215" t="n"/>
      <c r="EW10" s="215" t="n"/>
      <c r="EX10" s="215" t="n"/>
      <c r="EY10" s="215" t="n"/>
      <c r="EZ10" s="215" t="n"/>
      <c r="FA10" s="215" t="n"/>
      <c r="FB10" s="215" t="n"/>
      <c r="FC10" s="215" t="n"/>
      <c r="FD10" s="215" t="n"/>
      <c r="FE10" s="215" t="n"/>
      <c r="FF10" s="215" t="n"/>
      <c r="FG10" s="215" t="n"/>
      <c r="FH10" s="215" t="n"/>
      <c r="FI10" s="215" t="n"/>
      <c r="FJ10" s="215" t="n"/>
      <c r="FK10" s="215" t="n"/>
      <c r="FL10" s="215" t="n"/>
      <c r="FM10" s="215" t="n"/>
      <c r="FN10" s="215" t="n"/>
      <c r="FO10" s="215" t="n"/>
      <c r="FP10" s="215" t="n"/>
      <c r="FQ10" s="215" t="n"/>
      <c r="FR10" s="215" t="n"/>
      <c r="FS10" s="215" t="n"/>
      <c r="FT10" s="215" t="n"/>
      <c r="FU10" s="215" t="n"/>
      <c r="FV10" s="215" t="n"/>
      <c r="FW10" s="215" t="n"/>
      <c r="FX10" s="215" t="n"/>
      <c r="FY10" s="215" t="n"/>
      <c r="FZ10" s="215" t="n"/>
      <c r="GA10" s="215" t="n"/>
      <c r="GB10" s="215" t="n"/>
      <c r="GC10" s="215" t="n"/>
      <c r="GD10" s="215" t="n"/>
      <c r="GE10" s="215" t="n"/>
      <c r="GF10" s="215" t="n"/>
      <c r="GG10" s="215" t="n"/>
      <c r="GH10" s="215" t="n"/>
      <c r="GI10" s="215" t="n"/>
      <c r="GJ10" s="215" t="n"/>
      <c r="GK10" s="215" t="n"/>
      <c r="GL10" s="215" t="n"/>
      <c r="GM10" s="215" t="n"/>
      <c r="GN10" s="215" t="n"/>
      <c r="GO10" s="215" t="n"/>
      <c r="GP10" s="215" t="n"/>
      <c r="GQ10" s="215" t="n"/>
      <c r="GR10" s="215" t="n"/>
      <c r="GS10" s="215" t="n"/>
      <c r="GT10" s="215" t="n"/>
      <c r="GU10" s="215" t="n"/>
      <c r="GV10" s="215" t="n"/>
      <c r="GW10" s="215" t="n"/>
      <c r="GX10" s="215" t="n"/>
      <c r="GY10" s="215" t="n"/>
      <c r="GZ10" s="215" t="n"/>
      <c r="HA10" s="215" t="n"/>
      <c r="HB10" s="215" t="n"/>
      <c r="HC10" s="215" t="n"/>
      <c r="HD10" s="215" t="n"/>
      <c r="HE10" s="215" t="n"/>
      <c r="HF10" s="215" t="n"/>
      <c r="HG10" s="215" t="n"/>
      <c r="HH10" s="215" t="n"/>
      <c r="HI10" s="215" t="n"/>
      <c r="HJ10" s="215" t="n"/>
      <c r="HK10" s="215" t="n"/>
      <c r="HL10" s="215" t="n"/>
      <c r="HM10" s="215" t="n"/>
      <c r="HN10" s="215" t="n"/>
      <c r="HO10" s="215" t="n"/>
      <c r="HP10" s="215" t="n"/>
      <c r="HQ10" s="215" t="n"/>
      <c r="HR10" s="215" t="n"/>
      <c r="HS10" s="215" t="n"/>
      <c r="HT10" s="215" t="n"/>
      <c r="HU10" s="215" t="n"/>
      <c r="HV10" s="215" t="n"/>
      <c r="HW10" s="215" t="n"/>
      <c r="HX10" s="215" t="n"/>
      <c r="HY10" s="215" t="n"/>
      <c r="HZ10" s="215" t="n"/>
      <c r="IA10" s="215" t="n"/>
      <c r="IB10" s="215" t="n"/>
      <c r="IC10" s="215" t="n"/>
      <c r="ID10" s="215" t="n"/>
      <c r="IE10" s="215" t="n"/>
      <c r="IF10" s="215" t="n"/>
      <c r="IG10" s="215" t="n"/>
      <c r="IH10" s="215" t="n"/>
      <c r="II10" s="215" t="n"/>
      <c r="IJ10" s="215" t="n"/>
      <c r="IK10" s="215" t="n"/>
      <c r="IL10" s="215" t="n"/>
      <c r="IM10" s="215" t="n"/>
      <c r="IN10" s="215" t="n"/>
      <c r="IO10" s="215" t="n"/>
      <c r="IP10" s="215" t="n"/>
      <c r="IQ10" s="215" t="n"/>
      <c r="IR10" s="215" t="n"/>
      <c r="IS10" s="215" t="n"/>
      <c r="IT10" s="215" t="n"/>
      <c r="IU10" s="215" t="n"/>
      <c r="IV10" s="215" t="n"/>
      <c r="IW10" s="215" t="n"/>
      <c r="IX10" s="215" t="n"/>
      <c r="IY10" s="215" t="n"/>
      <c r="IZ10" s="215" t="n"/>
      <c r="JA10" s="215" t="n"/>
      <c r="JB10" s="215" t="n"/>
      <c r="JC10" s="215" t="n"/>
      <c r="JD10" s="215" t="n"/>
      <c r="JE10" s="215" t="n"/>
      <c r="JF10" s="215" t="n"/>
      <c r="JG10" s="215" t="n"/>
      <c r="JH10" s="215" t="n"/>
      <c r="JI10" s="215" t="n"/>
      <c r="JJ10" s="215" t="n"/>
      <c r="JK10" s="215" t="n"/>
      <c r="JL10" s="215" t="n"/>
      <c r="JM10" s="215" t="n"/>
      <c r="JN10" s="215" t="n"/>
      <c r="JO10" s="215" t="n"/>
      <c r="JP10" s="215" t="n"/>
      <c r="JQ10" s="215" t="n"/>
      <c r="JR10" s="215" t="n"/>
      <c r="JS10" s="215" t="n"/>
      <c r="JT10" s="215" t="n"/>
      <c r="JU10" s="215" t="n"/>
      <c r="JV10" s="215" t="n"/>
      <c r="JW10" s="215" t="n"/>
      <c r="JX10" s="215" t="n"/>
      <c r="JY10" s="215" t="n"/>
      <c r="JZ10" s="215" t="n"/>
      <c r="KA10" s="215" t="n"/>
      <c r="KB10" s="215" t="n"/>
      <c r="KC10" s="215" t="n"/>
      <c r="KD10" s="215" t="n"/>
      <c r="KE10" s="215" t="n"/>
      <c r="KF10" s="215" t="n"/>
      <c r="KG10" s="215" t="n"/>
      <c r="KH10" s="215" t="n"/>
      <c r="KI10" s="215" t="n"/>
      <c r="KJ10" s="215" t="n"/>
      <c r="KK10" s="215" t="n"/>
      <c r="KL10" s="215" t="n"/>
      <c r="KM10" s="215" t="n"/>
      <c r="KN10" s="215" t="n"/>
      <c r="KO10" s="215" t="n"/>
      <c r="KP10" s="215" t="n"/>
      <c r="KQ10" s="215" t="n"/>
      <c r="KR10" s="215" t="n"/>
      <c r="KS10" s="215" t="n"/>
      <c r="KT10" s="215" t="n"/>
      <c r="KU10" s="215" t="n"/>
      <c r="KV10" s="215" t="n"/>
      <c r="KW10" s="215" t="n"/>
      <c r="KX10" s="215" t="n"/>
      <c r="KY10" s="215" t="n"/>
      <c r="KZ10" s="215" t="n"/>
      <c r="LA10" s="215" t="n"/>
      <c r="LB10" s="215" t="n"/>
      <c r="LC10" s="215" t="n"/>
      <c r="LD10" s="215" t="n"/>
      <c r="LE10" s="215" t="n"/>
      <c r="LF10" s="215" t="n"/>
      <c r="LG10" s="215" t="n"/>
      <c r="LH10" s="215" t="n"/>
      <c r="LI10" s="215" t="n"/>
      <c r="LJ10" s="215" t="n"/>
      <c r="LK10" s="215" t="n"/>
      <c r="LL10" s="215" t="n"/>
      <c r="LM10" s="215" t="n"/>
      <c r="LN10" s="215" t="n"/>
      <c r="LO10" s="215" t="n"/>
      <c r="LP10" s="215" t="n"/>
      <c r="LQ10" s="215" t="n"/>
      <c r="LR10" s="215" t="n"/>
      <c r="LS10" s="215" t="n"/>
      <c r="LT10" s="215" t="n"/>
      <c r="LU10" s="215" t="n"/>
      <c r="LV10" s="215" t="n"/>
      <c r="LW10" s="215" t="n"/>
      <c r="LX10" s="215" t="n"/>
      <c r="LY10" s="215" t="n"/>
      <c r="LZ10" s="215" t="n"/>
      <c r="MA10" s="215" t="n"/>
      <c r="MB10" s="215" t="n"/>
      <c r="MC10" s="215" t="n"/>
      <c r="MD10" s="215" t="n"/>
      <c r="ME10" s="215" t="n"/>
      <c r="MF10" s="215" t="n"/>
      <c r="MG10" s="215" t="n"/>
      <c r="MH10" s="215" t="n"/>
      <c r="MI10" s="215" t="n"/>
      <c r="MJ10" s="215" t="n"/>
      <c r="MK10" s="215" t="n"/>
      <c r="ML10" s="215" t="n"/>
      <c r="MM10" s="215" t="n"/>
      <c r="MN10" s="215" t="n"/>
      <c r="MO10" s="215" t="n"/>
      <c r="MP10" s="215" t="n"/>
      <c r="MQ10" s="215" t="n"/>
      <c r="MR10" s="215" t="n"/>
      <c r="MS10" s="215" t="n"/>
      <c r="MT10" s="215" t="n"/>
      <c r="MU10" s="215" t="n"/>
      <c r="MV10" s="215" t="n"/>
      <c r="MW10" s="215" t="n"/>
      <c r="MX10" s="215" t="n"/>
      <c r="MY10" s="215" t="n"/>
      <c r="MZ10" s="215" t="n"/>
      <c r="NA10" s="215" t="n"/>
      <c r="NB10" s="215" t="n"/>
      <c r="NC10" s="216">
        <f>SUM(B10:NB10)</f>
        <v/>
      </c>
    </row>
    <row r="11" ht="14.25" customHeight="1" s="166">
      <c r="A11" s="214" t="inlineStr">
        <is>
          <t>Caffe Maude</t>
        </is>
      </c>
      <c r="B11" s="215" t="n"/>
      <c r="C11" s="215" t="n"/>
      <c r="D11" s="215" t="n"/>
      <c r="E11" s="215" t="n"/>
      <c r="F11" s="215" t="n"/>
      <c r="G11" s="215" t="n"/>
      <c r="H11" s="215" t="n"/>
      <c r="I11" s="215" t="n"/>
      <c r="J11" s="215" t="n"/>
      <c r="K11" s="215" t="n"/>
      <c r="L11" s="215" t="n"/>
      <c r="M11" s="215" t="n"/>
      <c r="N11" s="215" t="n"/>
      <c r="O11" s="215" t="n"/>
      <c r="P11" s="215" t="n"/>
      <c r="Q11" s="215" t="n"/>
      <c r="R11" s="215" t="n"/>
      <c r="S11" s="215" t="n"/>
      <c r="T11" s="215" t="n"/>
      <c r="U11" s="215" t="n"/>
      <c r="V11" s="215" t="n"/>
      <c r="W11" s="215" t="n"/>
      <c r="X11" s="215" t="n"/>
      <c r="Y11" s="215" t="n"/>
      <c r="Z11" s="215" t="n"/>
      <c r="AA11" s="215" t="n"/>
      <c r="AB11" s="215" t="n"/>
      <c r="AC11" s="215" t="n"/>
      <c r="AD11" s="215" t="n"/>
      <c r="AE11" s="215" t="n"/>
      <c r="AF11" s="215" t="n"/>
      <c r="AG11" s="215" t="n"/>
      <c r="AH11" s="215" t="n"/>
      <c r="AI11" s="215" t="n"/>
      <c r="AJ11" s="215" t="n"/>
      <c r="AK11" s="215" t="n"/>
      <c r="AL11" s="215" t="n"/>
      <c r="AM11" s="215" t="n"/>
      <c r="AN11" s="215" t="n"/>
      <c r="AO11" s="215" t="n"/>
      <c r="AP11" s="215" t="n"/>
      <c r="AQ11" s="215" t="n"/>
      <c r="AR11" s="215" t="n"/>
      <c r="AS11" s="215" t="n"/>
      <c r="AT11" s="215" t="n"/>
      <c r="AU11" s="215" t="n"/>
      <c r="AV11" s="215" t="n"/>
      <c r="AW11" s="215" t="n"/>
      <c r="AX11" s="215" t="n"/>
      <c r="AY11" s="215" t="n"/>
      <c r="AZ11" s="215" t="n"/>
      <c r="BA11" s="215" t="n"/>
      <c r="BB11" s="215" t="n"/>
      <c r="BC11" s="215" t="n"/>
      <c r="BD11" s="215" t="n"/>
      <c r="BE11" s="215" t="n"/>
      <c r="BF11" s="215" t="n"/>
      <c r="BG11" s="215" t="n"/>
      <c r="BH11" s="215" t="n"/>
      <c r="BI11" s="215" t="n"/>
      <c r="BJ11" s="215" t="n"/>
      <c r="BK11" s="215" t="n"/>
      <c r="BL11" s="215" t="n"/>
      <c r="BM11" s="215" t="n"/>
      <c r="BN11" s="215" t="n"/>
      <c r="BO11" s="215" t="n"/>
      <c r="BP11" s="215" t="n"/>
      <c r="BQ11" s="215" t="n"/>
      <c r="BR11" s="215" t="n"/>
      <c r="BS11" s="215" t="n"/>
      <c r="BT11" s="215" t="n"/>
      <c r="BU11" s="215" t="n"/>
      <c r="BV11" s="215" t="n"/>
      <c r="BW11" s="215" t="n"/>
      <c r="BX11" s="215" t="n"/>
      <c r="BY11" s="215" t="n"/>
      <c r="BZ11" s="215" t="n"/>
      <c r="CA11" s="215" t="n"/>
      <c r="CB11" s="215" t="n"/>
      <c r="CC11" s="215" t="n"/>
      <c r="CD11" s="215" t="n"/>
      <c r="CE11" s="215" t="n"/>
      <c r="CF11" s="215" t="n"/>
      <c r="CG11" s="215" t="n"/>
      <c r="CH11" s="215" t="n"/>
      <c r="CI11" s="215" t="n"/>
      <c r="CJ11" s="215" t="n"/>
      <c r="CK11" s="215" t="n"/>
      <c r="CL11" s="215" t="n"/>
      <c r="CM11" s="215" t="n"/>
      <c r="CN11" s="215" t="n"/>
      <c r="CO11" s="215" t="n"/>
      <c r="CP11" s="215" t="n"/>
      <c r="CQ11" s="215" t="n"/>
      <c r="CR11" s="215" t="n"/>
      <c r="CS11" s="215" t="n"/>
      <c r="CT11" s="215" t="n"/>
      <c r="CU11" s="215" t="n"/>
      <c r="CV11" s="215" t="n"/>
      <c r="CW11" s="215" t="n"/>
      <c r="CX11" s="215" t="n"/>
      <c r="CY11" s="215" t="n"/>
      <c r="CZ11" s="215" t="n"/>
      <c r="DA11" s="215" t="n"/>
      <c r="DB11" s="215" t="n"/>
      <c r="DC11" s="215" t="n"/>
      <c r="DD11" s="215" t="n"/>
      <c r="DE11" s="215" t="n"/>
      <c r="DF11" s="215" t="n"/>
      <c r="DG11" s="215" t="n"/>
      <c r="DH11" s="215" t="n"/>
      <c r="DI11" s="215" t="n"/>
      <c r="DJ11" s="215" t="n"/>
      <c r="DK11" s="215" t="n"/>
      <c r="DL11" s="215" t="n"/>
      <c r="DM11" s="215" t="n"/>
      <c r="DN11" s="215" t="n"/>
      <c r="DO11" s="215" t="n"/>
      <c r="DP11" s="215" t="n"/>
      <c r="DQ11" s="215" t="n"/>
      <c r="DR11" s="215" t="n"/>
      <c r="DS11" s="215" t="n"/>
      <c r="DT11" s="215" t="n"/>
      <c r="DU11" s="215" t="n"/>
      <c r="DV11" s="215" t="n"/>
      <c r="DW11" s="215" t="n"/>
      <c r="DX11" s="215" t="n"/>
      <c r="DY11" s="215" t="n"/>
      <c r="DZ11" s="215" t="n"/>
      <c r="EA11" s="215" t="n"/>
      <c r="EB11" s="215" t="n"/>
      <c r="EC11" s="215" t="n"/>
      <c r="ED11" s="215" t="n"/>
      <c r="EE11" s="215" t="n"/>
      <c r="EF11" s="215" t="n"/>
      <c r="EG11" s="215" t="n"/>
      <c r="EH11" s="215" t="n"/>
      <c r="EI11" s="215" t="n"/>
      <c r="EJ11" s="215" t="n"/>
      <c r="EK11" s="215" t="n"/>
      <c r="EL11" s="215" t="n"/>
      <c r="EM11" s="215" t="n"/>
      <c r="EN11" s="215" t="n"/>
      <c r="EO11" s="215" t="n"/>
      <c r="EP11" s="215" t="n"/>
      <c r="EQ11" s="215" t="n"/>
      <c r="ER11" s="215" t="n"/>
      <c r="ES11" s="215" t="n"/>
      <c r="ET11" s="215" t="n"/>
      <c r="EU11" s="215" t="n"/>
      <c r="EV11" s="215" t="n"/>
      <c r="EW11" s="215" t="n"/>
      <c r="EX11" s="215" t="n"/>
      <c r="EY11" s="215" t="n"/>
      <c r="EZ11" s="215" t="n"/>
      <c r="FA11" s="215" t="n"/>
      <c r="FB11" s="215" t="n"/>
      <c r="FC11" s="215" t="n"/>
      <c r="FD11" s="215" t="n"/>
      <c r="FE11" s="215" t="n"/>
      <c r="FF11" s="215" t="n"/>
      <c r="FG11" s="215" t="n"/>
      <c r="FH11" s="215" t="n"/>
      <c r="FI11" s="215" t="n"/>
      <c r="FJ11" s="215" t="n"/>
      <c r="FK11" s="215" t="n"/>
      <c r="FL11" s="215" t="n"/>
      <c r="FM11" s="215" t="n"/>
      <c r="FN11" s="215" t="n"/>
      <c r="FO11" s="215" t="n"/>
      <c r="FP11" s="215" t="n"/>
      <c r="FQ11" s="215" t="n"/>
      <c r="FR11" s="215" t="n"/>
      <c r="FS11" s="215" t="n"/>
      <c r="FT11" s="215" t="n"/>
      <c r="FU11" s="215" t="n"/>
      <c r="FV11" s="215" t="n"/>
      <c r="FW11" s="215" t="n"/>
      <c r="FX11" s="215" t="n"/>
      <c r="FY11" s="215" t="n"/>
      <c r="FZ11" s="215" t="n"/>
      <c r="GA11" s="215" t="n"/>
      <c r="GB11" s="215" t="n"/>
      <c r="GC11" s="215" t="n"/>
      <c r="GD11" s="215" t="n"/>
      <c r="GE11" s="215" t="n"/>
      <c r="GF11" s="215" t="n"/>
      <c r="GG11" s="215" t="n"/>
      <c r="GH11" s="215" t="n"/>
      <c r="GI11" s="215" t="n"/>
      <c r="GJ11" s="215" t="n"/>
      <c r="GK11" s="215" t="n"/>
      <c r="GL11" s="215" t="n"/>
      <c r="GM11" s="215" t="n"/>
      <c r="GN11" s="215" t="n"/>
      <c r="GO11" s="215" t="n"/>
      <c r="GP11" s="215" t="n"/>
      <c r="GQ11" s="215" t="n"/>
      <c r="GR11" s="215" t="n"/>
      <c r="GS11" s="215" t="n"/>
      <c r="GT11" s="215" t="n"/>
      <c r="GU11" s="215" t="n"/>
      <c r="GV11" s="215" t="n"/>
      <c r="GW11" s="215" t="n"/>
      <c r="GX11" s="215" t="n"/>
      <c r="GY11" s="215" t="n"/>
      <c r="GZ11" s="215" t="n"/>
      <c r="HA11" s="215" t="n"/>
      <c r="HB11" s="215" t="n"/>
      <c r="HC11" s="215" t="n"/>
      <c r="HD11" s="215" t="n"/>
      <c r="HE11" s="215" t="n"/>
      <c r="HF11" s="215" t="n"/>
      <c r="HG11" s="215" t="n"/>
      <c r="HH11" s="215" t="n"/>
      <c r="HI11" s="215" t="n"/>
      <c r="HJ11" s="215" t="n"/>
      <c r="HK11" s="215" t="n"/>
      <c r="HL11" s="215" t="n"/>
      <c r="HM11" s="215" t="n"/>
      <c r="HN11" s="215" t="n"/>
      <c r="HO11" s="215" t="n"/>
      <c r="HP11" s="215" t="n"/>
      <c r="HQ11" s="215" t="n"/>
      <c r="HR11" s="215" t="n"/>
      <c r="HS11" s="215" t="n"/>
      <c r="HT11" s="215" t="n"/>
      <c r="HU11" s="215" t="n"/>
      <c r="HV11" s="215" t="n"/>
      <c r="HW11" s="215" t="n"/>
      <c r="HX11" s="215" t="n"/>
      <c r="HY11" s="215" t="n"/>
      <c r="HZ11" s="215" t="n"/>
      <c r="IA11" s="215" t="n"/>
      <c r="IB11" s="215" t="n"/>
      <c r="IC11" s="215" t="n"/>
      <c r="ID11" s="215" t="n"/>
      <c r="IE11" s="215" t="n"/>
      <c r="IF11" s="215" t="n"/>
      <c r="IG11" s="215" t="n"/>
      <c r="IH11" s="215" t="n"/>
      <c r="II11" s="215" t="n"/>
      <c r="IJ11" s="215" t="n"/>
      <c r="IK11" s="215" t="n"/>
      <c r="IL11" s="215" t="n"/>
      <c r="IM11" s="215" t="n"/>
      <c r="IN11" s="215" t="n"/>
      <c r="IO11" s="215" t="n"/>
      <c r="IP11" s="215" t="n"/>
      <c r="IQ11" s="215" t="n"/>
      <c r="IR11" s="215" t="n"/>
      <c r="IS11" s="215" t="n"/>
      <c r="IT11" s="215" t="n"/>
      <c r="IU11" s="215" t="n"/>
      <c r="IV11" s="215" t="n"/>
      <c r="IW11" s="215" t="n"/>
      <c r="IX11" s="215" t="n"/>
      <c r="IY11" s="215" t="n"/>
      <c r="IZ11" s="215" t="n"/>
      <c r="JA11" s="215" t="n"/>
      <c r="JB11" s="215" t="n"/>
      <c r="JC11" s="215" t="n"/>
      <c r="JD11" s="215" t="n"/>
      <c r="JE11" s="215" t="n"/>
      <c r="JF11" s="215" t="n"/>
      <c r="JG11" s="215" t="n"/>
      <c r="JH11" s="215" t="n"/>
      <c r="JI11" s="215" t="n"/>
      <c r="JJ11" s="215" t="n"/>
      <c r="JK11" s="215" t="n"/>
      <c r="JL11" s="215" t="n"/>
      <c r="JM11" s="215" t="n"/>
      <c r="JN11" s="215" t="n"/>
      <c r="JO11" s="215" t="n"/>
      <c r="JP11" s="215" t="n"/>
      <c r="JQ11" s="215" t="n"/>
      <c r="JR11" s="215" t="n"/>
      <c r="JS11" s="215" t="n"/>
      <c r="JT11" s="215" t="n"/>
      <c r="JU11" s="215" t="n"/>
      <c r="JV11" s="215" t="n"/>
      <c r="JW11" s="215" t="n"/>
      <c r="JX11" s="215" t="n"/>
      <c r="JY11" s="215" t="n"/>
      <c r="JZ11" s="215" t="n"/>
      <c r="KA11" s="215" t="n"/>
      <c r="KB11" s="215" t="n"/>
      <c r="KC11" s="215" t="n"/>
      <c r="KD11" s="215" t="n"/>
      <c r="KE11" s="215" t="n"/>
      <c r="KF11" s="215" t="n"/>
      <c r="KG11" s="215" t="n"/>
      <c r="KH11" s="215" t="n"/>
      <c r="KI11" s="215" t="n"/>
      <c r="KJ11" s="215" t="n"/>
      <c r="KK11" s="215" t="n"/>
      <c r="KL11" s="215" t="n"/>
      <c r="KM11" s="215" t="n"/>
      <c r="KN11" s="215" t="n"/>
      <c r="KO11" s="215" t="n"/>
      <c r="KP11" s="215" t="n"/>
      <c r="KQ11" s="215" t="n"/>
      <c r="KR11" s="215" t="n"/>
      <c r="KS11" s="215" t="n"/>
      <c r="KT11" s="215" t="n"/>
      <c r="KU11" s="215" t="n"/>
      <c r="KV11" s="215" t="n"/>
      <c r="KW11" s="215" t="n"/>
      <c r="KX11" s="215" t="n"/>
      <c r="KY11" s="215" t="n"/>
      <c r="KZ11" s="215" t="n"/>
      <c r="LA11" s="215" t="n"/>
      <c r="LB11" s="215" t="n"/>
      <c r="LC11" s="215" t="n"/>
      <c r="LD11" s="215" t="n"/>
      <c r="LE11" s="215" t="n"/>
      <c r="LF11" s="215" t="n"/>
      <c r="LG11" s="215" t="n"/>
      <c r="LH11" s="215" t="n"/>
      <c r="LI11" s="215" t="n"/>
      <c r="LJ11" s="215" t="n"/>
      <c r="LK11" s="215" t="n"/>
      <c r="LL11" s="215" t="n"/>
      <c r="LM11" s="215" t="n"/>
      <c r="LN11" s="215" t="n"/>
      <c r="LO11" s="215" t="n"/>
      <c r="LP11" s="215" t="n"/>
      <c r="LQ11" s="215" t="n"/>
      <c r="LR11" s="215" t="n"/>
      <c r="LS11" s="215" t="n"/>
      <c r="LT11" s="215" t="n"/>
      <c r="LU11" s="215" t="n"/>
      <c r="LV11" s="215" t="n"/>
      <c r="LW11" s="215" t="n"/>
      <c r="LX11" s="215" t="n"/>
      <c r="LY11" s="215" t="n"/>
      <c r="LZ11" s="215" t="n"/>
      <c r="MA11" s="215" t="n"/>
      <c r="MB11" s="215" t="n"/>
      <c r="MC11" s="215" t="n"/>
      <c r="MD11" s="215" t="n"/>
      <c r="ME11" s="215" t="n"/>
      <c r="MF11" s="215" t="n"/>
      <c r="MG11" s="215" t="n"/>
      <c r="MH11" s="215" t="n"/>
      <c r="MI11" s="215" t="n"/>
      <c r="MJ11" s="215" t="n"/>
      <c r="MK11" s="215" t="n"/>
      <c r="ML11" s="215" t="n"/>
      <c r="MM11" s="215" t="n"/>
      <c r="MN11" s="215" t="n"/>
      <c r="MO11" s="215" t="n"/>
      <c r="MP11" s="215" t="n"/>
      <c r="MQ11" s="215" t="n"/>
      <c r="MR11" s="215" t="n"/>
      <c r="MS11" s="215" t="n"/>
      <c r="MT11" s="215" t="n"/>
      <c r="MU11" s="215" t="n"/>
      <c r="MV11" s="215" t="n"/>
      <c r="MW11" s="215" t="n"/>
      <c r="MX11" s="215" t="n"/>
      <c r="MY11" s="215" t="n"/>
      <c r="MZ11" s="215" t="n"/>
      <c r="NA11" s="215" t="n"/>
      <c r="NB11" s="215" t="n"/>
      <c r="NC11" s="216">
        <f>SUM(B11:NB11)</f>
        <v/>
      </c>
    </row>
    <row r="12" ht="14.25" customHeight="1" s="166">
      <c r="A12" s="214" t="inlineStr">
        <is>
          <t>2:00 AM</t>
        </is>
      </c>
      <c r="B12" s="215" t="n"/>
      <c r="C12" s="215" t="n"/>
      <c r="D12" s="215" t="n"/>
      <c r="E12" s="215" t="n"/>
      <c r="F12" s="215" t="n"/>
      <c r="G12" s="215" t="n"/>
      <c r="H12" s="215" t="n"/>
      <c r="I12" s="215" t="n"/>
      <c r="J12" s="215" t="n"/>
      <c r="K12" s="215" t="n"/>
      <c r="L12" s="215" t="n"/>
      <c r="M12" s="215" t="n"/>
      <c r="N12" s="215" t="n"/>
      <c r="O12" s="215" t="n"/>
      <c r="P12" s="215" t="n"/>
      <c r="Q12" s="215" t="n"/>
      <c r="R12" s="215" t="n"/>
      <c r="S12" s="215" t="n"/>
      <c r="T12" s="215" t="n"/>
      <c r="U12" s="215" t="n"/>
      <c r="V12" s="215" t="n"/>
      <c r="W12" s="215" t="n"/>
      <c r="X12" s="215" t="n"/>
      <c r="Y12" s="215" t="n"/>
      <c r="Z12" s="215" t="n"/>
      <c r="AA12" s="215" t="n"/>
      <c r="AB12" s="215" t="n"/>
      <c r="AC12" s="215" t="n"/>
      <c r="AD12" s="215" t="n"/>
      <c r="AE12" s="215" t="n"/>
      <c r="AF12" s="215" t="n"/>
      <c r="AG12" s="215" t="n"/>
      <c r="AH12" s="215" t="n"/>
      <c r="AI12" s="215" t="n"/>
      <c r="AJ12" s="215" t="n"/>
      <c r="AK12" s="215" t="n"/>
      <c r="AL12" s="215" t="n"/>
      <c r="AM12" s="215" t="n"/>
      <c r="AN12" s="215" t="n"/>
      <c r="AO12" s="215" t="n"/>
      <c r="AP12" s="215" t="n"/>
      <c r="AQ12" s="215" t="n"/>
      <c r="AR12" s="215" t="n"/>
      <c r="AS12" s="215" t="n"/>
      <c r="AT12" s="215" t="n"/>
      <c r="AU12" s="215" t="n"/>
      <c r="AV12" s="215" t="n"/>
      <c r="AW12" s="215" t="n"/>
      <c r="AX12" s="215" t="n"/>
      <c r="AY12" s="215" t="n"/>
      <c r="AZ12" s="215" t="n"/>
      <c r="BA12" s="215" t="n"/>
      <c r="BB12" s="215" t="n"/>
      <c r="BC12" s="215" t="n"/>
      <c r="BD12" s="215" t="n"/>
      <c r="BE12" s="215" t="n"/>
      <c r="BF12" s="215" t="n"/>
      <c r="BG12" s="215" t="n"/>
      <c r="BH12" s="215" t="n"/>
      <c r="BI12" s="215" t="n"/>
      <c r="BJ12" s="215" t="n"/>
      <c r="BK12" s="215" t="n"/>
      <c r="BL12" s="215" t="n"/>
      <c r="BM12" s="215" t="n"/>
      <c r="BN12" s="215" t="n"/>
      <c r="BO12" s="215" t="n"/>
      <c r="BP12" s="215" t="n"/>
      <c r="BQ12" s="215" t="n"/>
      <c r="BR12" s="215" t="n"/>
      <c r="BS12" s="215" t="n"/>
      <c r="BT12" s="215" t="n"/>
      <c r="BU12" s="215" t="n"/>
      <c r="BV12" s="215" t="n"/>
      <c r="BW12" s="215" t="n"/>
      <c r="BX12" s="215" t="n"/>
      <c r="BY12" s="215" t="n"/>
      <c r="BZ12" s="215" t="n"/>
      <c r="CA12" s="215" t="n"/>
      <c r="CB12" s="215" t="n"/>
      <c r="CC12" s="215" t="n"/>
      <c r="CD12" s="215" t="n"/>
      <c r="CE12" s="215" t="n"/>
      <c r="CF12" s="215" t="n"/>
      <c r="CG12" s="215" t="n"/>
      <c r="CH12" s="215" t="n"/>
      <c r="CI12" s="215" t="n"/>
      <c r="CJ12" s="215" t="n"/>
      <c r="CK12" s="215" t="n"/>
      <c r="CL12" s="215" t="n"/>
      <c r="CM12" s="215" t="n"/>
      <c r="CN12" s="215" t="n"/>
      <c r="CO12" s="215" t="n"/>
      <c r="CP12" s="215" t="n"/>
      <c r="CQ12" s="215" t="n"/>
      <c r="CR12" s="215" t="n"/>
      <c r="CS12" s="215" t="n"/>
      <c r="CT12" s="215" t="n"/>
      <c r="CU12" s="215" t="n"/>
      <c r="CV12" s="215" t="n"/>
      <c r="CW12" s="215" t="n"/>
      <c r="CX12" s="215" t="n"/>
      <c r="CY12" s="215" t="n"/>
      <c r="CZ12" s="215" t="n"/>
      <c r="DA12" s="215" t="n"/>
      <c r="DB12" s="215" t="n"/>
      <c r="DC12" s="215" t="n"/>
      <c r="DD12" s="215" t="n"/>
      <c r="DE12" s="215" t="n"/>
      <c r="DF12" s="215" t="n"/>
      <c r="DG12" s="215" t="n"/>
      <c r="DH12" s="215" t="n"/>
      <c r="DI12" s="215" t="n"/>
      <c r="DJ12" s="215" t="n"/>
      <c r="DK12" s="215" t="n"/>
      <c r="DL12" s="215" t="n"/>
      <c r="DM12" s="215" t="n"/>
      <c r="DN12" s="215" t="n"/>
      <c r="DO12" s="215" t="n"/>
      <c r="DP12" s="215" t="n"/>
      <c r="DQ12" s="215" t="n"/>
      <c r="DR12" s="215" t="n"/>
      <c r="DS12" s="215" t="n"/>
      <c r="DT12" s="215" t="n"/>
      <c r="DU12" s="215" t="n"/>
      <c r="DV12" s="215" t="n"/>
      <c r="DW12" s="215" t="n"/>
      <c r="DX12" s="215" t="n"/>
      <c r="DY12" s="215" t="n"/>
      <c r="DZ12" s="215" t="n"/>
      <c r="EA12" s="215" t="n"/>
      <c r="EB12" s="215" t="n"/>
      <c r="EC12" s="215" t="n"/>
      <c r="ED12" s="215" t="n"/>
      <c r="EE12" s="215" t="n"/>
      <c r="EF12" s="215" t="n"/>
      <c r="EG12" s="215" t="n"/>
      <c r="EH12" s="215" t="n"/>
      <c r="EI12" s="215" t="n"/>
      <c r="EJ12" s="215" t="n"/>
      <c r="EK12" s="215" t="n"/>
      <c r="EL12" s="215" t="n"/>
      <c r="EM12" s="215" t="n"/>
      <c r="EN12" s="215" t="n"/>
      <c r="EO12" s="215" t="n"/>
      <c r="EP12" s="215" t="n"/>
      <c r="EQ12" s="215" t="n"/>
      <c r="ER12" s="215" t="n"/>
      <c r="ES12" s="215" t="n"/>
      <c r="ET12" s="215" t="n"/>
      <c r="EU12" s="215" t="n"/>
      <c r="EV12" s="215" t="n"/>
      <c r="EW12" s="215" t="n"/>
      <c r="EX12" s="215" t="n"/>
      <c r="EY12" s="215" t="n"/>
      <c r="EZ12" s="215" t="n"/>
      <c r="FA12" s="215" t="n"/>
      <c r="FB12" s="215" t="n"/>
      <c r="FC12" s="215" t="n"/>
      <c r="FD12" s="215" t="n"/>
      <c r="FE12" s="215" t="n"/>
      <c r="FF12" s="215" t="n"/>
      <c r="FG12" s="215" t="n"/>
      <c r="FH12" s="215" t="n"/>
      <c r="FI12" s="215" t="n"/>
      <c r="FJ12" s="215" t="n"/>
      <c r="FK12" s="215" t="n"/>
      <c r="FL12" s="215" t="n"/>
      <c r="FM12" s="215" t="n"/>
      <c r="FN12" s="215" t="n"/>
      <c r="FO12" s="215" t="n"/>
      <c r="FP12" s="215" t="n"/>
      <c r="FQ12" s="215" t="n"/>
      <c r="FR12" s="215" t="n"/>
      <c r="FS12" s="215" t="n"/>
      <c r="FT12" s="215" t="n"/>
      <c r="FU12" s="215" t="n"/>
      <c r="FV12" s="215" t="n"/>
      <c r="FW12" s="215" t="n"/>
      <c r="FX12" s="215" t="n"/>
      <c r="FY12" s="215" t="n"/>
      <c r="FZ12" s="215" t="n"/>
      <c r="GA12" s="215" t="n"/>
      <c r="GB12" s="215" t="n"/>
      <c r="GC12" s="215" t="n"/>
      <c r="GD12" s="215" t="n"/>
      <c r="GE12" s="215" t="n"/>
      <c r="GF12" s="215" t="n"/>
      <c r="GG12" s="215" t="n"/>
      <c r="GH12" s="215" t="n"/>
      <c r="GI12" s="215" t="n"/>
      <c r="GJ12" s="215" t="n"/>
      <c r="GK12" s="215" t="n"/>
      <c r="GL12" s="215" t="n"/>
      <c r="GM12" s="215" t="n"/>
      <c r="GN12" s="215" t="n"/>
      <c r="GO12" s="215" t="n"/>
      <c r="GP12" s="215" t="n"/>
      <c r="GQ12" s="215" t="n"/>
      <c r="GR12" s="215" t="n"/>
      <c r="GS12" s="215" t="n"/>
      <c r="GT12" s="215" t="n"/>
      <c r="GU12" s="215" t="n"/>
      <c r="GV12" s="215" t="n"/>
      <c r="GW12" s="215" t="n"/>
      <c r="GX12" s="215" t="n"/>
      <c r="GY12" s="215" t="n"/>
      <c r="GZ12" s="215" t="n"/>
      <c r="HA12" s="215" t="n"/>
      <c r="HB12" s="215" t="n"/>
      <c r="HC12" s="215" t="n"/>
      <c r="HD12" s="215" t="n"/>
      <c r="HE12" s="215" t="n"/>
      <c r="HF12" s="215" t="n"/>
      <c r="HG12" s="215" t="n"/>
      <c r="HH12" s="215" t="n"/>
      <c r="HI12" s="215" t="n"/>
      <c r="HJ12" s="215" t="n"/>
      <c r="HK12" s="215" t="n"/>
      <c r="HL12" s="215" t="n"/>
      <c r="HM12" s="215" t="n"/>
      <c r="HN12" s="215" t="n"/>
      <c r="HO12" s="215" t="n"/>
      <c r="HP12" s="215" t="n"/>
      <c r="HQ12" s="215" t="n"/>
      <c r="HR12" s="215" t="n"/>
      <c r="HS12" s="215" t="n"/>
      <c r="HT12" s="215" t="n"/>
      <c r="HU12" s="215" t="n"/>
      <c r="HV12" s="215" t="n"/>
      <c r="HW12" s="215" t="n"/>
      <c r="HX12" s="215" t="n"/>
      <c r="HY12" s="215" t="n"/>
      <c r="HZ12" s="215" t="n"/>
      <c r="IA12" s="215" t="n"/>
      <c r="IB12" s="215" t="n"/>
      <c r="IC12" s="215" t="n"/>
      <c r="ID12" s="215" t="n"/>
      <c r="IE12" s="215" t="n"/>
      <c r="IF12" s="215" t="n"/>
      <c r="IG12" s="215" t="n"/>
      <c r="IH12" s="215" t="n"/>
      <c r="II12" s="215" t="n"/>
      <c r="IJ12" s="215" t="n"/>
      <c r="IK12" s="215" t="n"/>
      <c r="IL12" s="215" t="n"/>
      <c r="IM12" s="215" t="n"/>
      <c r="IN12" s="215" t="n"/>
      <c r="IO12" s="215" t="n"/>
      <c r="IP12" s="215" t="n"/>
      <c r="IQ12" s="215" t="n"/>
      <c r="IR12" s="215" t="n"/>
      <c r="IS12" s="215" t="n"/>
      <c r="IT12" s="215" t="n"/>
      <c r="IU12" s="215" t="n"/>
      <c r="IV12" s="215" t="n"/>
      <c r="IW12" s="215" t="n"/>
      <c r="IX12" s="215" t="n"/>
      <c r="IY12" s="215" t="n"/>
      <c r="IZ12" s="215" t="n"/>
      <c r="JA12" s="215" t="n"/>
      <c r="JB12" s="215" t="n"/>
      <c r="JC12" s="215" t="n"/>
      <c r="JD12" s="215" t="n"/>
      <c r="JE12" s="215" t="n"/>
      <c r="JF12" s="215" t="n"/>
      <c r="JG12" s="215" t="n"/>
      <c r="JH12" s="215" t="n"/>
      <c r="JI12" s="215" t="n"/>
      <c r="JJ12" s="215" t="n"/>
      <c r="JK12" s="215" t="n"/>
      <c r="JL12" s="215" t="n"/>
      <c r="JM12" s="215" t="n"/>
      <c r="JN12" s="215" t="n"/>
      <c r="JO12" s="215" t="n"/>
      <c r="JP12" s="215" t="n"/>
      <c r="JQ12" s="215" t="n"/>
      <c r="JR12" s="215" t="n"/>
      <c r="JS12" s="215" t="n"/>
      <c r="JT12" s="215" t="n"/>
      <c r="JU12" s="215" t="n"/>
      <c r="JV12" s="215" t="n"/>
      <c r="JW12" s="215" t="n"/>
      <c r="JX12" s="215" t="n"/>
      <c r="JY12" s="215" t="n"/>
      <c r="JZ12" s="215" t="n"/>
      <c r="KA12" s="215" t="n"/>
      <c r="KB12" s="215" t="n"/>
      <c r="KC12" s="215" t="n"/>
      <c r="KD12" s="215" t="n"/>
      <c r="KE12" s="215" t="n"/>
      <c r="KF12" s="215" t="n"/>
      <c r="KG12" s="215" t="n"/>
      <c r="KH12" s="215" t="n"/>
      <c r="KI12" s="215" t="n"/>
      <c r="KJ12" s="215" t="n"/>
      <c r="KK12" s="215" t="n"/>
      <c r="KL12" s="215" t="n"/>
      <c r="KM12" s="215" t="n"/>
      <c r="KN12" s="215" t="n"/>
      <c r="KO12" s="215" t="n"/>
      <c r="KP12" s="215" t="n"/>
      <c r="KQ12" s="215" t="n"/>
      <c r="KR12" s="215" t="n"/>
      <c r="KS12" s="215" t="n"/>
      <c r="KT12" s="215" t="n"/>
      <c r="KU12" s="215" t="n"/>
      <c r="KV12" s="215" t="n"/>
      <c r="KW12" s="215" t="n"/>
      <c r="KX12" s="215" t="n"/>
      <c r="KY12" s="215" t="n"/>
      <c r="KZ12" s="215" t="n"/>
      <c r="LA12" s="215" t="n"/>
      <c r="LB12" s="215" t="n"/>
      <c r="LC12" s="215" t="n"/>
      <c r="LD12" s="215" t="n"/>
      <c r="LE12" s="215" t="n"/>
      <c r="LF12" s="215" t="n"/>
      <c r="LG12" s="215" t="n"/>
      <c r="LH12" s="215" t="n"/>
      <c r="LI12" s="215" t="n"/>
      <c r="LJ12" s="215" t="n"/>
      <c r="LK12" s="215" t="n"/>
      <c r="LL12" s="215" t="n"/>
      <c r="LM12" s="215" t="n"/>
      <c r="LN12" s="215" t="n"/>
      <c r="LO12" s="215" t="n"/>
      <c r="LP12" s="215" t="n"/>
      <c r="LQ12" s="215" t="n"/>
      <c r="LR12" s="215" t="n"/>
      <c r="LS12" s="215" t="n"/>
      <c r="LT12" s="215" t="n"/>
      <c r="LU12" s="215" t="n"/>
      <c r="LV12" s="215" t="n"/>
      <c r="LW12" s="215" t="n"/>
      <c r="LX12" s="215" t="n"/>
      <c r="LY12" s="215" t="n"/>
      <c r="LZ12" s="215" t="n"/>
      <c r="MA12" s="215" t="n"/>
      <c r="MB12" s="215" t="n"/>
      <c r="MC12" s="215" t="n"/>
      <c r="MD12" s="215" t="n"/>
      <c r="ME12" s="215" t="n"/>
      <c r="MF12" s="215" t="n"/>
      <c r="MG12" s="215" t="n"/>
      <c r="MH12" s="215" t="n"/>
      <c r="MI12" s="215" t="n"/>
      <c r="MJ12" s="215" t="n"/>
      <c r="MK12" s="215" t="n"/>
      <c r="ML12" s="215" t="n"/>
      <c r="MM12" s="215" t="n"/>
      <c r="MN12" s="215" t="n"/>
      <c r="MO12" s="215" t="n"/>
      <c r="MP12" s="215" t="n"/>
      <c r="MQ12" s="215" t="n"/>
      <c r="MR12" s="215" t="n"/>
      <c r="MS12" s="215" t="n"/>
      <c r="MT12" s="215" t="n"/>
      <c r="MU12" s="215" t="n"/>
      <c r="MV12" s="215" t="n"/>
      <c r="MW12" s="215" t="n"/>
      <c r="MX12" s="215" t="n"/>
      <c r="MY12" s="215" t="n"/>
      <c r="MZ12" s="215" t="n"/>
      <c r="NA12" s="215" t="n"/>
      <c r="NB12" s="215" t="n"/>
      <c r="NC12" s="216">
        <f>SUM(B12:NB12)</f>
        <v/>
      </c>
    </row>
    <row r="13" ht="14.25" customHeight="1" s="166">
      <c r="A13" s="214" t="inlineStr">
        <is>
          <t>Charcoal</t>
        </is>
      </c>
      <c r="B13" s="215" t="n"/>
      <c r="C13" s="215" t="n"/>
      <c r="D13" s="215" t="n"/>
      <c r="E13" s="215" t="n"/>
      <c r="F13" s="215" t="n"/>
      <c r="G13" s="215" t="n"/>
      <c r="H13" s="215" t="n"/>
      <c r="I13" s="215" t="n"/>
      <c r="J13" s="215" t="n"/>
      <c r="K13" s="215" t="n"/>
      <c r="L13" s="215" t="n"/>
      <c r="M13" s="215" t="n"/>
      <c r="N13" s="215" t="n"/>
      <c r="O13" s="215" t="n"/>
      <c r="P13" s="215" t="n"/>
      <c r="Q13" s="215" t="n"/>
      <c r="R13" s="215" t="n"/>
      <c r="S13" s="215" t="n"/>
      <c r="T13" s="215" t="n"/>
      <c r="U13" s="215" t="n"/>
      <c r="V13" s="215" t="n"/>
      <c r="W13" s="215" t="n"/>
      <c r="X13" s="215" t="n"/>
      <c r="Y13" s="215" t="n"/>
      <c r="Z13" s="215" t="n"/>
      <c r="AA13" s="215" t="n"/>
      <c r="AB13" s="215" t="n"/>
      <c r="AC13" s="215" t="n"/>
      <c r="AD13" s="215" t="n"/>
      <c r="AE13" s="215" t="n"/>
      <c r="AF13" s="215" t="n"/>
      <c r="AG13" s="215" t="n"/>
      <c r="AH13" s="215" t="n"/>
      <c r="AI13" s="215" t="n"/>
      <c r="AJ13" s="215" t="n"/>
      <c r="AK13" s="215" t="n"/>
      <c r="AL13" s="215" t="n"/>
      <c r="AM13" s="215" t="n"/>
      <c r="AN13" s="215" t="n"/>
      <c r="AO13" s="215" t="n"/>
      <c r="AP13" s="215" t="n"/>
      <c r="AQ13" s="215" t="n"/>
      <c r="AR13" s="215" t="n"/>
      <c r="AS13" s="215" t="n"/>
      <c r="AT13" s="215" t="n"/>
      <c r="AU13" s="215" t="n"/>
      <c r="AV13" s="215" t="n"/>
      <c r="AW13" s="215" t="n"/>
      <c r="AX13" s="215" t="n"/>
      <c r="AY13" s="215" t="n"/>
      <c r="AZ13" s="215" t="n"/>
      <c r="BA13" s="215" t="n"/>
      <c r="BB13" s="215" t="n"/>
      <c r="BC13" s="215" t="n"/>
      <c r="BD13" s="215" t="n"/>
      <c r="BE13" s="215" t="n"/>
      <c r="BF13" s="215" t="n"/>
      <c r="BG13" s="215" t="n"/>
      <c r="BH13" s="215" t="n"/>
      <c r="BI13" s="215" t="n"/>
      <c r="BJ13" s="215" t="n"/>
      <c r="BK13" s="215" t="n"/>
      <c r="BL13" s="215" t="n"/>
      <c r="BM13" s="215" t="n"/>
      <c r="BN13" s="215" t="n"/>
      <c r="BO13" s="215" t="n"/>
      <c r="BP13" s="215" t="n"/>
      <c r="BQ13" s="215" t="n"/>
      <c r="BR13" s="215" t="n"/>
      <c r="BS13" s="215" t="n"/>
      <c r="BT13" s="215" t="n"/>
      <c r="BU13" s="215" t="n"/>
      <c r="BV13" s="215" t="n"/>
      <c r="BW13" s="215" t="n"/>
      <c r="BX13" s="215" t="n"/>
      <c r="BY13" s="215" t="n"/>
      <c r="BZ13" s="215" t="n"/>
      <c r="CA13" s="215" t="n"/>
      <c r="CB13" s="215" t="n"/>
      <c r="CC13" s="215" t="n"/>
      <c r="CD13" s="215" t="n"/>
      <c r="CE13" s="215" t="n"/>
      <c r="CF13" s="215" t="n"/>
      <c r="CG13" s="215" t="n"/>
      <c r="CH13" s="215" t="n"/>
      <c r="CI13" s="215" t="n"/>
      <c r="CJ13" s="215" t="n"/>
      <c r="CK13" s="215" t="n"/>
      <c r="CL13" s="215" t="n"/>
      <c r="CM13" s="215" t="n"/>
      <c r="CN13" s="215" t="n"/>
      <c r="CO13" s="215" t="n"/>
      <c r="CP13" s="215" t="n"/>
      <c r="CQ13" s="215" t="n"/>
      <c r="CR13" s="215" t="n"/>
      <c r="CS13" s="215" t="n"/>
      <c r="CT13" s="215" t="n"/>
      <c r="CU13" s="215" t="n"/>
      <c r="CV13" s="215" t="n"/>
      <c r="CW13" s="215" t="n"/>
      <c r="CX13" s="215" t="n"/>
      <c r="CY13" s="215" t="n"/>
      <c r="CZ13" s="215" t="n"/>
      <c r="DA13" s="215" t="n"/>
      <c r="DB13" s="215" t="n"/>
      <c r="DC13" s="215" t="n"/>
      <c r="DD13" s="215" t="n"/>
      <c r="DE13" s="215" t="n"/>
      <c r="DF13" s="215" t="n"/>
      <c r="DG13" s="215" t="n"/>
      <c r="DH13" s="215" t="n"/>
      <c r="DI13" s="215" t="n"/>
      <c r="DJ13" s="215" t="n"/>
      <c r="DK13" s="215" t="n"/>
      <c r="DL13" s="215" t="n"/>
      <c r="DM13" s="215" t="n"/>
      <c r="DN13" s="215" t="n"/>
      <c r="DO13" s="215" t="n"/>
      <c r="DP13" s="215" t="n"/>
      <c r="DQ13" s="215" t="n"/>
      <c r="DR13" s="215" t="n"/>
      <c r="DS13" s="215" t="n"/>
      <c r="DT13" s="215" t="n"/>
      <c r="DU13" s="215" t="n"/>
      <c r="DV13" s="215" t="n"/>
      <c r="DW13" s="215" t="n"/>
      <c r="DX13" s="215" t="n"/>
      <c r="DY13" s="215" t="n"/>
      <c r="DZ13" s="215" t="n"/>
      <c r="EA13" s="215" t="n"/>
      <c r="EB13" s="215" t="n"/>
      <c r="EC13" s="215" t="n"/>
      <c r="ED13" s="215" t="n"/>
      <c r="EE13" s="215" t="n"/>
      <c r="EF13" s="215" t="n"/>
      <c r="EG13" s="215" t="n"/>
      <c r="EH13" s="215" t="n"/>
      <c r="EI13" s="215" t="n"/>
      <c r="EJ13" s="215" t="n"/>
      <c r="EK13" s="215" t="n"/>
      <c r="EL13" s="215" t="n"/>
      <c r="EM13" s="215" t="n"/>
      <c r="EN13" s="215" t="n"/>
      <c r="EO13" s="215" t="n"/>
      <c r="EP13" s="215" t="n"/>
      <c r="EQ13" s="215" t="n"/>
      <c r="ER13" s="215" t="n"/>
      <c r="ES13" s="215" t="n"/>
      <c r="ET13" s="215" t="n"/>
      <c r="EU13" s="215" t="n"/>
      <c r="EV13" s="215" t="n"/>
      <c r="EW13" s="215" t="n"/>
      <c r="EX13" s="215" t="n"/>
      <c r="EY13" s="215" t="n"/>
      <c r="EZ13" s="215" t="n"/>
      <c r="FA13" s="215" t="n"/>
      <c r="FB13" s="215" t="n"/>
      <c r="FC13" s="215" t="n"/>
      <c r="FD13" s="215" t="n"/>
      <c r="FE13" s="215" t="n"/>
      <c r="FF13" s="215" t="n"/>
      <c r="FG13" s="215" t="n"/>
      <c r="FH13" s="215" t="n"/>
      <c r="FI13" s="215" t="n"/>
      <c r="FJ13" s="215" t="n"/>
      <c r="FK13" s="215" t="n"/>
      <c r="FL13" s="215" t="n"/>
      <c r="FM13" s="215" t="n"/>
      <c r="FN13" s="215" t="n"/>
      <c r="FO13" s="215" t="n"/>
      <c r="FP13" s="215" t="n"/>
      <c r="FQ13" s="215" t="n"/>
      <c r="FR13" s="215" t="n"/>
      <c r="FS13" s="215" t="n"/>
      <c r="FT13" s="215" t="n"/>
      <c r="FU13" s="215" t="n"/>
      <c r="FV13" s="215" t="n"/>
      <c r="FW13" s="215" t="n"/>
      <c r="FX13" s="215" t="n"/>
      <c r="FY13" s="215" t="n"/>
      <c r="FZ13" s="215" t="n"/>
      <c r="GA13" s="215" t="n"/>
      <c r="GB13" s="215" t="n"/>
      <c r="GC13" s="215" t="n"/>
      <c r="GD13" s="215" t="n"/>
      <c r="GE13" s="215" t="n"/>
      <c r="GF13" s="215" t="n"/>
      <c r="GG13" s="215" t="n"/>
      <c r="GH13" s="215" t="n"/>
      <c r="GI13" s="215" t="n"/>
      <c r="GJ13" s="215" t="n"/>
      <c r="GK13" s="215" t="n"/>
      <c r="GL13" s="215" t="n"/>
      <c r="GM13" s="215" t="n"/>
      <c r="GN13" s="215" t="n"/>
      <c r="GO13" s="215" t="n"/>
      <c r="GP13" s="215" t="n"/>
      <c r="GQ13" s="215" t="n"/>
      <c r="GR13" s="215" t="n"/>
      <c r="GS13" s="215" t="n"/>
      <c r="GT13" s="215" t="n"/>
      <c r="GU13" s="215" t="n"/>
      <c r="GV13" s="215" t="n"/>
      <c r="GW13" s="215" t="n"/>
      <c r="GX13" s="215" t="n"/>
      <c r="GY13" s="215" t="n"/>
      <c r="GZ13" s="215" t="n"/>
      <c r="HA13" s="215" t="n"/>
      <c r="HB13" s="215" t="n"/>
      <c r="HC13" s="215" t="n"/>
      <c r="HD13" s="215" t="n"/>
      <c r="HE13" s="215" t="n"/>
      <c r="HF13" s="215" t="n"/>
      <c r="HG13" s="215" t="n"/>
      <c r="HH13" s="215" t="n"/>
      <c r="HI13" s="215" t="n"/>
      <c r="HJ13" s="215" t="n"/>
      <c r="HK13" s="215" t="n"/>
      <c r="HL13" s="215" t="n"/>
      <c r="HM13" s="215" t="n"/>
      <c r="HN13" s="215" t="n"/>
      <c r="HO13" s="215" t="n"/>
      <c r="HP13" s="215" t="n"/>
      <c r="HQ13" s="215" t="n"/>
      <c r="HR13" s="215" t="n"/>
      <c r="HS13" s="215" t="n"/>
      <c r="HT13" s="215" t="n"/>
      <c r="HU13" s="215" t="n"/>
      <c r="HV13" s="215" t="n"/>
      <c r="HW13" s="215" t="n"/>
      <c r="HX13" s="215" t="n"/>
      <c r="HY13" s="215" t="n"/>
      <c r="HZ13" s="215" t="n"/>
      <c r="IA13" s="215" t="n"/>
      <c r="IB13" s="215" t="n"/>
      <c r="IC13" s="215" t="n"/>
      <c r="ID13" s="215" t="n"/>
      <c r="IE13" s="215" t="n"/>
      <c r="IF13" s="215" t="n"/>
      <c r="IG13" s="215" t="n"/>
      <c r="IH13" s="215" t="n"/>
      <c r="II13" s="215" t="n"/>
      <c r="IJ13" s="215" t="n"/>
      <c r="IK13" s="215" t="n"/>
      <c r="IL13" s="215" t="n"/>
      <c r="IM13" s="215" t="n"/>
      <c r="IN13" s="215" t="n"/>
      <c r="IO13" s="215" t="n"/>
      <c r="IP13" s="215" t="n"/>
      <c r="IQ13" s="215" t="n"/>
      <c r="IR13" s="215" t="n"/>
      <c r="IS13" s="215" t="n"/>
      <c r="IT13" s="215" t="n"/>
      <c r="IU13" s="215" t="n"/>
      <c r="IV13" s="215" t="n"/>
      <c r="IW13" s="215" t="n"/>
      <c r="IX13" s="215" t="n"/>
      <c r="IY13" s="215" t="n"/>
      <c r="IZ13" s="215" t="n"/>
      <c r="JA13" s="215" t="n"/>
      <c r="JB13" s="215" t="n"/>
      <c r="JC13" s="215" t="n"/>
      <c r="JD13" s="215" t="n"/>
      <c r="JE13" s="215" t="n"/>
      <c r="JF13" s="215" t="n"/>
      <c r="JG13" s="215" t="n"/>
      <c r="JH13" s="215" t="n"/>
      <c r="JI13" s="215" t="n"/>
      <c r="JJ13" s="215" t="n"/>
      <c r="JK13" s="215" t="n"/>
      <c r="JL13" s="215" t="n"/>
      <c r="JM13" s="215" t="n"/>
      <c r="JN13" s="215" t="n"/>
      <c r="JO13" s="215" t="n"/>
      <c r="JP13" s="215" t="n"/>
      <c r="JQ13" s="215" t="n"/>
      <c r="JR13" s="215" t="n"/>
      <c r="JS13" s="215" t="n"/>
      <c r="JT13" s="215" t="n"/>
      <c r="JU13" s="215" t="n"/>
      <c r="JV13" s="215" t="n"/>
      <c r="JW13" s="215" t="n"/>
      <c r="JX13" s="215" t="n"/>
      <c r="JY13" s="215" t="n"/>
      <c r="JZ13" s="215" t="n"/>
      <c r="KA13" s="215" t="n"/>
      <c r="KB13" s="215" t="n"/>
      <c r="KC13" s="215" t="n"/>
      <c r="KD13" s="215" t="n"/>
      <c r="KE13" s="215" t="n"/>
      <c r="KF13" s="215" t="n"/>
      <c r="KG13" s="215" t="n"/>
      <c r="KH13" s="215" t="n"/>
      <c r="KI13" s="215" t="n"/>
      <c r="KJ13" s="215" t="n"/>
      <c r="KK13" s="215" t="n"/>
      <c r="KL13" s="215" t="n"/>
      <c r="KM13" s="215" t="n"/>
      <c r="KN13" s="215" t="n"/>
      <c r="KO13" s="215" t="n"/>
      <c r="KP13" s="215" t="n"/>
      <c r="KQ13" s="215" t="n"/>
      <c r="KR13" s="215" t="n"/>
      <c r="KS13" s="215" t="n"/>
      <c r="KT13" s="215" t="n"/>
      <c r="KU13" s="215" t="n"/>
      <c r="KV13" s="215" t="n"/>
      <c r="KW13" s="215" t="n"/>
      <c r="KX13" s="215" t="n"/>
      <c r="KY13" s="215" t="n"/>
      <c r="KZ13" s="215" t="n"/>
      <c r="LA13" s="215" t="n"/>
      <c r="LB13" s="215" t="n"/>
      <c r="LC13" s="215" t="n"/>
      <c r="LD13" s="215" t="n"/>
      <c r="LE13" s="215" t="n"/>
      <c r="LF13" s="215" t="n"/>
      <c r="LG13" s="215" t="n"/>
      <c r="LH13" s="215" t="n"/>
      <c r="LI13" s="215" t="n"/>
      <c r="LJ13" s="215" t="n"/>
      <c r="LK13" s="215" t="n"/>
      <c r="LL13" s="215" t="n"/>
      <c r="LM13" s="215" t="n"/>
      <c r="LN13" s="215" t="n"/>
      <c r="LO13" s="215" t="n"/>
      <c r="LP13" s="215" t="n"/>
      <c r="LQ13" s="215" t="n"/>
      <c r="LR13" s="215" t="n"/>
      <c r="LS13" s="215" t="n"/>
      <c r="LT13" s="215" t="n"/>
      <c r="LU13" s="215" t="n"/>
      <c r="LV13" s="215" t="n"/>
      <c r="LW13" s="215" t="n"/>
      <c r="LX13" s="215" t="n"/>
      <c r="LY13" s="215" t="n"/>
      <c r="LZ13" s="215" t="n"/>
      <c r="MA13" s="215" t="n"/>
      <c r="MB13" s="215" t="n"/>
      <c r="MC13" s="215" t="n"/>
      <c r="MD13" s="215" t="n"/>
      <c r="ME13" s="215" t="n"/>
      <c r="MF13" s="215" t="n"/>
      <c r="MG13" s="215" t="n"/>
      <c r="MH13" s="215" t="n"/>
      <c r="MI13" s="215" t="n"/>
      <c r="MJ13" s="215" t="n"/>
      <c r="MK13" s="215" t="n"/>
      <c r="ML13" s="215" t="n"/>
      <c r="MM13" s="215" t="n"/>
      <c r="MN13" s="215" t="n"/>
      <c r="MO13" s="215" t="n"/>
      <c r="MP13" s="215" t="n"/>
      <c r="MQ13" s="215" t="n"/>
      <c r="MR13" s="215" t="n"/>
      <c r="MS13" s="215" t="n"/>
      <c r="MT13" s="215" t="n"/>
      <c r="MU13" s="215" t="n"/>
      <c r="MV13" s="215" t="n"/>
      <c r="MW13" s="215" t="n"/>
      <c r="MX13" s="215" t="n"/>
      <c r="MY13" s="215" t="n"/>
      <c r="MZ13" s="215" t="n"/>
      <c r="NA13" s="215" t="n"/>
      <c r="NB13" s="215" t="n"/>
      <c r="NC13" s="216">
        <f>SUM(B13:NB13)</f>
        <v/>
      </c>
    </row>
    <row r="14" ht="14.25" customHeight="1" s="166">
      <c r="A14" s="214" t="inlineStr">
        <is>
          <t>El Takoy</t>
        </is>
      </c>
      <c r="B14" s="215" t="n"/>
      <c r="C14" s="215" t="n"/>
      <c r="D14" s="215" t="n"/>
      <c r="E14" s="215" t="n"/>
      <c r="F14" s="215" t="n"/>
      <c r="G14" s="215" t="n"/>
      <c r="H14" s="215" t="n"/>
      <c r="I14" s="215" t="n"/>
      <c r="J14" s="215" t="n"/>
      <c r="K14" s="215" t="n"/>
      <c r="L14" s="215" t="n"/>
      <c r="M14" s="215" t="n"/>
      <c r="N14" s="215" t="n"/>
      <c r="O14" s="215" t="n"/>
      <c r="P14" s="215" t="n"/>
      <c r="Q14" s="215" t="n"/>
      <c r="R14" s="215" t="n"/>
      <c r="S14" s="215" t="n"/>
      <c r="T14" s="215" t="n"/>
      <c r="U14" s="215" t="n"/>
      <c r="V14" s="215" t="n"/>
      <c r="W14" s="215" t="n"/>
      <c r="X14" s="215" t="n"/>
      <c r="Y14" s="215" t="n"/>
      <c r="Z14" s="215" t="n"/>
      <c r="AA14" s="215" t="n"/>
      <c r="AB14" s="215" t="n"/>
      <c r="AC14" s="215" t="n"/>
      <c r="AD14" s="215" t="n"/>
      <c r="AE14" s="215" t="n"/>
      <c r="AF14" s="215" t="n"/>
      <c r="AG14" s="215" t="n"/>
      <c r="AH14" s="215" t="n"/>
      <c r="AI14" s="215" t="n"/>
      <c r="AJ14" s="215" t="n"/>
      <c r="AK14" s="215" t="n"/>
      <c r="AL14" s="215" t="n"/>
      <c r="AM14" s="215" t="n"/>
      <c r="AN14" s="215" t="n"/>
      <c r="AO14" s="215" t="n"/>
      <c r="AP14" s="215" t="n"/>
      <c r="AQ14" s="215" t="n"/>
      <c r="AR14" s="215" t="n"/>
      <c r="AS14" s="215" t="n"/>
      <c r="AT14" s="215" t="n"/>
      <c r="AU14" s="215" t="n"/>
      <c r="AV14" s="215" t="n"/>
      <c r="AW14" s="215" t="n"/>
      <c r="AX14" s="215" t="n"/>
      <c r="AY14" s="215" t="n"/>
      <c r="AZ14" s="215" t="n"/>
      <c r="BA14" s="215" t="n"/>
      <c r="BB14" s="215" t="n"/>
      <c r="BC14" s="215" t="n"/>
      <c r="BD14" s="215" t="n"/>
      <c r="BE14" s="215" t="n"/>
      <c r="BF14" s="215" t="n"/>
      <c r="BG14" s="215" t="n"/>
      <c r="BH14" s="215" t="n"/>
      <c r="BI14" s="215" t="n"/>
      <c r="BJ14" s="215" t="n"/>
      <c r="BK14" s="215" t="n"/>
      <c r="BL14" s="215" t="n"/>
      <c r="BM14" s="215" t="n"/>
      <c r="BN14" s="215" t="n"/>
      <c r="BO14" s="215" t="n"/>
      <c r="BP14" s="215" t="n"/>
      <c r="BQ14" s="215" t="n"/>
      <c r="BR14" s="215" t="n"/>
      <c r="BS14" s="215" t="n"/>
      <c r="BT14" s="215" t="n"/>
      <c r="BU14" s="215" t="n"/>
      <c r="BV14" s="215" t="n"/>
      <c r="BW14" s="215" t="n"/>
      <c r="BX14" s="215" t="n"/>
      <c r="BY14" s="215" t="n"/>
      <c r="BZ14" s="215" t="n"/>
      <c r="CA14" s="215" t="n"/>
      <c r="CB14" s="215" t="n"/>
      <c r="CC14" s="215" t="n"/>
      <c r="CD14" s="215" t="n"/>
      <c r="CE14" s="215" t="n"/>
      <c r="CF14" s="215" t="n"/>
      <c r="CG14" s="215" t="n"/>
      <c r="CH14" s="215" t="n"/>
      <c r="CI14" s="215" t="n"/>
      <c r="CJ14" s="215" t="n"/>
      <c r="CK14" s="215" t="n"/>
      <c r="CL14" s="215" t="n"/>
      <c r="CM14" s="215" t="n"/>
      <c r="CN14" s="215" t="n"/>
      <c r="CO14" s="215" t="n"/>
      <c r="CP14" s="215" t="n"/>
      <c r="CQ14" s="215" t="n"/>
      <c r="CR14" s="215" t="n"/>
      <c r="CS14" s="215" t="n"/>
      <c r="CT14" s="215" t="n"/>
      <c r="CU14" s="215" t="n"/>
      <c r="CV14" s="215" t="n"/>
      <c r="CW14" s="215" t="n"/>
      <c r="CX14" s="215" t="n"/>
      <c r="CY14" s="215" t="n"/>
      <c r="CZ14" s="215" t="n"/>
      <c r="DA14" s="215" t="n"/>
      <c r="DB14" s="215" t="n"/>
      <c r="DC14" s="215" t="n"/>
      <c r="DD14" s="215" t="n"/>
      <c r="DE14" s="215" t="n"/>
      <c r="DF14" s="215" t="n"/>
      <c r="DG14" s="215" t="n"/>
      <c r="DH14" s="215" t="n"/>
      <c r="DI14" s="215" t="n"/>
      <c r="DJ14" s="215" t="n"/>
      <c r="DK14" s="215" t="n"/>
      <c r="DL14" s="215" t="n"/>
      <c r="DM14" s="215" t="n"/>
      <c r="DN14" s="215" t="n"/>
      <c r="DO14" s="215" t="n"/>
      <c r="DP14" s="215" t="n"/>
      <c r="DQ14" s="215" t="n"/>
      <c r="DR14" s="215" t="n"/>
      <c r="DS14" s="215" t="n"/>
      <c r="DT14" s="215" t="n"/>
      <c r="DU14" s="215" t="n"/>
      <c r="DV14" s="215" t="n"/>
      <c r="DW14" s="215" t="n"/>
      <c r="DX14" s="215" t="n"/>
      <c r="DY14" s="215" t="n"/>
      <c r="DZ14" s="215" t="n"/>
      <c r="EA14" s="215" t="n"/>
      <c r="EB14" s="215" t="n"/>
      <c r="EC14" s="215" t="n"/>
      <c r="ED14" s="215" t="n"/>
      <c r="EE14" s="215" t="n"/>
      <c r="EF14" s="215" t="n"/>
      <c r="EG14" s="215" t="n"/>
      <c r="EH14" s="215" t="n"/>
      <c r="EI14" s="215" t="n"/>
      <c r="EJ14" s="215" t="n"/>
      <c r="EK14" s="215" t="n"/>
      <c r="EL14" s="215" t="n"/>
      <c r="EM14" s="215" t="n"/>
      <c r="EN14" s="215" t="n"/>
      <c r="EO14" s="215" t="n"/>
      <c r="EP14" s="215" t="n"/>
      <c r="EQ14" s="215" t="n"/>
      <c r="ER14" s="215" t="n"/>
      <c r="ES14" s="215" t="n"/>
      <c r="ET14" s="215" t="n"/>
      <c r="EU14" s="215" t="n"/>
      <c r="EV14" s="215" t="n"/>
      <c r="EW14" s="215" t="n"/>
      <c r="EX14" s="215" t="n"/>
      <c r="EY14" s="215" t="n"/>
      <c r="EZ14" s="215" t="n"/>
      <c r="FA14" s="215" t="n"/>
      <c r="FB14" s="215" t="n"/>
      <c r="FC14" s="215" t="n"/>
      <c r="FD14" s="215" t="n"/>
      <c r="FE14" s="215" t="n"/>
      <c r="FF14" s="215" t="n"/>
      <c r="FG14" s="215" t="n"/>
      <c r="FH14" s="215" t="n"/>
      <c r="FI14" s="215" t="n"/>
      <c r="FJ14" s="215" t="n"/>
      <c r="FK14" s="215" t="n"/>
      <c r="FL14" s="215" t="n"/>
      <c r="FM14" s="215" t="n"/>
      <c r="FN14" s="215" t="n"/>
      <c r="FO14" s="215" t="n"/>
      <c r="FP14" s="215" t="n"/>
      <c r="FQ14" s="215" t="n"/>
      <c r="FR14" s="215" t="n"/>
      <c r="FS14" s="215" t="n"/>
      <c r="FT14" s="215" t="n"/>
      <c r="FU14" s="215" t="n"/>
      <c r="FV14" s="215" t="n"/>
      <c r="FW14" s="215" t="n"/>
      <c r="FX14" s="215" t="n"/>
      <c r="FY14" s="215" t="n"/>
      <c r="FZ14" s="215" t="n"/>
      <c r="GA14" s="215" t="n"/>
      <c r="GB14" s="215" t="n"/>
      <c r="GC14" s="215" t="n"/>
      <c r="GD14" s="215" t="n"/>
      <c r="GE14" s="215" t="n"/>
      <c r="GF14" s="215" t="n"/>
      <c r="GG14" s="215" t="n"/>
      <c r="GH14" s="215" t="n"/>
      <c r="GI14" s="215" t="n"/>
      <c r="GJ14" s="215" t="n"/>
      <c r="GK14" s="215" t="n"/>
      <c r="GL14" s="215" t="n"/>
      <c r="GM14" s="215" t="n"/>
      <c r="GN14" s="215" t="n"/>
      <c r="GO14" s="215" t="n"/>
      <c r="GP14" s="215" t="n"/>
      <c r="GQ14" s="215" t="n"/>
      <c r="GR14" s="215" t="n"/>
      <c r="GS14" s="215" t="n"/>
      <c r="GT14" s="215" t="n"/>
      <c r="GU14" s="215" t="n"/>
      <c r="GV14" s="215" t="n"/>
      <c r="GW14" s="215" t="n"/>
      <c r="GX14" s="215" t="n"/>
      <c r="GY14" s="215" t="n"/>
      <c r="GZ14" s="215" t="n"/>
      <c r="HA14" s="215" t="n"/>
      <c r="HB14" s="215" t="n"/>
      <c r="HC14" s="215" t="n"/>
      <c r="HD14" s="215" t="n"/>
      <c r="HE14" s="215" t="n"/>
      <c r="HF14" s="215" t="n"/>
      <c r="HG14" s="215" t="n"/>
      <c r="HH14" s="215" t="n"/>
      <c r="HI14" s="215" t="n"/>
      <c r="HJ14" s="215" t="n"/>
      <c r="HK14" s="215" t="n"/>
      <c r="HL14" s="215" t="n"/>
      <c r="HM14" s="215" t="n"/>
      <c r="HN14" s="215" t="n"/>
      <c r="HO14" s="215" t="n"/>
      <c r="HP14" s="215" t="n"/>
      <c r="HQ14" s="215" t="n"/>
      <c r="HR14" s="215" t="n"/>
      <c r="HS14" s="215" t="n"/>
      <c r="HT14" s="215" t="n"/>
      <c r="HU14" s="215" t="n"/>
      <c r="HV14" s="215" t="n"/>
      <c r="HW14" s="215" t="n"/>
      <c r="HX14" s="215" t="n"/>
      <c r="HY14" s="215" t="n"/>
      <c r="HZ14" s="215" t="n"/>
      <c r="IA14" s="215" t="n"/>
      <c r="IB14" s="215" t="n"/>
      <c r="IC14" s="215" t="n"/>
      <c r="ID14" s="215" t="n"/>
      <c r="IE14" s="215" t="n"/>
      <c r="IF14" s="215" t="n"/>
      <c r="IG14" s="215" t="n"/>
      <c r="IH14" s="215" t="n"/>
      <c r="II14" s="215" t="n"/>
      <c r="IJ14" s="215" t="n"/>
      <c r="IK14" s="215" t="n"/>
      <c r="IL14" s="215" t="n"/>
      <c r="IM14" s="215" t="n"/>
      <c r="IN14" s="215" t="n"/>
      <c r="IO14" s="215" t="n"/>
      <c r="IP14" s="215" t="n"/>
      <c r="IQ14" s="215" t="n"/>
      <c r="IR14" s="215" t="n"/>
      <c r="IS14" s="215" t="n"/>
      <c r="IT14" s="215" t="n"/>
      <c r="IU14" s="215" t="n"/>
      <c r="IV14" s="215" t="n"/>
      <c r="IW14" s="215" t="n"/>
      <c r="IX14" s="215" t="n"/>
      <c r="IY14" s="215" t="n"/>
      <c r="IZ14" s="215" t="n"/>
      <c r="JA14" s="215" t="n"/>
      <c r="JB14" s="215" t="n"/>
      <c r="JC14" s="215" t="n"/>
      <c r="JD14" s="215" t="n"/>
      <c r="JE14" s="215" t="n"/>
      <c r="JF14" s="215" t="n"/>
      <c r="JG14" s="215" t="n"/>
      <c r="JH14" s="215" t="n"/>
      <c r="JI14" s="215" t="n"/>
      <c r="JJ14" s="215" t="n"/>
      <c r="JK14" s="215" t="n"/>
      <c r="JL14" s="215" t="n"/>
      <c r="JM14" s="215" t="n"/>
      <c r="JN14" s="215" t="n"/>
      <c r="JO14" s="215" t="n"/>
      <c r="JP14" s="215" t="n"/>
      <c r="JQ14" s="215" t="n"/>
      <c r="JR14" s="215" t="n"/>
      <c r="JS14" s="215" t="n"/>
      <c r="JT14" s="215" t="n"/>
      <c r="JU14" s="215" t="n"/>
      <c r="JV14" s="215" t="n"/>
      <c r="JW14" s="215" t="n"/>
      <c r="JX14" s="215" t="n"/>
      <c r="JY14" s="215" t="n"/>
      <c r="JZ14" s="215" t="n"/>
      <c r="KA14" s="215" t="n"/>
      <c r="KB14" s="215" t="n"/>
      <c r="KC14" s="215" t="n"/>
      <c r="KD14" s="215" t="n"/>
      <c r="KE14" s="215" t="n"/>
      <c r="KF14" s="215" t="n"/>
      <c r="KG14" s="215" t="n"/>
      <c r="KH14" s="215" t="n"/>
      <c r="KI14" s="215" t="n"/>
      <c r="KJ14" s="215" t="n"/>
      <c r="KK14" s="215" t="n"/>
      <c r="KL14" s="215" t="n"/>
      <c r="KM14" s="215" t="n"/>
      <c r="KN14" s="215" t="n"/>
      <c r="KO14" s="215" t="n"/>
      <c r="KP14" s="215" t="n"/>
      <c r="KQ14" s="215" t="n"/>
      <c r="KR14" s="215" t="n"/>
      <c r="KS14" s="215" t="n"/>
      <c r="KT14" s="215" t="n"/>
      <c r="KU14" s="215" t="n"/>
      <c r="KV14" s="215" t="n"/>
      <c r="KW14" s="215" t="n"/>
      <c r="KX14" s="215" t="n"/>
      <c r="KY14" s="215" t="n"/>
      <c r="KZ14" s="215" t="n"/>
      <c r="LA14" s="215" t="n"/>
      <c r="LB14" s="215" t="n"/>
      <c r="LC14" s="215" t="n"/>
      <c r="LD14" s="215" t="n"/>
      <c r="LE14" s="215" t="n"/>
      <c r="LF14" s="215" t="n"/>
      <c r="LG14" s="215" t="n"/>
      <c r="LH14" s="215" t="n"/>
      <c r="LI14" s="215" t="n"/>
      <c r="LJ14" s="215" t="n"/>
      <c r="LK14" s="215" t="n"/>
      <c r="LL14" s="215" t="n"/>
      <c r="LM14" s="215" t="n"/>
      <c r="LN14" s="215" t="n"/>
      <c r="LO14" s="215" t="n"/>
      <c r="LP14" s="215" t="n"/>
      <c r="LQ14" s="215" t="n"/>
      <c r="LR14" s="215" t="n"/>
      <c r="LS14" s="215" t="n"/>
      <c r="LT14" s="215" t="n"/>
      <c r="LU14" s="215" t="n"/>
      <c r="LV14" s="215" t="n"/>
      <c r="LW14" s="215" t="n"/>
      <c r="LX14" s="215" t="n"/>
      <c r="LY14" s="215" t="n"/>
      <c r="LZ14" s="215" t="n"/>
      <c r="MA14" s="215" t="n"/>
      <c r="MB14" s="215" t="n"/>
      <c r="MC14" s="215" t="n"/>
      <c r="MD14" s="215" t="n"/>
      <c r="ME14" s="215" t="n"/>
      <c r="MF14" s="215" t="n"/>
      <c r="MG14" s="215" t="n"/>
      <c r="MH14" s="215" t="n"/>
      <c r="MI14" s="215" t="n"/>
      <c r="MJ14" s="215" t="n"/>
      <c r="MK14" s="215" t="n"/>
      <c r="ML14" s="215" t="n"/>
      <c r="MM14" s="215" t="n"/>
      <c r="MN14" s="215" t="n"/>
      <c r="MO14" s="215" t="n"/>
      <c r="MP14" s="215" t="n"/>
      <c r="MQ14" s="215" t="n"/>
      <c r="MR14" s="215" t="n"/>
      <c r="MS14" s="215" t="n"/>
      <c r="MT14" s="215" t="n"/>
      <c r="MU14" s="215" t="n"/>
      <c r="MV14" s="215" t="n"/>
      <c r="MW14" s="215" t="n"/>
      <c r="MX14" s="215" t="n"/>
      <c r="MY14" s="215" t="n"/>
      <c r="MZ14" s="215" t="n"/>
      <c r="NA14" s="215" t="n"/>
      <c r="NB14" s="215" t="n"/>
      <c r="NC14" s="216">
        <f>SUM(B14:NB14)</f>
        <v/>
      </c>
    </row>
    <row r="15" ht="14.25" customHeight="1" s="166">
      <c r="A15" s="214" t="inlineStr">
        <is>
          <t>Akira</t>
        </is>
      </c>
      <c r="B15" s="215" t="n"/>
      <c r="C15" s="215" t="n"/>
      <c r="D15" s="215" t="n"/>
      <c r="E15" s="215" t="n"/>
      <c r="F15" s="215" t="n"/>
      <c r="G15" s="215" t="n"/>
      <c r="H15" s="215" t="n"/>
      <c r="I15" s="215" t="n"/>
      <c r="J15" s="215" t="n"/>
      <c r="K15" s="215" t="n"/>
      <c r="L15" s="215" t="n"/>
      <c r="M15" s="215" t="n"/>
      <c r="N15" s="215" t="n"/>
      <c r="O15" s="215" t="n"/>
      <c r="P15" s="215" t="n"/>
      <c r="Q15" s="215" t="n"/>
      <c r="R15" s="215" t="n"/>
      <c r="S15" s="215" t="n"/>
      <c r="T15" s="215" t="n"/>
      <c r="U15" s="215" t="n"/>
      <c r="V15" s="215" t="n"/>
      <c r="W15" s="215" t="n"/>
      <c r="X15" s="215" t="n"/>
      <c r="Y15" s="215" t="n"/>
      <c r="Z15" s="215" t="n"/>
      <c r="AA15" s="215" t="n"/>
      <c r="AB15" s="215" t="n"/>
      <c r="AC15" s="215" t="n"/>
      <c r="AD15" s="215" t="n"/>
      <c r="AE15" s="215" t="n"/>
      <c r="AF15" s="215" t="n"/>
      <c r="AG15" s="215" t="n"/>
      <c r="AH15" s="215" t="n"/>
      <c r="AI15" s="215" t="n"/>
      <c r="AJ15" s="215" t="n"/>
      <c r="AK15" s="215" t="n"/>
      <c r="AL15" s="215" t="n"/>
      <c r="AM15" s="215" t="n"/>
      <c r="AN15" s="215" t="n"/>
      <c r="AO15" s="215" t="n"/>
      <c r="AP15" s="215" t="n"/>
      <c r="AQ15" s="215" t="n"/>
      <c r="AR15" s="215" t="n"/>
      <c r="AS15" s="215" t="n"/>
      <c r="AT15" s="215" t="n"/>
      <c r="AU15" s="215" t="n"/>
      <c r="AV15" s="215" t="n"/>
      <c r="AW15" s="215" t="n"/>
      <c r="AX15" s="215" t="n"/>
      <c r="AY15" s="215" t="n"/>
      <c r="AZ15" s="215" t="n"/>
      <c r="BA15" s="215" t="n"/>
      <c r="BB15" s="215" t="n"/>
      <c r="BC15" s="215" t="n"/>
      <c r="BD15" s="215" t="n"/>
      <c r="BE15" s="215" t="n"/>
      <c r="BF15" s="215" t="n"/>
      <c r="BG15" s="215" t="n"/>
      <c r="BH15" s="215" t="n"/>
      <c r="BI15" s="215" t="n"/>
      <c r="BJ15" s="215" t="n"/>
      <c r="BK15" s="215" t="n"/>
      <c r="BL15" s="215" t="n"/>
      <c r="BM15" s="215" t="n"/>
      <c r="BN15" s="215" t="n"/>
      <c r="BO15" s="215" t="n"/>
      <c r="BP15" s="215" t="n"/>
      <c r="BQ15" s="215" t="n"/>
      <c r="BR15" s="215" t="n"/>
      <c r="BS15" s="215" t="n"/>
      <c r="BT15" s="215" t="n"/>
      <c r="BU15" s="215" t="n"/>
      <c r="BV15" s="215" t="n"/>
      <c r="BW15" s="215" t="n"/>
      <c r="BX15" s="215" t="n"/>
      <c r="BY15" s="215" t="n"/>
      <c r="BZ15" s="215" t="n"/>
      <c r="CA15" s="215" t="n"/>
      <c r="CB15" s="215" t="n"/>
      <c r="CC15" s="215" t="n"/>
      <c r="CD15" s="215" t="n"/>
      <c r="CE15" s="215" t="n"/>
      <c r="CF15" s="215" t="n"/>
      <c r="CG15" s="215" t="n"/>
      <c r="CH15" s="215" t="n"/>
      <c r="CI15" s="215" t="n"/>
      <c r="CJ15" s="215" t="n"/>
      <c r="CK15" s="215" t="n"/>
      <c r="CL15" s="215" t="n"/>
      <c r="CM15" s="215" t="n"/>
      <c r="CN15" s="215" t="n"/>
      <c r="CO15" s="215" t="n"/>
      <c r="CP15" s="215" t="n"/>
      <c r="CQ15" s="215" t="n"/>
      <c r="CR15" s="215" t="n"/>
      <c r="CS15" s="215" t="n"/>
      <c r="CT15" s="215" t="n"/>
      <c r="CU15" s="215" t="n"/>
      <c r="CV15" s="215" t="n"/>
      <c r="CW15" s="215" t="n"/>
      <c r="CX15" s="215" t="n"/>
      <c r="CY15" s="215" t="n"/>
      <c r="CZ15" s="215" t="n"/>
      <c r="DA15" s="215" t="n"/>
      <c r="DB15" s="215" t="n"/>
      <c r="DC15" s="215" t="n"/>
      <c r="DD15" s="215" t="n"/>
      <c r="DE15" s="215" t="n"/>
      <c r="DF15" s="215" t="n"/>
      <c r="DG15" s="215" t="n"/>
      <c r="DH15" s="215" t="n"/>
      <c r="DI15" s="215" t="n"/>
      <c r="DJ15" s="215" t="n"/>
      <c r="DK15" s="215" t="n"/>
      <c r="DL15" s="215" t="n"/>
      <c r="DM15" s="215" t="n"/>
      <c r="DN15" s="215" t="n"/>
      <c r="DO15" s="215" t="n"/>
      <c r="DP15" s="215" t="n"/>
      <c r="DQ15" s="215" t="n"/>
      <c r="DR15" s="215" t="n"/>
      <c r="DS15" s="215" t="n"/>
      <c r="DT15" s="215" t="n"/>
      <c r="DU15" s="215" t="n"/>
      <c r="DV15" s="215" t="n"/>
      <c r="DW15" s="215" t="n"/>
      <c r="DX15" s="215" t="n"/>
      <c r="DY15" s="215" t="n"/>
      <c r="DZ15" s="215" t="n"/>
      <c r="EA15" s="215" t="n"/>
      <c r="EB15" s="215" t="n"/>
      <c r="EC15" s="215" t="n"/>
      <c r="ED15" s="215" t="n"/>
      <c r="EE15" s="215" t="n"/>
      <c r="EF15" s="215" t="n"/>
      <c r="EG15" s="215" t="n"/>
      <c r="EH15" s="215" t="n"/>
      <c r="EI15" s="215" t="n"/>
      <c r="EJ15" s="215" t="n"/>
      <c r="EK15" s="215" t="n"/>
      <c r="EL15" s="215" t="n"/>
      <c r="EM15" s="215" t="n"/>
      <c r="EN15" s="215" t="n"/>
      <c r="EO15" s="215" t="n"/>
      <c r="EP15" s="215" t="n"/>
      <c r="EQ15" s="215" t="n"/>
      <c r="ER15" s="215" t="n"/>
      <c r="ES15" s="215" t="n"/>
      <c r="ET15" s="215" t="n"/>
      <c r="EU15" s="215" t="n"/>
      <c r="EV15" s="215" t="n"/>
      <c r="EW15" s="215" t="n"/>
      <c r="EX15" s="215" t="n"/>
      <c r="EY15" s="215" t="n"/>
      <c r="EZ15" s="215" t="n"/>
      <c r="FA15" s="215" t="n"/>
      <c r="FB15" s="215" t="n"/>
      <c r="FC15" s="215" t="n"/>
      <c r="FD15" s="215" t="n"/>
      <c r="FE15" s="215" t="n"/>
      <c r="FF15" s="215" t="n"/>
      <c r="FG15" s="215" t="n"/>
      <c r="FH15" s="215" t="n"/>
      <c r="FI15" s="215" t="n"/>
      <c r="FJ15" s="215" t="n"/>
      <c r="FK15" s="215" t="n"/>
      <c r="FL15" s="215" t="n"/>
      <c r="FM15" s="215" t="n"/>
      <c r="FN15" s="215" t="n"/>
      <c r="FO15" s="215" t="n"/>
      <c r="FP15" s="215" t="n"/>
      <c r="FQ15" s="215" t="n"/>
      <c r="FR15" s="215" t="n"/>
      <c r="FS15" s="215" t="n"/>
      <c r="FT15" s="215" t="n"/>
      <c r="FU15" s="215" t="n"/>
      <c r="FV15" s="215" t="n"/>
      <c r="FW15" s="215" t="n"/>
      <c r="FX15" s="215" t="n"/>
      <c r="FY15" s="215" t="n"/>
      <c r="FZ15" s="215" t="n"/>
      <c r="GA15" s="215" t="n"/>
      <c r="GB15" s="215" t="n"/>
      <c r="GC15" s="215" t="n"/>
      <c r="GD15" s="215" t="n"/>
      <c r="GE15" s="215" t="n"/>
      <c r="GF15" s="215" t="n"/>
      <c r="GG15" s="215" t="n"/>
      <c r="GH15" s="215" t="n"/>
      <c r="GI15" s="215" t="n"/>
      <c r="GJ15" s="215" t="n"/>
      <c r="GK15" s="215" t="n"/>
      <c r="GL15" s="215" t="n"/>
      <c r="GM15" s="215" t="n"/>
      <c r="GN15" s="215" t="n"/>
      <c r="GO15" s="215" t="n"/>
      <c r="GP15" s="215" t="n"/>
      <c r="GQ15" s="215" t="n"/>
      <c r="GR15" s="215" t="n"/>
      <c r="GS15" s="215" t="n"/>
      <c r="GT15" s="215" t="n"/>
      <c r="GU15" s="215" t="n"/>
      <c r="GV15" s="215" t="n"/>
      <c r="GW15" s="215" t="n"/>
      <c r="GX15" s="215" t="n"/>
      <c r="GY15" s="215" t="n"/>
      <c r="GZ15" s="215" t="n"/>
      <c r="HA15" s="215" t="n"/>
      <c r="HB15" s="215" t="n"/>
      <c r="HC15" s="215" t="n"/>
      <c r="HD15" s="215" t="n"/>
      <c r="HE15" s="215" t="n"/>
      <c r="HF15" s="215" t="n"/>
      <c r="HG15" s="215" t="n"/>
      <c r="HH15" s="215" t="n"/>
      <c r="HI15" s="215" t="n"/>
      <c r="HJ15" s="215" t="n"/>
      <c r="HK15" s="215" t="n"/>
      <c r="HL15" s="215" t="n"/>
      <c r="HM15" s="215" t="n"/>
      <c r="HN15" s="215" t="n"/>
      <c r="HO15" s="215" t="n"/>
      <c r="HP15" s="215" t="n"/>
      <c r="HQ15" s="215" t="n"/>
      <c r="HR15" s="215" t="n"/>
      <c r="HS15" s="215" t="n"/>
      <c r="HT15" s="215" t="n"/>
      <c r="HU15" s="215" t="n"/>
      <c r="HV15" s="215" t="n"/>
      <c r="HW15" s="215" t="n"/>
      <c r="HX15" s="215" t="n"/>
      <c r="HY15" s="215" t="n"/>
      <c r="HZ15" s="215" t="n"/>
      <c r="IA15" s="215" t="n"/>
      <c r="IB15" s="215" t="n"/>
      <c r="IC15" s="215" t="n"/>
      <c r="ID15" s="215" t="n"/>
      <c r="IE15" s="215" t="n"/>
      <c r="IF15" s="215" t="n"/>
      <c r="IG15" s="215" t="n"/>
      <c r="IH15" s="215" t="n"/>
      <c r="II15" s="215" t="n"/>
      <c r="IJ15" s="215" t="n"/>
      <c r="IK15" s="215" t="n"/>
      <c r="IL15" s="215" t="n"/>
      <c r="IM15" s="215" t="n"/>
      <c r="IN15" s="215" t="n"/>
      <c r="IO15" s="215" t="n"/>
      <c r="IP15" s="215" t="n"/>
      <c r="IQ15" s="215" t="n"/>
      <c r="IR15" s="215" t="n"/>
      <c r="IS15" s="215" t="n"/>
      <c r="IT15" s="215" t="n"/>
      <c r="IU15" s="215" t="n"/>
      <c r="IV15" s="215" t="n"/>
      <c r="IW15" s="215" t="n"/>
      <c r="IX15" s="215" t="n"/>
      <c r="IY15" s="215" t="n"/>
      <c r="IZ15" s="215" t="n"/>
      <c r="JA15" s="215" t="n"/>
      <c r="JB15" s="215" t="n"/>
      <c r="JC15" s="215" t="n"/>
      <c r="JD15" s="215" t="n"/>
      <c r="JE15" s="215" t="n"/>
      <c r="JF15" s="215" t="n"/>
      <c r="JG15" s="215" t="n"/>
      <c r="JH15" s="215" t="n"/>
      <c r="JI15" s="215" t="n"/>
      <c r="JJ15" s="215" t="n"/>
      <c r="JK15" s="215" t="n"/>
      <c r="JL15" s="215" t="n"/>
      <c r="JM15" s="215" t="n"/>
      <c r="JN15" s="215" t="n"/>
      <c r="JO15" s="215" t="n"/>
      <c r="JP15" s="215" t="n"/>
      <c r="JQ15" s="215" t="n"/>
      <c r="JR15" s="215" t="n"/>
      <c r="JS15" s="215" t="n"/>
      <c r="JT15" s="215" t="n"/>
      <c r="JU15" s="215" t="n"/>
      <c r="JV15" s="215" t="n"/>
      <c r="JW15" s="215" t="n"/>
      <c r="JX15" s="215" t="n"/>
      <c r="JY15" s="215" t="n"/>
      <c r="JZ15" s="215" t="n"/>
      <c r="KA15" s="215" t="n"/>
      <c r="KB15" s="215" t="n"/>
      <c r="KC15" s="215" t="n"/>
      <c r="KD15" s="215" t="n"/>
      <c r="KE15" s="215" t="n"/>
      <c r="KF15" s="215" t="n"/>
      <c r="KG15" s="215" t="n"/>
      <c r="KH15" s="215" t="n"/>
      <c r="KI15" s="215" t="n"/>
      <c r="KJ15" s="215" t="n"/>
      <c r="KK15" s="215" t="n"/>
      <c r="KL15" s="215" t="n"/>
      <c r="KM15" s="215" t="n"/>
      <c r="KN15" s="215" t="n"/>
      <c r="KO15" s="215" t="n"/>
      <c r="KP15" s="215" t="n"/>
      <c r="KQ15" s="215" t="n"/>
      <c r="KR15" s="215" t="n"/>
      <c r="KS15" s="215" t="n"/>
      <c r="KT15" s="215" t="n"/>
      <c r="KU15" s="215" t="n"/>
      <c r="KV15" s="215" t="n"/>
      <c r="KW15" s="215" t="n"/>
      <c r="KX15" s="215" t="n"/>
      <c r="KY15" s="215" t="n"/>
      <c r="KZ15" s="215" t="n"/>
      <c r="LA15" s="215" t="n"/>
      <c r="LB15" s="215" t="n"/>
      <c r="LC15" s="215" t="n"/>
      <c r="LD15" s="215" t="n"/>
      <c r="LE15" s="215" t="n"/>
      <c r="LF15" s="215" t="n"/>
      <c r="LG15" s="215" t="n"/>
      <c r="LH15" s="215" t="n"/>
      <c r="LI15" s="215" t="n"/>
      <c r="LJ15" s="215" t="n"/>
      <c r="LK15" s="215" t="n"/>
      <c r="LL15" s="215" t="n"/>
      <c r="LM15" s="215" t="n"/>
      <c r="LN15" s="215" t="n"/>
      <c r="LO15" s="215" t="n"/>
      <c r="LP15" s="215" t="n"/>
      <c r="LQ15" s="215" t="n"/>
      <c r="LR15" s="215" t="n"/>
      <c r="LS15" s="215" t="n"/>
      <c r="LT15" s="215" t="n"/>
      <c r="LU15" s="215" t="n"/>
      <c r="LV15" s="215" t="n"/>
      <c r="LW15" s="215" t="n"/>
      <c r="LX15" s="215" t="n"/>
      <c r="LY15" s="215" t="n"/>
      <c r="LZ15" s="215" t="n"/>
      <c r="MA15" s="215" t="n"/>
      <c r="MB15" s="215" t="n"/>
      <c r="MC15" s="215" t="n"/>
      <c r="MD15" s="215" t="n"/>
      <c r="ME15" s="215" t="n"/>
      <c r="MF15" s="215" t="n"/>
      <c r="MG15" s="215" t="n"/>
      <c r="MH15" s="215" t="n"/>
      <c r="MI15" s="215" t="n"/>
      <c r="MJ15" s="215" t="n"/>
      <c r="MK15" s="215" t="n"/>
      <c r="ML15" s="215" t="n"/>
      <c r="MM15" s="215" t="n"/>
      <c r="MN15" s="215" t="n"/>
      <c r="MO15" s="215" t="n"/>
      <c r="MP15" s="215" t="n"/>
      <c r="MQ15" s="215" t="n"/>
      <c r="MR15" s="215" t="n"/>
      <c r="MS15" s="215" t="n"/>
      <c r="MT15" s="215" t="n"/>
      <c r="MU15" s="215" t="n"/>
      <c r="MV15" s="215" t="n"/>
      <c r="MW15" s="215" t="n"/>
      <c r="MX15" s="215" t="n"/>
      <c r="MY15" s="215" t="n"/>
      <c r="MZ15" s="215" t="n"/>
      <c r="NA15" s="215" t="n"/>
      <c r="NB15" s="215" t="n"/>
      <c r="NC15" s="216">
        <f>SUM(B15:NB15)</f>
        <v/>
      </c>
    </row>
    <row r="16" ht="14.25" customHeight="1" s="166">
      <c r="A16" s="214" t="inlineStr">
        <is>
          <t>Havanna</t>
        </is>
      </c>
      <c r="B16" s="215" t="n"/>
      <c r="C16" s="215" t="n"/>
      <c r="D16" s="215" t="n"/>
      <c r="E16" s="215" t="n"/>
      <c r="F16" s="215" t="n"/>
      <c r="G16" s="215" t="n"/>
      <c r="H16" s="215" t="n"/>
      <c r="I16" s="215" t="n"/>
      <c r="J16" s="215" t="n"/>
      <c r="K16" s="215" t="n"/>
      <c r="L16" s="215" t="n"/>
      <c r="M16" s="215" t="n"/>
      <c r="N16" s="215" t="n"/>
      <c r="O16" s="215" t="n"/>
      <c r="P16" s="215" t="n"/>
      <c r="Q16" s="215" t="n"/>
      <c r="R16" s="215" t="n"/>
      <c r="S16" s="215" t="n"/>
      <c r="T16" s="215" t="n"/>
      <c r="U16" s="215" t="n"/>
      <c r="V16" s="215" t="n"/>
      <c r="W16" s="215" t="n"/>
      <c r="X16" s="215" t="n"/>
      <c r="Y16" s="215" t="n"/>
      <c r="Z16" s="215" t="n"/>
      <c r="AA16" s="215" t="n"/>
      <c r="AB16" s="215" t="n"/>
      <c r="AC16" s="215" t="n"/>
      <c r="AD16" s="215" t="n"/>
      <c r="AE16" s="215" t="n"/>
      <c r="AF16" s="215" t="n"/>
      <c r="AG16" s="215" t="n"/>
      <c r="AH16" s="215" t="n"/>
      <c r="AI16" s="215" t="n"/>
      <c r="AJ16" s="215" t="n"/>
      <c r="AK16" s="215" t="n"/>
      <c r="AL16" s="215" t="n"/>
      <c r="AM16" s="215" t="n"/>
      <c r="AN16" s="215" t="n"/>
      <c r="AO16" s="215" t="n"/>
      <c r="AP16" s="215" t="n"/>
      <c r="AQ16" s="215" t="n"/>
      <c r="AR16" s="215" t="n"/>
      <c r="AS16" s="215" t="n"/>
      <c r="AT16" s="215" t="n"/>
      <c r="AU16" s="215" t="n"/>
      <c r="AV16" s="215" t="n"/>
      <c r="AW16" s="215" t="n"/>
      <c r="AX16" s="215" t="n"/>
      <c r="AY16" s="215" t="n"/>
      <c r="AZ16" s="215" t="n"/>
      <c r="BA16" s="215" t="n"/>
      <c r="BB16" s="215" t="n"/>
      <c r="BC16" s="215" t="n"/>
      <c r="BD16" s="215" t="n"/>
      <c r="BE16" s="215" t="n"/>
      <c r="BF16" s="215" t="n"/>
      <c r="BG16" s="215" t="n"/>
      <c r="BH16" s="215" t="n"/>
      <c r="BI16" s="215" t="n"/>
      <c r="BJ16" s="215" t="n"/>
      <c r="BK16" s="215" t="n"/>
      <c r="BL16" s="215" t="n"/>
      <c r="BM16" s="215" t="n"/>
      <c r="BN16" s="215" t="n"/>
      <c r="BO16" s="215" t="n"/>
      <c r="BP16" s="215" t="n"/>
      <c r="BQ16" s="215" t="n"/>
      <c r="BR16" s="215" t="n"/>
      <c r="BS16" s="215" t="n"/>
      <c r="BT16" s="215" t="n"/>
      <c r="BU16" s="215" t="n"/>
      <c r="BV16" s="215" t="n"/>
      <c r="BW16" s="215" t="n"/>
      <c r="BX16" s="215" t="n"/>
      <c r="BY16" s="215" t="n"/>
      <c r="BZ16" s="215" t="n"/>
      <c r="CA16" s="215" t="n"/>
      <c r="CB16" s="215" t="n"/>
      <c r="CC16" s="215" t="n"/>
      <c r="CD16" s="215" t="n"/>
      <c r="CE16" s="215" t="n"/>
      <c r="CF16" s="215" t="n"/>
      <c r="CG16" s="215" t="n"/>
      <c r="CH16" s="215" t="n"/>
      <c r="CI16" s="215" t="n"/>
      <c r="CJ16" s="215" t="n"/>
      <c r="CK16" s="215" t="n"/>
      <c r="CL16" s="215" t="n"/>
      <c r="CM16" s="215" t="n"/>
      <c r="CN16" s="215" t="n"/>
      <c r="CO16" s="215" t="n"/>
      <c r="CP16" s="215" t="n"/>
      <c r="CQ16" s="215" t="n"/>
      <c r="CR16" s="215" t="n"/>
      <c r="CS16" s="215" t="n"/>
      <c r="CT16" s="215" t="n"/>
      <c r="CU16" s="215" t="n"/>
      <c r="CV16" s="215" t="n"/>
      <c r="CW16" s="215" t="n"/>
      <c r="CX16" s="215" t="n"/>
      <c r="CY16" s="215" t="n"/>
      <c r="CZ16" s="215" t="n"/>
      <c r="DA16" s="215" t="n"/>
      <c r="DB16" s="215" t="n"/>
      <c r="DC16" s="215" t="n"/>
      <c r="DD16" s="215" t="n"/>
      <c r="DE16" s="215" t="n"/>
      <c r="DF16" s="215" t="n"/>
      <c r="DG16" s="215" t="n"/>
      <c r="DH16" s="215" t="n"/>
      <c r="DI16" s="215" t="n"/>
      <c r="DJ16" s="215" t="n"/>
      <c r="DK16" s="215" t="n"/>
      <c r="DL16" s="215" t="n"/>
      <c r="DM16" s="215" t="n"/>
      <c r="DN16" s="215" t="n"/>
      <c r="DO16" s="215" t="n"/>
      <c r="DP16" s="215" t="n"/>
      <c r="DQ16" s="215" t="n"/>
      <c r="DR16" s="215" t="n"/>
      <c r="DS16" s="215" t="n"/>
      <c r="DT16" s="215" t="n"/>
      <c r="DU16" s="215" t="n"/>
      <c r="DV16" s="215" t="n"/>
      <c r="DW16" s="215" t="n"/>
      <c r="DX16" s="215" t="n"/>
      <c r="DY16" s="215" t="n"/>
      <c r="DZ16" s="215" t="n"/>
      <c r="EA16" s="215" t="n"/>
      <c r="EB16" s="215" t="n"/>
      <c r="EC16" s="215" t="n"/>
      <c r="ED16" s="215" t="n"/>
      <c r="EE16" s="215" t="n"/>
      <c r="EF16" s="215" t="n"/>
      <c r="EG16" s="215" t="n"/>
      <c r="EH16" s="215" t="n"/>
      <c r="EI16" s="215" t="n"/>
      <c r="EJ16" s="215" t="n"/>
      <c r="EK16" s="215" t="n"/>
      <c r="EL16" s="215" t="n"/>
      <c r="EM16" s="215" t="n"/>
      <c r="EN16" s="215" t="n"/>
      <c r="EO16" s="215" t="n"/>
      <c r="EP16" s="215" t="n"/>
      <c r="EQ16" s="215" t="n"/>
      <c r="ER16" s="215" t="n"/>
      <c r="ES16" s="215" t="n"/>
      <c r="ET16" s="215" t="n"/>
      <c r="EU16" s="215" t="n"/>
      <c r="EV16" s="215" t="n"/>
      <c r="EW16" s="215" t="n"/>
      <c r="EX16" s="215" t="n"/>
      <c r="EY16" s="215" t="n"/>
      <c r="EZ16" s="215" t="n"/>
      <c r="FA16" s="215" t="n"/>
      <c r="FB16" s="215" t="n"/>
      <c r="FC16" s="215" t="n"/>
      <c r="FD16" s="215" t="n"/>
      <c r="FE16" s="215" t="n"/>
      <c r="FF16" s="215" t="n"/>
      <c r="FG16" s="215" t="n"/>
      <c r="FH16" s="215" t="n"/>
      <c r="FI16" s="215" t="n"/>
      <c r="FJ16" s="215" t="n"/>
      <c r="FK16" s="215" t="n"/>
      <c r="FL16" s="215" t="n"/>
      <c r="FM16" s="215" t="n"/>
      <c r="FN16" s="215" t="n"/>
      <c r="FO16" s="215" t="n"/>
      <c r="FP16" s="215" t="n"/>
      <c r="FQ16" s="215" t="n"/>
      <c r="FR16" s="215" t="n"/>
      <c r="FS16" s="215" t="n"/>
      <c r="FT16" s="215" t="n"/>
      <c r="FU16" s="215" t="n"/>
      <c r="FV16" s="215" t="n"/>
      <c r="FW16" s="215" t="n"/>
      <c r="FX16" s="215" t="n"/>
      <c r="FY16" s="215" t="n"/>
      <c r="FZ16" s="215" t="n"/>
      <c r="GA16" s="215" t="n"/>
      <c r="GB16" s="215" t="n"/>
      <c r="GC16" s="215" t="n"/>
      <c r="GD16" s="215" t="n"/>
      <c r="GE16" s="215" t="n"/>
      <c r="GF16" s="215" t="n"/>
      <c r="GG16" s="215" t="n"/>
      <c r="GH16" s="215" t="n"/>
      <c r="GI16" s="215" t="n"/>
      <c r="GJ16" s="215" t="n"/>
      <c r="GK16" s="215" t="n"/>
      <c r="GL16" s="215" t="n"/>
      <c r="GM16" s="215" t="n"/>
      <c r="GN16" s="215" t="n"/>
      <c r="GO16" s="215" t="n"/>
      <c r="GP16" s="215" t="n"/>
      <c r="GQ16" s="215" t="n"/>
      <c r="GR16" s="215" t="n"/>
      <c r="GS16" s="215" t="n"/>
      <c r="GT16" s="215" t="n"/>
      <c r="GU16" s="215" t="n"/>
      <c r="GV16" s="215" t="n"/>
      <c r="GW16" s="215" t="n"/>
      <c r="GX16" s="215" t="n"/>
      <c r="GY16" s="215" t="n"/>
      <c r="GZ16" s="215" t="n"/>
      <c r="HA16" s="215" t="n"/>
      <c r="HB16" s="215" t="n"/>
      <c r="HC16" s="215" t="n"/>
      <c r="HD16" s="215" t="n"/>
      <c r="HE16" s="215" t="n"/>
      <c r="HF16" s="215" t="n"/>
      <c r="HG16" s="215" t="n"/>
      <c r="HH16" s="215" t="n"/>
      <c r="HI16" s="215" t="n"/>
      <c r="HJ16" s="215" t="n"/>
      <c r="HK16" s="215" t="n"/>
      <c r="HL16" s="215" t="n"/>
      <c r="HM16" s="215" t="n"/>
      <c r="HN16" s="215" t="n"/>
      <c r="HO16" s="215" t="n"/>
      <c r="HP16" s="215" t="n"/>
      <c r="HQ16" s="215" t="n"/>
      <c r="HR16" s="215" t="n"/>
      <c r="HS16" s="215" t="n"/>
      <c r="HT16" s="215" t="n"/>
      <c r="HU16" s="215" t="n"/>
      <c r="HV16" s="215" t="n"/>
      <c r="HW16" s="215" t="n"/>
      <c r="HX16" s="215" t="n"/>
      <c r="HY16" s="215" t="n"/>
      <c r="HZ16" s="215" t="n"/>
      <c r="IA16" s="215" t="n"/>
      <c r="IB16" s="215" t="n"/>
      <c r="IC16" s="215" t="n"/>
      <c r="ID16" s="215" t="n"/>
      <c r="IE16" s="215" t="n"/>
      <c r="IF16" s="215" t="n"/>
      <c r="IG16" s="215" t="n"/>
      <c r="IH16" s="215" t="n"/>
      <c r="II16" s="215" t="n"/>
      <c r="IJ16" s="215" t="n"/>
      <c r="IK16" s="215" t="n"/>
      <c r="IL16" s="215" t="n"/>
      <c r="IM16" s="215" t="n"/>
      <c r="IN16" s="215" t="n"/>
      <c r="IO16" s="215" t="n"/>
      <c r="IP16" s="215" t="n"/>
      <c r="IQ16" s="215" t="n"/>
      <c r="IR16" s="215" t="n"/>
      <c r="IS16" s="215" t="n"/>
      <c r="IT16" s="215" t="n"/>
      <c r="IU16" s="215" t="n"/>
      <c r="IV16" s="215" t="n"/>
      <c r="IW16" s="215" t="n"/>
      <c r="IX16" s="215" t="n"/>
      <c r="IY16" s="215" t="n"/>
      <c r="IZ16" s="215" t="n"/>
      <c r="JA16" s="215" t="n"/>
      <c r="JB16" s="215" t="n"/>
      <c r="JC16" s="215" t="n"/>
      <c r="JD16" s="215" t="n"/>
      <c r="JE16" s="215" t="n"/>
      <c r="JF16" s="215" t="n"/>
      <c r="JG16" s="215" t="n"/>
      <c r="JH16" s="215" t="n"/>
      <c r="JI16" s="215" t="n"/>
      <c r="JJ16" s="215" t="n"/>
      <c r="JK16" s="215" t="n"/>
      <c r="JL16" s="215" t="n"/>
      <c r="JM16" s="215" t="n"/>
      <c r="JN16" s="215" t="n"/>
      <c r="JO16" s="215" t="n"/>
      <c r="JP16" s="215" t="n"/>
      <c r="JQ16" s="215" t="n"/>
      <c r="JR16" s="215" t="n"/>
      <c r="JS16" s="215" t="n"/>
      <c r="JT16" s="215" t="n"/>
      <c r="JU16" s="215" t="n"/>
      <c r="JV16" s="215" t="n"/>
      <c r="JW16" s="215" t="n"/>
      <c r="JX16" s="215" t="n"/>
      <c r="JY16" s="215" t="n"/>
      <c r="JZ16" s="215" t="n"/>
      <c r="KA16" s="215" t="n"/>
      <c r="KB16" s="215" t="n"/>
      <c r="KC16" s="215" t="n"/>
      <c r="KD16" s="215" t="n"/>
      <c r="KE16" s="215" t="n"/>
      <c r="KF16" s="215" t="n"/>
      <c r="KG16" s="215" t="n"/>
      <c r="KH16" s="215" t="n"/>
      <c r="KI16" s="215" t="n"/>
      <c r="KJ16" s="215" t="n"/>
      <c r="KK16" s="215" t="n"/>
      <c r="KL16" s="215" t="n"/>
      <c r="KM16" s="215" t="n"/>
      <c r="KN16" s="215" t="n"/>
      <c r="KO16" s="215" t="n"/>
      <c r="KP16" s="215" t="n"/>
      <c r="KQ16" s="215" t="n"/>
      <c r="KR16" s="215" t="n"/>
      <c r="KS16" s="215" t="n"/>
      <c r="KT16" s="215" t="n"/>
      <c r="KU16" s="215" t="n"/>
      <c r="KV16" s="215" t="n"/>
      <c r="KW16" s="215" t="n"/>
      <c r="KX16" s="215" t="n"/>
      <c r="KY16" s="215" t="n"/>
      <c r="KZ16" s="215" t="n"/>
      <c r="LA16" s="215" t="n"/>
      <c r="LB16" s="215" t="n"/>
      <c r="LC16" s="215" t="n"/>
      <c r="LD16" s="215" t="n"/>
      <c r="LE16" s="215" t="n"/>
      <c r="LF16" s="215" t="n"/>
      <c r="LG16" s="215" t="n"/>
      <c r="LH16" s="215" t="n"/>
      <c r="LI16" s="215" t="n"/>
      <c r="LJ16" s="215" t="n"/>
      <c r="LK16" s="215" t="n"/>
      <c r="LL16" s="215" t="n"/>
      <c r="LM16" s="215" t="n"/>
      <c r="LN16" s="215" t="n"/>
      <c r="LO16" s="215" t="n"/>
      <c r="LP16" s="215" t="n"/>
      <c r="LQ16" s="215" t="n"/>
      <c r="LR16" s="215" t="n"/>
      <c r="LS16" s="215" t="n"/>
      <c r="LT16" s="215" t="n"/>
      <c r="LU16" s="215" t="n"/>
      <c r="LV16" s="215" t="n"/>
      <c r="LW16" s="215" t="n"/>
      <c r="LX16" s="215" t="n"/>
      <c r="LY16" s="215" t="n"/>
      <c r="LZ16" s="215" t="n"/>
      <c r="MA16" s="215" t="n"/>
      <c r="MB16" s="215" t="n"/>
      <c r="MC16" s="215" t="n"/>
      <c r="MD16" s="215" t="n"/>
      <c r="ME16" s="215" t="n"/>
      <c r="MF16" s="215" t="n"/>
      <c r="MG16" s="215" t="n"/>
      <c r="MH16" s="215" t="n"/>
      <c r="MI16" s="215" t="n"/>
      <c r="MJ16" s="215" t="n"/>
      <c r="MK16" s="215" t="n"/>
      <c r="ML16" s="215" t="n"/>
      <c r="MM16" s="215" t="n"/>
      <c r="MN16" s="215" t="n"/>
      <c r="MO16" s="215" t="n"/>
      <c r="MP16" s="215" t="n"/>
      <c r="MQ16" s="215" t="n"/>
      <c r="MR16" s="215" t="n"/>
      <c r="MS16" s="215" t="n"/>
      <c r="MT16" s="215" t="n"/>
      <c r="MU16" s="215" t="n"/>
      <c r="MV16" s="215" t="n"/>
      <c r="MW16" s="215" t="n"/>
      <c r="MX16" s="215" t="n"/>
      <c r="MY16" s="215" t="n"/>
      <c r="MZ16" s="215" t="n"/>
      <c r="NA16" s="215" t="n"/>
      <c r="NB16" s="215" t="n"/>
      <c r="NC16" s="216">
        <f>SUM(B16:NB16)</f>
        <v/>
      </c>
    </row>
    <row r="17" ht="14.25" customHeight="1" s="166">
      <c r="A17" s="217" t="inlineStr">
        <is>
          <t>ENERGY DAILY CONSUMPTION (kWh)</t>
        </is>
      </c>
      <c r="B17" s="218" t="n"/>
      <c r="C17" s="218">
        <f>IF(COUNT(B7:B16,C7:C16)=0,"",SUMPRODUCT(--(B7:B16&lt;&gt;""),--(C7:C16&lt;&gt;""),C7:C16-B7:B16))</f>
        <v/>
      </c>
      <c r="D17" s="218">
        <f>IF(COUNT(C7:C16,D7:D16)=0,"",SUMPRODUCT(--(C7:C16&lt;&gt;""),--(D7:D16&lt;&gt;""),D7:D16-C7:C16))</f>
        <v/>
      </c>
      <c r="E17" s="218">
        <f>IF(COUNT(D7:D16,E7:E16)=0,"",SUMPRODUCT(--(D7:D16&lt;&gt;""),--(E7:E16&lt;&gt;""),E7:E16-D7:D16))</f>
        <v/>
      </c>
      <c r="F17" s="218">
        <f>IF(COUNT(E7:E16,F7:F16)=0,"",SUMPRODUCT(--(E7:E16&lt;&gt;""),--(F7:F16&lt;&gt;""),F7:F16-E7:E16))</f>
        <v/>
      </c>
      <c r="G17" s="218">
        <f>IF(COUNT(F7:F16,G7:G16)=0,"",SUMPRODUCT(--(F7:F16&lt;&gt;""),--(G7:G16&lt;&gt;""),G7:G16-F7:F16))</f>
        <v/>
      </c>
      <c r="H17" s="218">
        <f>IF(COUNT(G7:G16,H7:H16)=0,"",SUMPRODUCT(--(G7:G16&lt;&gt;""),--(H7:H16&lt;&gt;""),H7:H16-G7:G16))</f>
        <v/>
      </c>
      <c r="I17" s="218">
        <f>IF(COUNT(H7:H16,I7:I16)=0,"",SUMPRODUCT(--(H7:H16&lt;&gt;""),--(I7:I16&lt;&gt;""),I7:I16-H7:H16))</f>
        <v/>
      </c>
      <c r="J17" s="218">
        <f>IF(COUNT(I7:I16,J7:J16)=0,"",SUMPRODUCT(--(I7:I16&lt;&gt;""),--(J7:J16&lt;&gt;""),J7:J16-I7:I16))</f>
        <v/>
      </c>
      <c r="K17" s="218">
        <f>IF(COUNT(J7:J16,K7:K16)=0,"",SUMPRODUCT(--(J7:J16&lt;&gt;""),--(K7:K16&lt;&gt;""),K7:K16-J7:J16))</f>
        <v/>
      </c>
      <c r="L17" s="218">
        <f>IF(COUNT(K7:K16,L7:L16)=0,"",SUMPRODUCT(--(K7:K16&lt;&gt;""),--(L7:L16&lt;&gt;""),L7:L16-K7:K16))</f>
        <v/>
      </c>
      <c r="M17" s="218">
        <f>IF(COUNT(L7:L16,M7:M16)=0,"",SUMPRODUCT(--(L7:L16&lt;&gt;""),--(M7:M16&lt;&gt;""),M7:M16-L7:L16))</f>
        <v/>
      </c>
      <c r="N17" s="218">
        <f>IF(COUNT(M7:M16,N7:N16)=0,"",SUMPRODUCT(--(M7:M16&lt;&gt;""),--(N7:N16&lt;&gt;""),N7:N16-M7:M16))</f>
        <v/>
      </c>
      <c r="O17" s="218">
        <f>IF(COUNT(N7:N16,O7:O16)=0,"",SUMPRODUCT(--(N7:N16&lt;&gt;""),--(O7:O16&lt;&gt;""),O7:O16-N7:N16))</f>
        <v/>
      </c>
      <c r="P17" s="218">
        <f>IF(COUNT(O7:O16,P7:P16)=0,"",SUMPRODUCT(--(O7:O16&lt;&gt;""),--(P7:P16&lt;&gt;""),P7:P16-O7:O16))</f>
        <v/>
      </c>
      <c r="Q17" s="218">
        <f>IF(COUNT(P7:P16,Q7:Q16)=0,"",SUMPRODUCT(--(P7:P16&lt;&gt;""),--(Q7:Q16&lt;&gt;""),Q7:Q16-P7:P16))</f>
        <v/>
      </c>
      <c r="R17" s="218">
        <f>IF(COUNT(Q7:Q16,R7:R16)=0,"",SUMPRODUCT(--(Q7:Q16&lt;&gt;""),--(R7:R16&lt;&gt;""),R7:R16-Q7:Q16))</f>
        <v/>
      </c>
      <c r="S17" s="218">
        <f>IF(COUNT(R7:R16,S7:S16)=0,"",SUMPRODUCT(--(R7:R16&lt;&gt;""),--(S7:S16&lt;&gt;""),S7:S16-R7:R16))</f>
        <v/>
      </c>
      <c r="T17" s="218">
        <f>IF(COUNT(S7:S16,T7:T16)=0,"",SUMPRODUCT(--(S7:S16&lt;&gt;""),--(T7:T16&lt;&gt;""),T7:T16-S7:S16))</f>
        <v/>
      </c>
      <c r="U17" s="218">
        <f>IF(COUNT(T7:T16,U7:U16)=0,"",SUMPRODUCT(--(T7:T16&lt;&gt;""),--(U7:U16&lt;&gt;""),U7:U16-T7:T16))</f>
        <v/>
      </c>
      <c r="V17" s="218">
        <f>IF(COUNT(U7:U16,V7:V16)=0,"",SUMPRODUCT(--(U7:U16&lt;&gt;""),--(V7:V16&lt;&gt;""),V7:V16-U7:U16))</f>
        <v/>
      </c>
      <c r="W17" s="218">
        <f>IF(COUNT(V7:V16,W7:W16)=0,"",SUMPRODUCT(--(V7:V16&lt;&gt;""),--(W7:W16&lt;&gt;""),W7:W16-V7:V16))</f>
        <v/>
      </c>
      <c r="X17" s="218">
        <f>IF(COUNT(W7:W16,X7:X16)=0,"",SUMPRODUCT(--(W7:W16&lt;&gt;""),--(X7:X16&lt;&gt;""),X7:X16-W7:W16))</f>
        <v/>
      </c>
      <c r="Y17" s="218">
        <f>IF(COUNT(X7:X16,Y7:Y16)=0,"",SUMPRODUCT(--(X7:X16&lt;&gt;""),--(Y7:Y16&lt;&gt;""),Y7:Y16-X7:X16))</f>
        <v/>
      </c>
      <c r="Z17" s="218">
        <f>IF(COUNT(Y7:Y16,Z7:Z16)=0,"",SUMPRODUCT(--(Y7:Y16&lt;&gt;""),--(Z7:Z16&lt;&gt;""),Z7:Z16-Y7:Y16))</f>
        <v/>
      </c>
      <c r="AA17" s="218">
        <f>IF(COUNT(Z7:Z16,AA7:AA16)=0,"",SUMPRODUCT(--(Z7:Z16&lt;&gt;""),--(AA7:AA16&lt;&gt;""),AA7:AA16-Z7:Z16))</f>
        <v/>
      </c>
      <c r="AB17" s="218">
        <f>IF(COUNT(AA7:AA16,AB7:AB16)=0,"",SUMPRODUCT(--(AA7:AA16&lt;&gt;""),--(AB7:AB16&lt;&gt;""),AB7:AB16-AA7:AA16))</f>
        <v/>
      </c>
      <c r="AC17" s="218">
        <f>IF(COUNT(AB7:AB16,AC7:AC16)=0,"",SUMPRODUCT(--(AB7:AB16&lt;&gt;""),--(AC7:AC16&lt;&gt;""),AC7:AC16-AB7:AB16))</f>
        <v/>
      </c>
      <c r="AD17" s="218">
        <f>IF(COUNT(AC7:AC16,AD7:AD16)=0,"",SUMPRODUCT(--(AC7:AC16&lt;&gt;""),--(AD7:AD16&lt;&gt;""),AD7:AD16-AC7:AC16))</f>
        <v/>
      </c>
      <c r="AE17" s="218">
        <f>IF(COUNT(AD7:AD16,AE7:AE16)=0,"",SUMPRODUCT(--(AD7:AD16&lt;&gt;""),--(AE7:AE16&lt;&gt;""),AE7:AE16-AD7:AD16))</f>
        <v/>
      </c>
      <c r="AF17" s="218">
        <f>IF(COUNT(AE7:AE16,AF7:AF16)=0,"",SUMPRODUCT(--(AE7:AE16&lt;&gt;""),--(AF7:AF16&lt;&gt;""),AF7:AF16-AE7:AE16))</f>
        <v/>
      </c>
      <c r="AG17" s="218">
        <f>IF(COUNT(AF7:AF16,AG7:AG16)=0,"",SUMPRODUCT(--(AF7:AF16&lt;&gt;""),--(AG7:AG16&lt;&gt;""),AG7:AG16-AF7:AF16))</f>
        <v/>
      </c>
      <c r="AH17" s="218">
        <f>IF(COUNT(AG7:AG16,AH7:AH16)=0,"",SUMPRODUCT(--(AG7:AG16&lt;&gt;""),--(AH7:AH16&lt;&gt;""),AH7:AH16-AG7:AG16))</f>
        <v/>
      </c>
      <c r="AI17" s="218">
        <f>IF(COUNT(AH7:AH16,AI7:AI16)=0,"",SUMPRODUCT(--(AH7:AH16&lt;&gt;""),--(AI7:AI16&lt;&gt;""),AI7:AI16-AH7:AH16))</f>
        <v/>
      </c>
      <c r="AJ17" s="218">
        <f>IF(COUNT(AI7:AI16,AJ7:AJ16)=0,"",SUMPRODUCT(--(AI7:AI16&lt;&gt;""),--(AJ7:AJ16&lt;&gt;""),AJ7:AJ16-AI7:AI16))</f>
        <v/>
      </c>
      <c r="AK17" s="218">
        <f>IF(COUNT(AJ7:AJ16,AK7:AK16)=0,"",SUMPRODUCT(--(AJ7:AJ16&lt;&gt;""),--(AK7:AK16&lt;&gt;""),AK7:AK16-AJ7:AJ16))</f>
        <v/>
      </c>
      <c r="AL17" s="218">
        <f>IF(COUNT(AK7:AK16,AL7:AL16)=0,"",SUMPRODUCT(--(AK7:AK16&lt;&gt;""),--(AL7:AL16&lt;&gt;""),AL7:AL16-AK7:AK16))</f>
        <v/>
      </c>
      <c r="AM17" s="218">
        <f>IF(COUNT(AL7:AL16,AM7:AM16)=0,"",SUMPRODUCT(--(AL7:AL16&lt;&gt;""),--(AM7:AM16&lt;&gt;""),AM7:AM16-AL7:AL16))</f>
        <v/>
      </c>
      <c r="AN17" s="218">
        <f>IF(COUNT(AM7:AM16,AN7:AN16)=0,"",SUMPRODUCT(--(AM7:AM16&lt;&gt;""),--(AN7:AN16&lt;&gt;""),AN7:AN16-AM7:AM16))</f>
        <v/>
      </c>
      <c r="AO17" s="218">
        <f>IF(COUNT(AN7:AN16,AO7:AO16)=0,"",SUMPRODUCT(--(AN7:AN16&lt;&gt;""),--(AO7:AO16&lt;&gt;""),AO7:AO16-AN7:AN16))</f>
        <v/>
      </c>
      <c r="AP17" s="218">
        <f>IF(COUNT(AO7:AO16,AP7:AP16)=0,"",SUMPRODUCT(--(AO7:AO16&lt;&gt;""),--(AP7:AP16&lt;&gt;""),AP7:AP16-AO7:AO16))</f>
        <v/>
      </c>
      <c r="AQ17" s="218">
        <f>IF(COUNT(AP7:AP16,AQ7:AQ16)=0,"",SUMPRODUCT(--(AP7:AP16&lt;&gt;""),--(AQ7:AQ16&lt;&gt;""),AQ7:AQ16-AP7:AP16))</f>
        <v/>
      </c>
      <c r="AR17" s="218">
        <f>IF(COUNT(AQ7:AQ16,AR7:AR16)=0,"",SUMPRODUCT(--(AQ7:AQ16&lt;&gt;""),--(AR7:AR16&lt;&gt;""),AR7:AR16-AQ7:AQ16))</f>
        <v/>
      </c>
      <c r="AS17" s="218">
        <f>IF(COUNT(AR7:AR16,AS7:AS16)=0,"",SUMPRODUCT(--(AR7:AR16&lt;&gt;""),--(AS7:AS16&lt;&gt;""),AS7:AS16-AR7:AR16))</f>
        <v/>
      </c>
      <c r="AT17" s="218">
        <f>IF(COUNT(AS7:AS16,AT7:AT16)=0,"",SUMPRODUCT(--(AS7:AS16&lt;&gt;""),--(AT7:AT16&lt;&gt;""),AT7:AT16-AS7:AS16))</f>
        <v/>
      </c>
      <c r="AU17" s="218">
        <f>IF(COUNT(AT7:AT16,AU7:AU16)=0,"",SUMPRODUCT(--(AT7:AT16&lt;&gt;""),--(AU7:AU16&lt;&gt;""),AU7:AU16-AT7:AT16))</f>
        <v/>
      </c>
      <c r="AV17" s="218">
        <f>IF(COUNT(AU7:AU16,AV7:AV16)=0,"",SUMPRODUCT(--(AU7:AU16&lt;&gt;""),--(AV7:AV16&lt;&gt;""),AV7:AV16-AU7:AU16))</f>
        <v/>
      </c>
      <c r="AW17" s="218">
        <f>IF(COUNT(AV7:AV16,AW7:AW16)=0,"",SUMPRODUCT(--(AV7:AV16&lt;&gt;""),--(AW7:AW16&lt;&gt;""),AW7:AW16-AV7:AV16))</f>
        <v/>
      </c>
      <c r="AX17" s="218">
        <f>IF(COUNT(AW7:AW16,AX7:AX16)=0,"",SUMPRODUCT(--(AW7:AW16&lt;&gt;""),--(AX7:AX16&lt;&gt;""),AX7:AX16-AW7:AW16))</f>
        <v/>
      </c>
      <c r="AY17" s="218">
        <f>IF(COUNT(AX7:AX16,AY7:AY16)=0,"",SUMPRODUCT(--(AX7:AX16&lt;&gt;""),--(AY7:AY16&lt;&gt;""),AY7:AY16-AX7:AX16))</f>
        <v/>
      </c>
      <c r="AZ17" s="218">
        <f>IF(COUNT(AY7:AY16,AZ7:AZ16)=0,"",SUMPRODUCT(--(AY7:AY16&lt;&gt;""),--(AZ7:AZ16&lt;&gt;""),AZ7:AZ16-AY7:AY16))</f>
        <v/>
      </c>
      <c r="BA17" s="218">
        <f>IF(COUNT(AZ7:AZ16,BA7:BA16)=0,"",SUMPRODUCT(--(AZ7:AZ16&lt;&gt;""),--(BA7:BA16&lt;&gt;""),BA7:BA16-AZ7:AZ16))</f>
        <v/>
      </c>
      <c r="BB17" s="218">
        <f>IF(COUNT(BA7:BA16,BB7:BB16)=0,"",SUMPRODUCT(--(BA7:BA16&lt;&gt;""),--(BB7:BB16&lt;&gt;""),BB7:BB16-BA7:BA16))</f>
        <v/>
      </c>
      <c r="BC17" s="218">
        <f>IF(COUNT(BB7:BB16,BC7:BC16)=0,"",SUMPRODUCT(--(BB7:BB16&lt;&gt;""),--(BC7:BC16&lt;&gt;""),BC7:BC16-BB7:BB16))</f>
        <v/>
      </c>
      <c r="BD17" s="218">
        <f>IF(COUNT(BC7:BC16,BD7:BD16)=0,"",SUMPRODUCT(--(BC7:BC16&lt;&gt;""),--(BD7:BD16&lt;&gt;""),BD7:BD16-BC7:BC16))</f>
        <v/>
      </c>
      <c r="BE17" s="218">
        <f>IF(COUNT(BD7:BD16,BE7:BE16)=0,"",SUMPRODUCT(--(BD7:BD16&lt;&gt;""),--(BE7:BE16&lt;&gt;""),BE7:BE16-BD7:BD16))</f>
        <v/>
      </c>
      <c r="BF17" s="218">
        <f>IF(COUNT(BE7:BE16,BF7:BF16)=0,"",SUMPRODUCT(--(BE7:BE16&lt;&gt;""),--(BF7:BF16&lt;&gt;""),BF7:BF16-BE7:BE16))</f>
        <v/>
      </c>
      <c r="BG17" s="218">
        <f>IF(COUNT(BF7:BF16,BG7:BG16)=0,"",SUMPRODUCT(--(BF7:BF16&lt;&gt;""),--(BG7:BG16&lt;&gt;""),BG7:BG16-BF7:BF16))</f>
        <v/>
      </c>
      <c r="BH17" s="218">
        <f>IF(COUNT(BG7:BG16,BH7:BH16)=0,"",SUMPRODUCT(--(BG7:BG16&lt;&gt;""),--(BH7:BH16&lt;&gt;""),BH7:BH16-BG7:BG16))</f>
        <v/>
      </c>
      <c r="BI17" s="218">
        <f>IF(COUNT(BH7:BH16,BI7:BI16)=0,"",SUMPRODUCT(--(BH7:BH16&lt;&gt;""),--(BI7:BI16&lt;&gt;""),BI7:BI16-BH7:BH16))</f>
        <v/>
      </c>
      <c r="BJ17" s="218">
        <f>IF(COUNT(BI7:BI16,BJ7:BJ16)=0,"",SUMPRODUCT(--(BI7:BI16&lt;&gt;""),--(BJ7:BJ16&lt;&gt;""),BJ7:BJ16-BI7:BI16))</f>
        <v/>
      </c>
      <c r="BK17" s="218">
        <f>IF(COUNT(BJ7:BJ16,BK7:BK16)=0,"",SUMPRODUCT(--(BJ7:BJ16&lt;&gt;""),--(BK7:BK16&lt;&gt;""),BK7:BK16-BJ7:BJ16))</f>
        <v/>
      </c>
      <c r="BL17" s="218">
        <f>IF(COUNT(BK7:BK16,BL7:BL16)=0,"",SUMPRODUCT(--(BK7:BK16&lt;&gt;""),--(BL7:BL16&lt;&gt;""),BL7:BL16-BK7:BK16))</f>
        <v/>
      </c>
      <c r="BM17" s="218">
        <f>IF(COUNT(BL7:BL16,BM7:BM16)=0,"",SUMPRODUCT(--(BL7:BL16&lt;&gt;""),--(BM7:BM16&lt;&gt;""),BM7:BM16-BL7:BL16))</f>
        <v/>
      </c>
      <c r="BN17" s="218">
        <f>IF(COUNT(BM7:BM16,BN7:BN16)=0,"",SUMPRODUCT(--(BM7:BM16&lt;&gt;""),--(BN7:BN16&lt;&gt;""),BN7:BN16-BM7:BM16))</f>
        <v/>
      </c>
      <c r="BO17" s="218">
        <f>IF(COUNT(BN7:BN16,BO7:BO16)=0,"",SUMPRODUCT(--(BN7:BN16&lt;&gt;""),--(BO7:BO16&lt;&gt;""),BO7:BO16-BN7:BN16))</f>
        <v/>
      </c>
      <c r="BP17" s="218">
        <f>IF(COUNT(BO7:BO16,BP7:BP16)=0,"",SUMPRODUCT(--(BO7:BO16&lt;&gt;""),--(BP7:BP16&lt;&gt;""),BP7:BP16-BO7:BO16))</f>
        <v/>
      </c>
      <c r="BQ17" s="218">
        <f>IF(COUNT(BP7:BP16,BQ7:BQ16)=0,"",SUMPRODUCT(--(BP7:BP16&lt;&gt;""),--(BQ7:BQ16&lt;&gt;""),BQ7:BQ16-BP7:BP16))</f>
        <v/>
      </c>
      <c r="BR17" s="218">
        <f>IF(COUNT(BQ7:BQ16,BR7:BR16)=0,"",SUMPRODUCT(--(BQ7:BQ16&lt;&gt;""),--(BR7:BR16&lt;&gt;""),BR7:BR16-BQ7:BQ16))</f>
        <v/>
      </c>
      <c r="BS17" s="218">
        <f>IF(COUNT(BR7:BR16,BS7:BS16)=0,"",SUMPRODUCT(--(BR7:BR16&lt;&gt;""),--(BS7:BS16&lt;&gt;""),BS7:BS16-BR7:BR16))</f>
        <v/>
      </c>
      <c r="BT17" s="218">
        <f>IF(COUNT(BS7:BS16,BT7:BT16)=0,"",SUMPRODUCT(--(BS7:BS16&lt;&gt;""),--(BT7:BT16&lt;&gt;""),BT7:BT16-BS7:BS16))</f>
        <v/>
      </c>
      <c r="BU17" s="218">
        <f>IF(COUNT(BT7:BT16,BU7:BU16)=0,"",SUMPRODUCT(--(BT7:BT16&lt;&gt;""),--(BU7:BU16&lt;&gt;""),BU7:BU16-BT7:BT16))</f>
        <v/>
      </c>
      <c r="BV17" s="218">
        <f>IF(COUNT(BU7:BU16,BV7:BV16)=0,"",SUMPRODUCT(--(BU7:BU16&lt;&gt;""),--(BV7:BV16&lt;&gt;""),BV7:BV16-BU7:BU16))</f>
        <v/>
      </c>
      <c r="BW17" s="218">
        <f>IF(COUNT(BV7:BV16,BW7:BW16)=0,"",SUMPRODUCT(--(BV7:BV16&lt;&gt;""),--(BW7:BW16&lt;&gt;""),BW7:BW16-BV7:BV16))</f>
        <v/>
      </c>
      <c r="BX17" s="218">
        <f>IF(COUNT(BW7:BW16,BX7:BX16)=0,"",SUMPRODUCT(--(BW7:BW16&lt;&gt;""),--(BX7:BX16&lt;&gt;""),BX7:BX16-BW7:BW16))</f>
        <v/>
      </c>
      <c r="BY17" s="218">
        <f>IF(COUNT(BX7:BX16,BY7:BY16)=0,"",SUMPRODUCT(--(BX7:BX16&lt;&gt;""),--(BY7:BY16&lt;&gt;""),BY7:BY16-BX7:BX16))</f>
        <v/>
      </c>
      <c r="BZ17" s="218">
        <f>IF(COUNT(BY7:BY16,BZ7:BZ16)=0,"",SUMPRODUCT(--(BY7:BY16&lt;&gt;""),--(BZ7:BZ16&lt;&gt;""),BZ7:BZ16-BY7:BY16))</f>
        <v/>
      </c>
      <c r="CA17" s="218">
        <f>IF(COUNT(BZ7:BZ16,CA7:CA16)=0,"",SUMPRODUCT(--(BZ7:BZ16&lt;&gt;""),--(CA7:CA16&lt;&gt;""),CA7:CA16-BZ7:BZ16))</f>
        <v/>
      </c>
      <c r="CB17" s="218">
        <f>IF(COUNT(CA7:CA16,CB7:CB16)=0,"",SUMPRODUCT(--(CA7:CA16&lt;&gt;""),--(CB7:CB16&lt;&gt;""),CB7:CB16-CA7:CA16))</f>
        <v/>
      </c>
      <c r="CC17" s="218">
        <f>IF(COUNT(CB7:CB16,CC7:CC16)=0,"",SUMPRODUCT(--(CB7:CB16&lt;&gt;""),--(CC7:CC16&lt;&gt;""),CC7:CC16-CB7:CB16))</f>
        <v/>
      </c>
      <c r="CD17" s="218">
        <f>IF(COUNT(CC7:CC16,CD7:CD16)=0,"",SUMPRODUCT(--(CC7:CC16&lt;&gt;""),--(CD7:CD16&lt;&gt;""),CD7:CD16-CC7:CC16))</f>
        <v/>
      </c>
      <c r="CE17" s="218">
        <f>IF(COUNT(CD7:CD16,CE7:CE16)=0,"",SUMPRODUCT(--(CD7:CD16&lt;&gt;""),--(CE7:CE16&lt;&gt;""),CE7:CE16-CD7:CD16))</f>
        <v/>
      </c>
      <c r="CF17" s="218">
        <f>IF(COUNT(CE7:CE16,CF7:CF16)=0,"",SUMPRODUCT(--(CE7:CE16&lt;&gt;""),--(CF7:CF16&lt;&gt;""),CF7:CF16-CE7:CE16))</f>
        <v/>
      </c>
      <c r="CG17" s="218">
        <f>IF(COUNT(CF7:CF16,CG7:CG16)=0,"",SUMPRODUCT(--(CF7:CF16&lt;&gt;""),--(CG7:CG16&lt;&gt;""),CG7:CG16-CF7:CF16))</f>
        <v/>
      </c>
      <c r="CH17" s="218">
        <f>IF(COUNT(CG7:CG16,CH7:CH16)=0,"",SUMPRODUCT(--(CG7:CG16&lt;&gt;""),--(CH7:CH16&lt;&gt;""),CH7:CH16-CG7:CG16))</f>
        <v/>
      </c>
      <c r="CI17" s="218">
        <f>IF(COUNT(CH7:CH16,CI7:CI16)=0,"",SUMPRODUCT(--(CH7:CH16&lt;&gt;""),--(CI7:CI16&lt;&gt;""),CI7:CI16-CH7:CH16))</f>
        <v/>
      </c>
      <c r="CJ17" s="218">
        <f>IF(COUNT(CI7:CI16,CJ7:CJ16)=0,"",SUMPRODUCT(--(CI7:CI16&lt;&gt;""),--(CJ7:CJ16&lt;&gt;""),CJ7:CJ16-CI7:CI16))</f>
        <v/>
      </c>
      <c r="CK17" s="218">
        <f>IF(COUNT(CJ7:CJ16,CK7:CK16)=0,"",SUMPRODUCT(--(CJ7:CJ16&lt;&gt;""),--(CK7:CK16&lt;&gt;""),CK7:CK16-CJ7:CJ16))</f>
        <v/>
      </c>
      <c r="CL17" s="218">
        <f>IF(COUNT(CK7:CK16,CL7:CL16)=0,"",SUMPRODUCT(--(CK7:CK16&lt;&gt;""),--(CL7:CL16&lt;&gt;""),CL7:CL16-CK7:CK16))</f>
        <v/>
      </c>
      <c r="CM17" s="218">
        <f>IF(COUNT(CL7:CL16,CM7:CM16)=0,"",SUMPRODUCT(--(CL7:CL16&lt;&gt;""),--(CM7:CM16&lt;&gt;""),CM7:CM16-CL7:CL16))</f>
        <v/>
      </c>
      <c r="CN17" s="218">
        <f>IF(COUNT(CM7:CM16,CN7:CN16)=0,"",SUMPRODUCT(--(CM7:CM16&lt;&gt;""),--(CN7:CN16&lt;&gt;""),CN7:CN16-CM7:CM16))</f>
        <v/>
      </c>
      <c r="CO17" s="218">
        <f>IF(COUNT(CN7:CN16,CO7:CO16)=0,"",SUMPRODUCT(--(CN7:CN16&lt;&gt;""),--(CO7:CO16&lt;&gt;""),CO7:CO16-CN7:CN16))</f>
        <v/>
      </c>
      <c r="CP17" s="218">
        <f>IF(COUNT(CO7:CO16,CP7:CP16)=0,"",SUMPRODUCT(--(CO7:CO16&lt;&gt;""),--(CP7:CP16&lt;&gt;""),CP7:CP16-CO7:CO16))</f>
        <v/>
      </c>
      <c r="CQ17" s="218">
        <f>IF(COUNT(CP7:CP16,CQ7:CQ16)=0,"",SUMPRODUCT(--(CP7:CP16&lt;&gt;""),--(CQ7:CQ16&lt;&gt;""),CQ7:CQ16-CP7:CP16))</f>
        <v/>
      </c>
      <c r="CR17" s="218">
        <f>IF(COUNT(CQ7:CQ16,CR7:CR16)=0,"",SUMPRODUCT(--(CQ7:CQ16&lt;&gt;""),--(CR7:CR16&lt;&gt;""),CR7:CR16-CQ7:CQ16))</f>
        <v/>
      </c>
      <c r="CS17" s="218">
        <f>IF(COUNT(CR7:CR16,CS7:CS16)=0,"",SUMPRODUCT(--(CR7:CR16&lt;&gt;""),--(CS7:CS16&lt;&gt;""),CS7:CS16-CR7:CR16))</f>
        <v/>
      </c>
      <c r="CT17" s="218">
        <f>IF(COUNT(CS7:CS16,CT7:CT16)=0,"",SUMPRODUCT(--(CS7:CS16&lt;&gt;""),--(CT7:CT16&lt;&gt;""),CT7:CT16-CS7:CS16))</f>
        <v/>
      </c>
      <c r="CU17" s="218">
        <f>IF(COUNT(CT7:CT16,CU7:CU16)=0,"",SUMPRODUCT(--(CT7:CT16&lt;&gt;""),--(CU7:CU16&lt;&gt;""),CU7:CU16-CT7:CT16))</f>
        <v/>
      </c>
      <c r="CV17" s="218">
        <f>IF(COUNT(CU7:CU16,CV7:CV16)=0,"",SUMPRODUCT(--(CU7:CU16&lt;&gt;""),--(CV7:CV16&lt;&gt;""),CV7:CV16-CU7:CU16))</f>
        <v/>
      </c>
      <c r="CW17" s="218">
        <f>IF(COUNT(CV7:CV16,CW7:CW16)=0,"",SUMPRODUCT(--(CV7:CV16&lt;&gt;""),--(CW7:CW16&lt;&gt;""),CW7:CW16-CV7:CV16))</f>
        <v/>
      </c>
      <c r="CX17" s="218">
        <f>IF(COUNT(CW7:CW16,CX7:CX16)=0,"",SUMPRODUCT(--(CW7:CW16&lt;&gt;""),--(CX7:CX16&lt;&gt;""),CX7:CX16-CW7:CW16))</f>
        <v/>
      </c>
      <c r="CY17" s="218">
        <f>IF(COUNT(CX7:CX16,CY7:CY16)=0,"",SUMPRODUCT(--(CX7:CX16&lt;&gt;""),--(CY7:CY16&lt;&gt;""),CY7:CY16-CX7:CX16))</f>
        <v/>
      </c>
      <c r="CZ17" s="218">
        <f>IF(COUNT(CY7:CY16,CZ7:CZ16)=0,"",SUMPRODUCT(--(CY7:CY16&lt;&gt;""),--(CZ7:CZ16&lt;&gt;""),CZ7:CZ16-CY7:CY16))</f>
        <v/>
      </c>
      <c r="DA17" s="218">
        <f>IF(COUNT(CZ7:CZ16,DA7:DA16)=0,"",SUMPRODUCT(--(CZ7:CZ16&lt;&gt;""),--(DA7:DA16&lt;&gt;""),DA7:DA16-CZ7:CZ16))</f>
        <v/>
      </c>
      <c r="DB17" s="218">
        <f>IF(COUNT(DA7:DA16,DB7:DB16)=0,"",SUMPRODUCT(--(DA7:DA16&lt;&gt;""),--(DB7:DB16&lt;&gt;""),DB7:DB16-DA7:DA16))</f>
        <v/>
      </c>
      <c r="DC17" s="218">
        <f>IF(COUNT(DB7:DB16,DC7:DC16)=0,"",SUMPRODUCT(--(DB7:DB16&lt;&gt;""),--(DC7:DC16&lt;&gt;""),DC7:DC16-DB7:DB16))</f>
        <v/>
      </c>
      <c r="DD17" s="218">
        <f>IF(COUNT(DC7:DC16,DD7:DD16)=0,"",SUMPRODUCT(--(DC7:DC16&lt;&gt;""),--(DD7:DD16&lt;&gt;""),DD7:DD16-DC7:DC16))</f>
        <v/>
      </c>
      <c r="DE17" s="218">
        <f>IF(COUNT(DD7:DD16,DE7:DE16)=0,"",SUMPRODUCT(--(DD7:DD16&lt;&gt;""),--(DE7:DE16&lt;&gt;""),DE7:DE16-DD7:DD16))</f>
        <v/>
      </c>
      <c r="DF17" s="218">
        <f>IF(COUNT(DE7:DE16,DF7:DF16)=0,"",SUMPRODUCT(--(DE7:DE16&lt;&gt;""),--(DF7:DF16&lt;&gt;""),DF7:DF16-DE7:DE16))</f>
        <v/>
      </c>
      <c r="DG17" s="218">
        <f>IF(COUNT(DF7:DF16,DG7:DG16)=0,"",SUMPRODUCT(--(DF7:DF16&lt;&gt;""),--(DG7:DG16&lt;&gt;""),DG7:DG16-DF7:DF16))</f>
        <v/>
      </c>
      <c r="DH17" s="218">
        <f>IF(COUNT(DG7:DG16,DH7:DH16)=0,"",SUMPRODUCT(--(DG7:DG16&lt;&gt;""),--(DH7:DH16&lt;&gt;""),DH7:DH16-DG7:DG16))</f>
        <v/>
      </c>
      <c r="DI17" s="218">
        <f>IF(COUNT(DH7:DH16,DI7:DI16)=0,"",SUMPRODUCT(--(DH7:DH16&lt;&gt;""),--(DI7:DI16&lt;&gt;""),DI7:DI16-DH7:DH16))</f>
        <v/>
      </c>
      <c r="DJ17" s="218">
        <f>IF(COUNT(DI7:DI16,DJ7:DJ16)=0,"",SUMPRODUCT(--(DI7:DI16&lt;&gt;""),--(DJ7:DJ16&lt;&gt;""),DJ7:DJ16-DI7:DI16))</f>
        <v/>
      </c>
      <c r="DK17" s="218">
        <f>IF(COUNT(DJ7:DJ16,DK7:DK16)=0,"",SUMPRODUCT(--(DJ7:DJ16&lt;&gt;""),--(DK7:DK16&lt;&gt;""),DK7:DK16-DJ7:DJ16))</f>
        <v/>
      </c>
      <c r="DL17" s="218">
        <f>IF(COUNT(DK7:DK16,DL7:DL16)=0,"",SUMPRODUCT(--(DK7:DK16&lt;&gt;""),--(DL7:DL16&lt;&gt;""),DL7:DL16-DK7:DK16))</f>
        <v/>
      </c>
      <c r="DM17" s="218">
        <f>IF(COUNT(DL7:DL16,DM7:DM16)=0,"",SUMPRODUCT(--(DL7:DL16&lt;&gt;""),--(DM7:DM16&lt;&gt;""),DM7:DM16-DL7:DL16))</f>
        <v/>
      </c>
      <c r="DN17" s="218">
        <f>IF(COUNT(DM7:DM16,DN7:DN16)=0,"",SUMPRODUCT(--(DM7:DM16&lt;&gt;""),--(DN7:DN16&lt;&gt;""),DN7:DN16-DM7:DM16))</f>
        <v/>
      </c>
      <c r="DO17" s="218">
        <f>IF(COUNT(DN7:DN16,DO7:DO16)=0,"",SUMPRODUCT(--(DN7:DN16&lt;&gt;""),--(DO7:DO16&lt;&gt;""),DO7:DO16-DN7:DN16))</f>
        <v/>
      </c>
      <c r="DP17" s="218">
        <f>IF(COUNT(DO7:DO16,DP7:DP16)=0,"",SUMPRODUCT(--(DO7:DO16&lt;&gt;""),--(DP7:DP16&lt;&gt;""),DP7:DP16-DO7:DO16))</f>
        <v/>
      </c>
      <c r="DQ17" s="218">
        <f>IF(COUNT(DP7:DP16,DQ7:DQ16)=0,"",SUMPRODUCT(--(DP7:DP16&lt;&gt;""),--(DQ7:DQ16&lt;&gt;""),DQ7:DQ16-DP7:DP16))</f>
        <v/>
      </c>
      <c r="DR17" s="218">
        <f>IF(COUNT(DQ7:DQ16,DR7:DR16)=0,"",SUMPRODUCT(--(DQ7:DQ16&lt;&gt;""),--(DR7:DR16&lt;&gt;""),DR7:DR16-DQ7:DQ16))</f>
        <v/>
      </c>
      <c r="DS17" s="218">
        <f>IF(COUNT(DR7:DR16,DS7:DS16)=0,"",SUMPRODUCT(--(DR7:DR16&lt;&gt;""),--(DS7:DS16&lt;&gt;""),DS7:DS16-DR7:DR16))</f>
        <v/>
      </c>
      <c r="DT17" s="218">
        <f>IF(COUNT(DS7:DS16,DT7:DT16)=0,"",SUMPRODUCT(--(DS7:DS16&lt;&gt;""),--(DT7:DT16&lt;&gt;""),DT7:DT16-DS7:DS16))</f>
        <v/>
      </c>
      <c r="DU17" s="218">
        <f>IF(COUNT(DT7:DT16,DU7:DU16)=0,"",SUMPRODUCT(--(DT7:DT16&lt;&gt;""),--(DU7:DU16&lt;&gt;""),DU7:DU16-DT7:DT16))</f>
        <v/>
      </c>
      <c r="DV17" s="218">
        <f>IF(COUNT(DU7:DU16,DV7:DV16)=0,"",SUMPRODUCT(--(DU7:DU16&lt;&gt;""),--(DV7:DV16&lt;&gt;""),DV7:DV16-DU7:DU16))</f>
        <v/>
      </c>
      <c r="DW17" s="218">
        <f>IF(COUNT(DV7:DV16,DW7:DW16)=0,"",SUMPRODUCT(--(DV7:DV16&lt;&gt;""),--(DW7:DW16&lt;&gt;""),DW7:DW16-DV7:DV16))</f>
        <v/>
      </c>
      <c r="DX17" s="218">
        <f>IF(COUNT(DW7:DW16,DX7:DX16)=0,"",SUMPRODUCT(--(DW7:DW16&lt;&gt;""),--(DX7:DX16&lt;&gt;""),DX7:DX16-DW7:DW16))</f>
        <v/>
      </c>
      <c r="DY17" s="218">
        <f>IF(COUNT(DX7:DX16,DY7:DY16)=0,"",SUMPRODUCT(--(DX7:DX16&lt;&gt;""),--(DY7:DY16&lt;&gt;""),DY7:DY16-DX7:DX16))</f>
        <v/>
      </c>
      <c r="DZ17" s="218">
        <f>IF(COUNT(DY7:DY16,DZ7:DZ16)=0,"",SUMPRODUCT(--(DY7:DY16&lt;&gt;""),--(DZ7:DZ16&lt;&gt;""),DZ7:DZ16-DY7:DY16))</f>
        <v/>
      </c>
      <c r="EA17" s="218">
        <f>IF(COUNT(DZ7:DZ16,EA7:EA16)=0,"",SUMPRODUCT(--(DZ7:DZ16&lt;&gt;""),--(EA7:EA16&lt;&gt;""),EA7:EA16-DZ7:DZ16))</f>
        <v/>
      </c>
      <c r="EB17" s="218">
        <f>IF(COUNT(EA7:EA16,EB7:EB16)=0,"",SUMPRODUCT(--(EA7:EA16&lt;&gt;""),--(EB7:EB16&lt;&gt;""),EB7:EB16-EA7:EA16))</f>
        <v/>
      </c>
      <c r="EC17" s="218">
        <f>IF(COUNT(EB7:EB16,EC7:EC16)=0,"",SUMPRODUCT(--(EB7:EB16&lt;&gt;""),--(EC7:EC16&lt;&gt;""),EC7:EC16-EB7:EB16))</f>
        <v/>
      </c>
      <c r="ED17" s="218">
        <f>IF(COUNT(EC7:EC16,ED7:ED16)=0,"",SUMPRODUCT(--(EC7:EC16&lt;&gt;""),--(ED7:ED16&lt;&gt;""),ED7:ED16-EC7:EC16))</f>
        <v/>
      </c>
      <c r="EE17" s="218">
        <f>IF(COUNT(ED7:ED16,EE7:EE16)=0,"",SUMPRODUCT(--(ED7:ED16&lt;&gt;""),--(EE7:EE16&lt;&gt;""),EE7:EE16-ED7:ED16))</f>
        <v/>
      </c>
      <c r="EF17" s="218">
        <f>IF(COUNT(EE7:EE16,EF7:EF16)=0,"",SUMPRODUCT(--(EE7:EE16&lt;&gt;""),--(EF7:EF16&lt;&gt;""),EF7:EF16-EE7:EE16))</f>
        <v/>
      </c>
      <c r="EG17" s="218">
        <f>IF(COUNT(EF7:EF16,EG7:EG16)=0,"",SUMPRODUCT(--(EF7:EF16&lt;&gt;""),--(EG7:EG16&lt;&gt;""),EG7:EG16-EF7:EF16))</f>
        <v/>
      </c>
      <c r="EH17" s="218">
        <f>IF(COUNT(EG7:EG16,EH7:EH16)=0,"",SUMPRODUCT(--(EG7:EG16&lt;&gt;""),--(EH7:EH16&lt;&gt;""),EH7:EH16-EG7:EG16))</f>
        <v/>
      </c>
      <c r="EI17" s="218">
        <f>IF(COUNT(EH7:EH16,EI7:EI16)=0,"",SUMPRODUCT(--(EH7:EH16&lt;&gt;""),--(EI7:EI16&lt;&gt;""),EI7:EI16-EH7:EH16))</f>
        <v/>
      </c>
      <c r="EJ17" s="218">
        <f>IF(COUNT(EI7:EI16,EJ7:EJ16)=0,"",SUMPRODUCT(--(EI7:EI16&lt;&gt;""),--(EJ7:EJ16&lt;&gt;""),EJ7:EJ16-EI7:EI16))</f>
        <v/>
      </c>
      <c r="EK17" s="218">
        <f>IF(COUNT(EJ7:EJ16,EK7:EK16)=0,"",SUMPRODUCT(--(EJ7:EJ16&lt;&gt;""),--(EK7:EK16&lt;&gt;""),EK7:EK16-EJ7:EJ16))</f>
        <v/>
      </c>
      <c r="EL17" s="218">
        <f>IF(COUNT(EK7:EK16,EL7:EL16)=0,"",SUMPRODUCT(--(EK7:EK16&lt;&gt;""),--(EL7:EL16&lt;&gt;""),EL7:EL16-EK7:EK16))</f>
        <v/>
      </c>
      <c r="EM17" s="218">
        <f>IF(COUNT(EL7:EL16,EM7:EM16)=0,"",SUMPRODUCT(--(EL7:EL16&lt;&gt;""),--(EM7:EM16&lt;&gt;""),EM7:EM16-EL7:EL16))</f>
        <v/>
      </c>
      <c r="EN17" s="218">
        <f>IF(COUNT(EM7:EM16,EN7:EN16)=0,"",SUMPRODUCT(--(EM7:EM16&lt;&gt;""),--(EN7:EN16&lt;&gt;""),EN7:EN16-EM7:EM16))</f>
        <v/>
      </c>
      <c r="EO17" s="218">
        <f>IF(COUNT(EN7:EN16,EO7:EO16)=0,"",SUMPRODUCT(--(EN7:EN16&lt;&gt;""),--(EO7:EO16&lt;&gt;""),EO7:EO16-EN7:EN16))</f>
        <v/>
      </c>
      <c r="EP17" s="218">
        <f>IF(COUNT(EO7:EO16,EP7:EP16)=0,"",SUMPRODUCT(--(EO7:EO16&lt;&gt;""),--(EP7:EP16&lt;&gt;""),EP7:EP16-EO7:EO16))</f>
        <v/>
      </c>
      <c r="EQ17" s="218">
        <f>IF(COUNT(EP7:EP16,EQ7:EQ16)=0,"",SUMPRODUCT(--(EP7:EP16&lt;&gt;""),--(EQ7:EQ16&lt;&gt;""),EQ7:EQ16-EP7:EP16))</f>
        <v/>
      </c>
      <c r="ER17" s="218">
        <f>IF(COUNT(EQ7:EQ16,ER7:ER16)=0,"",SUMPRODUCT(--(EQ7:EQ16&lt;&gt;""),--(ER7:ER16&lt;&gt;""),ER7:ER16-EQ7:EQ16))</f>
        <v/>
      </c>
      <c r="ES17" s="218">
        <f>IF(COUNT(ER7:ER16,ES7:ES16)=0,"",SUMPRODUCT(--(ER7:ER16&lt;&gt;""),--(ES7:ES16&lt;&gt;""),ES7:ES16-ER7:ER16))</f>
        <v/>
      </c>
      <c r="ET17" s="218">
        <f>IF(COUNT(ES7:ES16,ET7:ET16)=0,"",SUMPRODUCT(--(ES7:ES16&lt;&gt;""),--(ET7:ET16&lt;&gt;""),ET7:ET16-ES7:ES16))</f>
        <v/>
      </c>
      <c r="EU17" s="218">
        <f>IF(COUNT(ET7:ET16,EU7:EU16)=0,"",SUMPRODUCT(--(ET7:ET16&lt;&gt;""),--(EU7:EU16&lt;&gt;""),EU7:EU16-ET7:ET16))</f>
        <v/>
      </c>
      <c r="EV17" s="218">
        <f>IF(COUNT(EU7:EU16,EV7:EV16)=0,"",SUMPRODUCT(--(EU7:EU16&lt;&gt;""),--(EV7:EV16&lt;&gt;""),EV7:EV16-EU7:EU16))</f>
        <v/>
      </c>
      <c r="EW17" s="218">
        <f>IF(COUNT(EV7:EV16,EW7:EW16)=0,"",SUMPRODUCT(--(EV7:EV16&lt;&gt;""),--(EW7:EW16&lt;&gt;""),EW7:EW16-EV7:EV16))</f>
        <v/>
      </c>
      <c r="EX17" s="218">
        <f>IF(COUNT(EW7:EW16,EX7:EX16)=0,"",SUMPRODUCT(--(EW7:EW16&lt;&gt;""),--(EX7:EX16&lt;&gt;""),EX7:EX16-EW7:EW16))</f>
        <v/>
      </c>
      <c r="EY17" s="218">
        <f>IF(COUNT(EX7:EX16,EY7:EY16)=0,"",SUMPRODUCT(--(EX7:EX16&lt;&gt;""),--(EY7:EY16&lt;&gt;""),EY7:EY16-EX7:EX16))</f>
        <v/>
      </c>
      <c r="EZ17" s="218">
        <f>IF(COUNT(EY7:EY16,EZ7:EZ16)=0,"",SUMPRODUCT(--(EY7:EY16&lt;&gt;""),--(EZ7:EZ16&lt;&gt;""),EZ7:EZ16-EY7:EY16))</f>
        <v/>
      </c>
      <c r="FA17" s="218">
        <f>IF(COUNT(EZ7:EZ16,FA7:FA16)=0,"",SUMPRODUCT(--(EZ7:EZ16&lt;&gt;""),--(FA7:FA16&lt;&gt;""),FA7:FA16-EZ7:EZ16))</f>
        <v/>
      </c>
      <c r="FB17" s="218">
        <f>IF(COUNT(FA7:FA16,FB7:FB16)=0,"",SUMPRODUCT(--(FA7:FA16&lt;&gt;""),--(FB7:FB16&lt;&gt;""),FB7:FB16-FA7:FA16))</f>
        <v/>
      </c>
      <c r="FC17" s="218">
        <f>IF(COUNT(FB7:FB16,FC7:FC16)=0,"",SUMPRODUCT(--(FB7:FB16&lt;&gt;""),--(FC7:FC16&lt;&gt;""),FC7:FC16-FB7:FB16))</f>
        <v/>
      </c>
      <c r="FD17" s="218">
        <f>IF(COUNT(FC7:FC16,FD7:FD16)=0,"",SUMPRODUCT(--(FC7:FC16&lt;&gt;""),--(FD7:FD16&lt;&gt;""),FD7:FD16-FC7:FC16))</f>
        <v/>
      </c>
      <c r="FE17" s="218">
        <f>IF(COUNT(FD7:FD16,FE7:FE16)=0,"",SUMPRODUCT(--(FD7:FD16&lt;&gt;""),--(FE7:FE16&lt;&gt;""),FE7:FE16-FD7:FD16))</f>
        <v/>
      </c>
      <c r="FF17" s="218">
        <f>IF(COUNT(FE7:FE16,FF7:FF16)=0,"",SUMPRODUCT(--(FE7:FE16&lt;&gt;""),--(FF7:FF16&lt;&gt;""),FF7:FF16-FE7:FE16))</f>
        <v/>
      </c>
      <c r="FG17" s="218">
        <f>IF(COUNT(FF7:FF16,FG7:FG16)=0,"",SUMPRODUCT(--(FF7:FF16&lt;&gt;""),--(FG7:FG16&lt;&gt;""),FG7:FG16-FF7:FF16))</f>
        <v/>
      </c>
      <c r="FH17" s="218">
        <f>IF(COUNT(FG7:FG16,FH7:FH16)=0,"",SUMPRODUCT(--(FG7:FG16&lt;&gt;""),--(FH7:FH16&lt;&gt;""),FH7:FH16-FG7:FG16))</f>
        <v/>
      </c>
      <c r="FI17" s="218">
        <f>IF(COUNT(FH7:FH16,FI7:FI16)=0,"",SUMPRODUCT(--(FH7:FH16&lt;&gt;""),--(FI7:FI16&lt;&gt;""),FI7:FI16-FH7:FH16))</f>
        <v/>
      </c>
      <c r="FJ17" s="218">
        <f>IF(COUNT(FI7:FI16,FJ7:FJ16)=0,"",SUMPRODUCT(--(FI7:FI16&lt;&gt;""),--(FJ7:FJ16&lt;&gt;""),FJ7:FJ16-FI7:FI16))</f>
        <v/>
      </c>
      <c r="FK17" s="218">
        <f>IF(COUNT(FJ7:FJ16,FK7:FK16)=0,"",SUMPRODUCT(--(FJ7:FJ16&lt;&gt;""),--(FK7:FK16&lt;&gt;""),FK7:FK16-FJ7:FJ16))</f>
        <v/>
      </c>
      <c r="FL17" s="218">
        <f>IF(COUNT(FK7:FK16,FL7:FL16)=0,"",SUMPRODUCT(--(FK7:FK16&lt;&gt;""),--(FL7:FL16&lt;&gt;""),FL7:FL16-FK7:FK16))</f>
        <v/>
      </c>
      <c r="FM17" s="218">
        <f>IF(COUNT(FL7:FL16,FM7:FM16)=0,"",SUMPRODUCT(--(FL7:FL16&lt;&gt;""),--(FM7:FM16&lt;&gt;""),FM7:FM16-FL7:FL16))</f>
        <v/>
      </c>
      <c r="FN17" s="218">
        <f>IF(COUNT(FM7:FM16,FN7:FN16)=0,"",SUMPRODUCT(--(FM7:FM16&lt;&gt;""),--(FN7:FN16&lt;&gt;""),FN7:FN16-FM7:FM16))</f>
        <v/>
      </c>
      <c r="FO17" s="218">
        <f>IF(COUNT(FN7:FN16,FO7:FO16)=0,"",SUMPRODUCT(--(FN7:FN16&lt;&gt;""),--(FO7:FO16&lt;&gt;""),FO7:FO16-FN7:FN16))</f>
        <v/>
      </c>
      <c r="FP17" s="218">
        <f>IF(COUNT(FO7:FO16,FP7:FP16)=0,"",SUMPRODUCT(--(FO7:FO16&lt;&gt;""),--(FP7:FP16&lt;&gt;""),FP7:FP16-FO7:FO16))</f>
        <v/>
      </c>
      <c r="FQ17" s="218">
        <f>IF(COUNT(FP7:FP16,FQ7:FQ16)=0,"",SUMPRODUCT(--(FP7:FP16&lt;&gt;""),--(FQ7:FQ16&lt;&gt;""),FQ7:FQ16-FP7:FP16))</f>
        <v/>
      </c>
      <c r="FR17" s="218">
        <f>IF(COUNT(FQ7:FQ16,FR7:FR16)=0,"",SUMPRODUCT(--(FQ7:FQ16&lt;&gt;""),--(FR7:FR16&lt;&gt;""),FR7:FR16-FQ7:FQ16))</f>
        <v/>
      </c>
      <c r="FS17" s="218">
        <f>IF(COUNT(FR7:FR16,FS7:FS16)=0,"",SUMPRODUCT(--(FR7:FR16&lt;&gt;""),--(FS7:FS16&lt;&gt;""),FS7:FS16-FR7:FR16))</f>
        <v/>
      </c>
      <c r="FT17" s="218">
        <f>IF(COUNT(FS7:FS16,FT7:FT16)=0,"",SUMPRODUCT(--(FS7:FS16&lt;&gt;""),--(FT7:FT16&lt;&gt;""),FT7:FT16-FS7:FS16))</f>
        <v/>
      </c>
      <c r="FU17" s="218">
        <f>IF(COUNT(FT7:FT16,FU7:FU16)=0,"",SUMPRODUCT(--(FT7:FT16&lt;&gt;""),--(FU7:FU16&lt;&gt;""),FU7:FU16-FT7:FT16))</f>
        <v/>
      </c>
      <c r="FV17" s="218">
        <f>IF(COUNT(FU7:FU16,FV7:FV16)=0,"",SUMPRODUCT(--(FU7:FU16&lt;&gt;""),--(FV7:FV16&lt;&gt;""),FV7:FV16-FU7:FU16))</f>
        <v/>
      </c>
      <c r="FW17" s="218">
        <f>IF(COUNT(FV7:FV16,FW7:FW16)=0,"",SUMPRODUCT(--(FV7:FV16&lt;&gt;""),--(FW7:FW16&lt;&gt;""),FW7:FW16-FV7:FV16))</f>
        <v/>
      </c>
      <c r="FX17" s="218">
        <f>IF(COUNT(FW7:FW16,FX7:FX16)=0,"",SUMPRODUCT(--(FW7:FW16&lt;&gt;""),--(FX7:FX16&lt;&gt;""),FX7:FX16-FW7:FW16))</f>
        <v/>
      </c>
      <c r="FY17" s="218">
        <f>IF(COUNT(FX7:FX16,FY7:FY16)=0,"",SUMPRODUCT(--(FX7:FX16&lt;&gt;""),--(FY7:FY16&lt;&gt;""),FY7:FY16-FX7:FX16))</f>
        <v/>
      </c>
      <c r="FZ17" s="218">
        <f>IF(COUNT(FY7:FY16,FZ7:FZ16)=0,"",SUMPRODUCT(--(FY7:FY16&lt;&gt;""),--(FZ7:FZ16&lt;&gt;""),FZ7:FZ16-FY7:FY16))</f>
        <v/>
      </c>
      <c r="GA17" s="218">
        <f>IF(COUNT(FZ7:FZ16,GA7:GA16)=0,"",SUMPRODUCT(--(FZ7:FZ16&lt;&gt;""),--(GA7:GA16&lt;&gt;""),GA7:GA16-FZ7:FZ16))</f>
        <v/>
      </c>
      <c r="GB17" s="218">
        <f>IF(COUNT(GA7:GA16,GB7:GB16)=0,"",SUMPRODUCT(--(GA7:GA16&lt;&gt;""),--(GB7:GB16&lt;&gt;""),GB7:GB16-GA7:GA16))</f>
        <v/>
      </c>
      <c r="GC17" s="218">
        <f>IF(COUNT(GB7:GB16,GC7:GC16)=0,"",SUMPRODUCT(--(GB7:GB16&lt;&gt;""),--(GC7:GC16&lt;&gt;""),GC7:GC16-GB7:GB16))</f>
        <v/>
      </c>
      <c r="GD17" s="218">
        <f>IF(COUNT(GC7:GC16,GD7:GD16)=0,"",SUMPRODUCT(--(GC7:GC16&lt;&gt;""),--(GD7:GD16&lt;&gt;""),GD7:GD16-GC7:GC16))</f>
        <v/>
      </c>
      <c r="GE17" s="218">
        <f>IF(COUNT(GD7:GD16,GE7:GE16)=0,"",SUMPRODUCT(--(GD7:GD16&lt;&gt;""),--(GE7:GE16&lt;&gt;""),GE7:GE16-GD7:GD16))</f>
        <v/>
      </c>
      <c r="GF17" s="218">
        <f>IF(COUNT(GE7:GE16,GF7:GF16)=0,"",SUMPRODUCT(--(GE7:GE16&lt;&gt;""),--(GF7:GF16&lt;&gt;""),GF7:GF16-GE7:GE16))</f>
        <v/>
      </c>
      <c r="GG17" s="218">
        <f>IF(COUNT(GF7:GF16,GG7:GG16)=0,"",SUMPRODUCT(--(GF7:GF16&lt;&gt;""),--(GG7:GG16&lt;&gt;""),GG7:GG16-GF7:GF16))</f>
        <v/>
      </c>
      <c r="GH17" s="218">
        <f>IF(COUNT(GG7:GG16,GH7:GH16)=0,"",SUMPRODUCT(--(GG7:GG16&lt;&gt;""),--(GH7:GH16&lt;&gt;""),GH7:GH16-GG7:GG16))</f>
        <v/>
      </c>
      <c r="GI17" s="218">
        <f>IF(COUNT(GH7:GH16,GI7:GI16)=0,"",SUMPRODUCT(--(GH7:GH16&lt;&gt;""),--(GI7:GI16&lt;&gt;""),GI7:GI16-GH7:GH16))</f>
        <v/>
      </c>
      <c r="GJ17" s="218">
        <f>IF(COUNT(GI7:GI16,GJ7:GJ16)=0,"",SUMPRODUCT(--(GI7:GI16&lt;&gt;""),--(GJ7:GJ16&lt;&gt;""),GJ7:GJ16-GI7:GI16))</f>
        <v/>
      </c>
      <c r="GK17" s="218">
        <f>IF(COUNT(GJ7:GJ16,GK7:GK16)=0,"",SUMPRODUCT(--(GJ7:GJ16&lt;&gt;""),--(GK7:GK16&lt;&gt;""),GK7:GK16-GJ7:GJ16))</f>
        <v/>
      </c>
      <c r="GL17" s="218">
        <f>IF(COUNT(GK7:GK16,GL7:GL16)=0,"",SUMPRODUCT(--(GK7:GK16&lt;&gt;""),--(GL7:GL16&lt;&gt;""),GL7:GL16-GK7:GK16))</f>
        <v/>
      </c>
      <c r="GM17" s="218">
        <f>IF(COUNT(GL7:GL16,GM7:GM16)=0,"",SUMPRODUCT(--(GL7:GL16&lt;&gt;""),--(GM7:GM16&lt;&gt;""),GM7:GM16-GL7:GL16))</f>
        <v/>
      </c>
      <c r="GN17" s="218">
        <f>IF(COUNT(GM7:GM16,GN7:GN16)=0,"",SUMPRODUCT(--(GM7:GM16&lt;&gt;""),--(GN7:GN16&lt;&gt;""),GN7:GN16-GM7:GM16))</f>
        <v/>
      </c>
      <c r="GO17" s="218">
        <f>IF(COUNT(GN7:GN16,GO7:GO16)=0,"",SUMPRODUCT(--(GN7:GN16&lt;&gt;""),--(GO7:GO16&lt;&gt;""),GO7:GO16-GN7:GN16))</f>
        <v/>
      </c>
      <c r="GP17" s="218">
        <f>IF(COUNT(GO7:GO16,GP7:GP16)=0,"",SUMPRODUCT(--(GO7:GO16&lt;&gt;""),--(GP7:GP16&lt;&gt;""),GP7:GP16-GO7:GO16))</f>
        <v/>
      </c>
      <c r="GQ17" s="218">
        <f>IF(COUNT(GP7:GP16,GQ7:GQ16)=0,"",SUMPRODUCT(--(GP7:GP16&lt;&gt;""),--(GQ7:GQ16&lt;&gt;""),GQ7:GQ16-GP7:GP16))</f>
        <v/>
      </c>
      <c r="GR17" s="218">
        <f>IF(COUNT(GQ7:GQ16,GR7:GR16)=0,"",SUMPRODUCT(--(GQ7:GQ16&lt;&gt;""),--(GR7:GR16&lt;&gt;""),GR7:GR16-GQ7:GQ16))</f>
        <v/>
      </c>
      <c r="GS17" s="218">
        <f>IF(COUNT(GR7:GR16,GS7:GS16)=0,"",SUMPRODUCT(--(GR7:GR16&lt;&gt;""),--(GS7:GS16&lt;&gt;""),GS7:GS16-GR7:GR16))</f>
        <v/>
      </c>
      <c r="GT17" s="218">
        <f>IF(COUNT(GS7:GS16,GT7:GT16)=0,"",SUMPRODUCT(--(GS7:GS16&lt;&gt;""),--(GT7:GT16&lt;&gt;""),GT7:GT16-GS7:GS16))</f>
        <v/>
      </c>
      <c r="GU17" s="218">
        <f>IF(COUNT(GT7:GT16,GU7:GU16)=0,"",SUMPRODUCT(--(GT7:GT16&lt;&gt;""),--(GU7:GU16&lt;&gt;""),GU7:GU16-GT7:GT16))</f>
        <v/>
      </c>
      <c r="GV17" s="218">
        <f>IF(COUNT(GU7:GU16,GV7:GV16)=0,"",SUMPRODUCT(--(GU7:GU16&lt;&gt;""),--(GV7:GV16&lt;&gt;""),GV7:GV16-GU7:GU16))</f>
        <v/>
      </c>
      <c r="GW17" s="218">
        <f>IF(COUNT(GV7:GV16,GW7:GW16)=0,"",SUMPRODUCT(--(GV7:GV16&lt;&gt;""),--(GW7:GW16&lt;&gt;""),GW7:GW16-GV7:GV16))</f>
        <v/>
      </c>
      <c r="GX17" s="218">
        <f>IF(COUNT(GW7:GW16,GX7:GX16)=0,"",SUMPRODUCT(--(GW7:GW16&lt;&gt;""),--(GX7:GX16&lt;&gt;""),GX7:GX16-GW7:GW16))</f>
        <v/>
      </c>
      <c r="GY17" s="218">
        <f>IF(COUNT(GX7:GX16,GY7:GY16)=0,"",SUMPRODUCT(--(GX7:GX16&lt;&gt;""),--(GY7:GY16&lt;&gt;""),GY7:GY16-GX7:GX16))</f>
        <v/>
      </c>
      <c r="GZ17" s="218">
        <f>IF(COUNT(GY7:GY16,GZ7:GZ16)=0,"",SUMPRODUCT(--(GY7:GY16&lt;&gt;""),--(GZ7:GZ16&lt;&gt;""),GZ7:GZ16-GY7:GY16))</f>
        <v/>
      </c>
      <c r="HA17" s="218">
        <f>IF(COUNT(GZ7:GZ16,HA7:HA16)=0,"",SUMPRODUCT(--(GZ7:GZ16&lt;&gt;""),--(HA7:HA16&lt;&gt;""),HA7:HA16-GZ7:GZ16))</f>
        <v/>
      </c>
      <c r="HB17" s="218">
        <f>IF(COUNT(HA7:HA16,HB7:HB16)=0,"",SUMPRODUCT(--(HA7:HA16&lt;&gt;""),--(HB7:HB16&lt;&gt;""),HB7:HB16-HA7:HA16))</f>
        <v/>
      </c>
      <c r="HC17" s="218">
        <f>IF(COUNT(HB7:HB16,HC7:HC16)=0,"",SUMPRODUCT(--(HB7:HB16&lt;&gt;""),--(HC7:HC16&lt;&gt;""),HC7:HC16-HB7:HB16))</f>
        <v/>
      </c>
      <c r="HD17" s="218">
        <f>IF(COUNT(HC7:HC16,HD7:HD16)=0,"",SUMPRODUCT(--(HC7:HC16&lt;&gt;""),--(HD7:HD16&lt;&gt;""),HD7:HD16-HC7:HC16))</f>
        <v/>
      </c>
      <c r="HE17" s="218">
        <f>IF(COUNT(HD7:HD16,HE7:HE16)=0,"",SUMPRODUCT(--(HD7:HD16&lt;&gt;""),--(HE7:HE16&lt;&gt;""),HE7:HE16-HD7:HD16))</f>
        <v/>
      </c>
      <c r="HF17" s="218">
        <f>IF(COUNT(HE7:HE16,HF7:HF16)=0,"",SUMPRODUCT(--(HE7:HE16&lt;&gt;""),--(HF7:HF16&lt;&gt;""),HF7:HF16-HE7:HE16))</f>
        <v/>
      </c>
      <c r="HG17" s="218">
        <f>IF(COUNT(HF7:HF16,HG7:HG16)=0,"",SUMPRODUCT(--(HF7:HF16&lt;&gt;""),--(HG7:HG16&lt;&gt;""),HG7:HG16-HF7:HF16))</f>
        <v/>
      </c>
      <c r="HH17" s="218">
        <f>IF(COUNT(HG7:HG16,HH7:HH16)=0,"",SUMPRODUCT(--(HG7:HG16&lt;&gt;""),--(HH7:HH16&lt;&gt;""),HH7:HH16-HG7:HG16))</f>
        <v/>
      </c>
      <c r="HI17" s="218">
        <f>IF(COUNT(HH7:HH16,HI7:HI16)=0,"",SUMPRODUCT(--(HH7:HH16&lt;&gt;""),--(HI7:HI16&lt;&gt;""),HI7:HI16-HH7:HH16))</f>
        <v/>
      </c>
      <c r="HJ17" s="218">
        <f>IF(COUNT(HI7:HI16,HJ7:HJ16)=0,"",SUMPRODUCT(--(HI7:HI16&lt;&gt;""),--(HJ7:HJ16&lt;&gt;""),HJ7:HJ16-HI7:HI16))</f>
        <v/>
      </c>
      <c r="HK17" s="218">
        <f>IF(COUNT(HJ7:HJ16,HK7:HK16)=0,"",SUMPRODUCT(--(HJ7:HJ16&lt;&gt;""),--(HK7:HK16&lt;&gt;""),HK7:HK16-HJ7:HJ16))</f>
        <v/>
      </c>
      <c r="HL17" s="218">
        <f>IF(COUNT(HK7:HK16,HL7:HL16)=0,"",SUMPRODUCT(--(HK7:HK16&lt;&gt;""),--(HL7:HL16&lt;&gt;""),HL7:HL16-HK7:HK16))</f>
        <v/>
      </c>
      <c r="HM17" s="218">
        <f>IF(COUNT(HL7:HL16,HM7:HM16)=0,"",SUMPRODUCT(--(HL7:HL16&lt;&gt;""),--(HM7:HM16&lt;&gt;""),HM7:HM16-HL7:HL16))</f>
        <v/>
      </c>
      <c r="HN17" s="218">
        <f>IF(COUNT(HM7:HM16,HN7:HN16)=0,"",SUMPRODUCT(--(HM7:HM16&lt;&gt;""),--(HN7:HN16&lt;&gt;""),HN7:HN16-HM7:HM16))</f>
        <v/>
      </c>
      <c r="HO17" s="218">
        <f>IF(COUNT(HN7:HN16,HO7:HO16)=0,"",SUMPRODUCT(--(HN7:HN16&lt;&gt;""),--(HO7:HO16&lt;&gt;""),HO7:HO16-HN7:HN16))</f>
        <v/>
      </c>
      <c r="HP17" s="218">
        <f>IF(COUNT(HO7:HO16,HP7:HP16)=0,"",SUMPRODUCT(--(HO7:HO16&lt;&gt;""),--(HP7:HP16&lt;&gt;""),HP7:HP16-HO7:HO16))</f>
        <v/>
      </c>
      <c r="HQ17" s="218">
        <f>IF(COUNT(HP7:HP16,HQ7:HQ16)=0,"",SUMPRODUCT(--(HP7:HP16&lt;&gt;""),--(HQ7:HQ16&lt;&gt;""),HQ7:HQ16-HP7:HP16))</f>
        <v/>
      </c>
      <c r="HR17" s="218">
        <f>IF(COUNT(HQ7:HQ16,HR7:HR16)=0,"",SUMPRODUCT(--(HQ7:HQ16&lt;&gt;""),--(HR7:HR16&lt;&gt;""),HR7:HR16-HQ7:HQ16))</f>
        <v/>
      </c>
      <c r="HS17" s="218">
        <f>IF(COUNT(HR7:HR16,HS7:HS16)=0,"",SUMPRODUCT(--(HR7:HR16&lt;&gt;""),--(HS7:HS16&lt;&gt;""),HS7:HS16-HR7:HR16))</f>
        <v/>
      </c>
      <c r="HT17" s="218">
        <f>IF(COUNT(HS7:HS16,HT7:HT16)=0,"",SUMPRODUCT(--(HS7:HS16&lt;&gt;""),--(HT7:HT16&lt;&gt;""),HT7:HT16-HS7:HS16))</f>
        <v/>
      </c>
      <c r="HU17" s="218">
        <f>IF(COUNT(HT7:HT16,HU7:HU16)=0,"",SUMPRODUCT(--(HT7:HT16&lt;&gt;""),--(HU7:HU16&lt;&gt;""),HU7:HU16-HT7:HT16))</f>
        <v/>
      </c>
      <c r="HV17" s="218">
        <f>IF(COUNT(HU7:HU16,HV7:HV16)=0,"",SUMPRODUCT(--(HU7:HU16&lt;&gt;""),--(HV7:HV16&lt;&gt;""),HV7:HV16-HU7:HU16))</f>
        <v/>
      </c>
      <c r="HW17" s="218">
        <f>IF(COUNT(HV7:HV16,HW7:HW16)=0,"",SUMPRODUCT(--(HV7:HV16&lt;&gt;""),--(HW7:HW16&lt;&gt;""),HW7:HW16-HV7:HV16))</f>
        <v/>
      </c>
      <c r="HX17" s="218">
        <f>IF(COUNT(HW7:HW16,HX7:HX16)=0,"",SUMPRODUCT(--(HW7:HW16&lt;&gt;""),--(HX7:HX16&lt;&gt;""),HX7:HX16-HW7:HW16))</f>
        <v/>
      </c>
      <c r="HY17" s="218">
        <f>IF(COUNT(HX7:HX16,HY7:HY16)=0,"",SUMPRODUCT(--(HX7:HX16&lt;&gt;""),--(HY7:HY16&lt;&gt;""),HY7:HY16-HX7:HX16))</f>
        <v/>
      </c>
      <c r="HZ17" s="218">
        <f>IF(COUNT(HY7:HY16,HZ7:HZ16)=0,"",SUMPRODUCT(--(HY7:HY16&lt;&gt;""),--(HZ7:HZ16&lt;&gt;""),HZ7:HZ16-HY7:HY16))</f>
        <v/>
      </c>
      <c r="IA17" s="218">
        <f>IF(COUNT(HZ7:HZ16,IA7:IA16)=0,"",SUMPRODUCT(--(HZ7:HZ16&lt;&gt;""),--(IA7:IA16&lt;&gt;""),IA7:IA16-HZ7:HZ16))</f>
        <v/>
      </c>
      <c r="IB17" s="218">
        <f>IF(COUNT(IA7:IA16,IB7:IB16)=0,"",SUMPRODUCT(--(IA7:IA16&lt;&gt;""),--(IB7:IB16&lt;&gt;""),IB7:IB16-IA7:IA16))</f>
        <v/>
      </c>
      <c r="IC17" s="218">
        <f>IF(COUNT(IB7:IB16,IC7:IC16)=0,"",SUMPRODUCT(--(IB7:IB16&lt;&gt;""),--(IC7:IC16&lt;&gt;""),IC7:IC16-IB7:IB16))</f>
        <v/>
      </c>
      <c r="ID17" s="218">
        <f>IF(COUNT(IC7:IC16,ID7:ID16)=0,"",SUMPRODUCT(--(IC7:IC16&lt;&gt;""),--(ID7:ID16&lt;&gt;""),ID7:ID16-IC7:IC16))</f>
        <v/>
      </c>
      <c r="IE17" s="218">
        <f>IF(COUNT(ID7:ID16,IE7:IE16)=0,"",SUMPRODUCT(--(ID7:ID16&lt;&gt;""),--(IE7:IE16&lt;&gt;""),IE7:IE16-ID7:ID16))</f>
        <v/>
      </c>
      <c r="IF17" s="218">
        <f>IF(COUNT(IE7:IE16,IF7:IF16)=0,"",SUMPRODUCT(--(IE7:IE16&lt;&gt;""),--(IF7:IF16&lt;&gt;""),IF7:IF16-IE7:IE16))</f>
        <v/>
      </c>
      <c r="IG17" s="218">
        <f>IF(COUNT(IF7:IF16,IG7:IG16)=0,"",SUMPRODUCT(--(IF7:IF16&lt;&gt;""),--(IG7:IG16&lt;&gt;""),IG7:IG16-IF7:IF16))</f>
        <v/>
      </c>
      <c r="IH17" s="218">
        <f>IF(COUNT(IG7:IG16,IH7:IH16)=0,"",SUMPRODUCT(--(IG7:IG16&lt;&gt;""),--(IH7:IH16&lt;&gt;""),IH7:IH16-IG7:IG16))</f>
        <v/>
      </c>
      <c r="II17" s="218">
        <f>IF(COUNT(IH7:IH16,II7:II16)=0,"",SUMPRODUCT(--(IH7:IH16&lt;&gt;""),--(II7:II16&lt;&gt;""),II7:II16-IH7:IH16))</f>
        <v/>
      </c>
      <c r="IJ17" s="218">
        <f>IF(COUNT(II7:II16,IJ7:IJ16)=0,"",SUMPRODUCT(--(II7:II16&lt;&gt;""),--(IJ7:IJ16&lt;&gt;""),IJ7:IJ16-II7:II16))</f>
        <v/>
      </c>
      <c r="IK17" s="218">
        <f>IF(COUNT(IJ7:IJ16,IK7:IK16)=0,"",SUMPRODUCT(--(IJ7:IJ16&lt;&gt;""),--(IK7:IK16&lt;&gt;""),IK7:IK16-IJ7:IJ16))</f>
        <v/>
      </c>
      <c r="IL17" s="218">
        <f>IF(COUNT(IK7:IK16,IL7:IL16)=0,"",SUMPRODUCT(--(IK7:IK16&lt;&gt;""),--(IL7:IL16&lt;&gt;""),IL7:IL16-IK7:IK16))</f>
        <v/>
      </c>
      <c r="IM17" s="218">
        <f>IF(COUNT(IL7:IL16,IM7:IM16)=0,"",SUMPRODUCT(--(IL7:IL16&lt;&gt;""),--(IM7:IM16&lt;&gt;""),IM7:IM16-IL7:IL16))</f>
        <v/>
      </c>
      <c r="IN17" s="218">
        <f>IF(COUNT(IM7:IM16,IN7:IN16)=0,"",SUMPRODUCT(--(IM7:IM16&lt;&gt;""),--(IN7:IN16&lt;&gt;""),IN7:IN16-IM7:IM16))</f>
        <v/>
      </c>
      <c r="IO17" s="218">
        <f>IF(COUNT(IN7:IN16,IO7:IO16)=0,"",SUMPRODUCT(--(IN7:IN16&lt;&gt;""),--(IO7:IO16&lt;&gt;""),IO7:IO16-IN7:IN16))</f>
        <v/>
      </c>
      <c r="IP17" s="218">
        <f>IF(COUNT(IO7:IO16,IP7:IP16)=0,"",SUMPRODUCT(--(IO7:IO16&lt;&gt;""),--(IP7:IP16&lt;&gt;""),IP7:IP16-IO7:IO16))</f>
        <v/>
      </c>
      <c r="IQ17" s="218">
        <f>IF(COUNT(IP7:IP16,IQ7:IQ16)=0,"",SUMPRODUCT(--(IP7:IP16&lt;&gt;""),--(IQ7:IQ16&lt;&gt;""),IQ7:IQ16-IP7:IP16))</f>
        <v/>
      </c>
      <c r="IR17" s="218">
        <f>IF(COUNT(IQ7:IQ16,IR7:IR16)=0,"",SUMPRODUCT(--(IQ7:IQ16&lt;&gt;""),--(IR7:IR16&lt;&gt;""),IR7:IR16-IQ7:IQ16))</f>
        <v/>
      </c>
      <c r="IS17" s="218">
        <f>IF(COUNT(IR7:IR16,IS7:IS16)=0,"",SUMPRODUCT(--(IR7:IR16&lt;&gt;""),--(IS7:IS16&lt;&gt;""),IS7:IS16-IR7:IR16))</f>
        <v/>
      </c>
      <c r="IT17" s="218">
        <f>IF(COUNT(IS7:IS16,IT7:IT16)=0,"",SUMPRODUCT(--(IS7:IS16&lt;&gt;""),--(IT7:IT16&lt;&gt;""),IT7:IT16-IS7:IS16))</f>
        <v/>
      </c>
      <c r="IU17" s="218">
        <f>IF(COUNT(IT7:IT16,IU7:IU16)=0,"",SUMPRODUCT(--(IT7:IT16&lt;&gt;""),--(IU7:IU16&lt;&gt;""),IU7:IU16-IT7:IT16))</f>
        <v/>
      </c>
      <c r="IV17" s="218">
        <f>IF(COUNT(IU7:IU16,IV7:IV16)=0,"",SUMPRODUCT(--(IU7:IU16&lt;&gt;""),--(IV7:IV16&lt;&gt;""),IV7:IV16-IU7:IU16))</f>
        <v/>
      </c>
      <c r="IW17" s="218">
        <f>IF(COUNT(IV7:IV16,IW7:IW16)=0,"",SUMPRODUCT(--(IV7:IV16&lt;&gt;""),--(IW7:IW16&lt;&gt;""),IW7:IW16-IV7:IV16))</f>
        <v/>
      </c>
      <c r="IX17" s="218">
        <f>IF(COUNT(IW7:IW16,IX7:IX16)=0,"",SUMPRODUCT(--(IW7:IW16&lt;&gt;""),--(IX7:IX16&lt;&gt;""),IX7:IX16-IW7:IW16))</f>
        <v/>
      </c>
      <c r="IY17" s="218">
        <f>IF(COUNT(IX7:IX16,IY7:IY16)=0,"",SUMPRODUCT(--(IX7:IX16&lt;&gt;""),--(IY7:IY16&lt;&gt;""),IY7:IY16-IX7:IX16))</f>
        <v/>
      </c>
      <c r="IZ17" s="218">
        <f>IF(COUNT(IY7:IY16,IZ7:IZ16)=0,"",SUMPRODUCT(--(IY7:IY16&lt;&gt;""),--(IZ7:IZ16&lt;&gt;""),IZ7:IZ16-IY7:IY16))</f>
        <v/>
      </c>
      <c r="JA17" s="218">
        <f>IF(COUNT(IZ7:IZ16,JA7:JA16)=0,"",SUMPRODUCT(--(IZ7:IZ16&lt;&gt;""),--(JA7:JA16&lt;&gt;""),JA7:JA16-IZ7:IZ16))</f>
        <v/>
      </c>
      <c r="JB17" s="218">
        <f>IF(COUNT(JA7:JA16,JB7:JB16)=0,"",SUMPRODUCT(--(JA7:JA16&lt;&gt;""),--(JB7:JB16&lt;&gt;""),JB7:JB16-JA7:JA16))</f>
        <v/>
      </c>
      <c r="JC17" s="218">
        <f>IF(COUNT(JB7:JB16,JC7:JC16)=0,"",SUMPRODUCT(--(JB7:JB16&lt;&gt;""),--(JC7:JC16&lt;&gt;""),JC7:JC16-JB7:JB16))</f>
        <v/>
      </c>
      <c r="JD17" s="218">
        <f>IF(COUNT(JC7:JC16,JD7:JD16)=0,"",SUMPRODUCT(--(JC7:JC16&lt;&gt;""),--(JD7:JD16&lt;&gt;""),JD7:JD16-JC7:JC16))</f>
        <v/>
      </c>
      <c r="JE17" s="218">
        <f>IF(COUNT(JD7:JD16,JE7:JE16)=0,"",SUMPRODUCT(--(JD7:JD16&lt;&gt;""),--(JE7:JE16&lt;&gt;""),JE7:JE16-JD7:JD16))</f>
        <v/>
      </c>
      <c r="JF17" s="218">
        <f>IF(COUNT(JE7:JE16,JF7:JF16)=0,"",SUMPRODUCT(--(JE7:JE16&lt;&gt;""),--(JF7:JF16&lt;&gt;""),JF7:JF16-JE7:JE16))</f>
        <v/>
      </c>
      <c r="JG17" s="218">
        <f>IF(COUNT(JF7:JF16,JG7:JG16)=0,"",SUMPRODUCT(--(JF7:JF16&lt;&gt;""),--(JG7:JG16&lt;&gt;""),JG7:JG16-JF7:JF16))</f>
        <v/>
      </c>
      <c r="JH17" s="218">
        <f>IF(COUNT(JG7:JG16,JH7:JH16)=0,"",SUMPRODUCT(--(JG7:JG16&lt;&gt;""),--(JH7:JH16&lt;&gt;""),JH7:JH16-JG7:JG16))</f>
        <v/>
      </c>
      <c r="JI17" s="218">
        <f>IF(COUNT(JH7:JH16,JI7:JI16)=0,"",SUMPRODUCT(--(JH7:JH16&lt;&gt;""),--(JI7:JI16&lt;&gt;""),JI7:JI16-JH7:JH16))</f>
        <v/>
      </c>
      <c r="JJ17" s="218">
        <f>IF(COUNT(JI7:JI16,JJ7:JJ16)=0,"",SUMPRODUCT(--(JI7:JI16&lt;&gt;""),--(JJ7:JJ16&lt;&gt;""),JJ7:JJ16-JI7:JI16))</f>
        <v/>
      </c>
      <c r="JK17" s="218">
        <f>IF(COUNT(JJ7:JJ16,JK7:JK16)=0,"",SUMPRODUCT(--(JJ7:JJ16&lt;&gt;""),--(JK7:JK16&lt;&gt;""),JK7:JK16-JJ7:JJ16))</f>
        <v/>
      </c>
      <c r="JL17" s="218">
        <f>IF(COUNT(JK7:JK16,JL7:JL16)=0,"",SUMPRODUCT(--(JK7:JK16&lt;&gt;""),--(JL7:JL16&lt;&gt;""),JL7:JL16-JK7:JK16))</f>
        <v/>
      </c>
      <c r="JM17" s="218">
        <f>IF(COUNT(JL7:JL16,JM7:JM16)=0,"",SUMPRODUCT(--(JL7:JL16&lt;&gt;""),--(JM7:JM16&lt;&gt;""),JM7:JM16-JL7:JL16))</f>
        <v/>
      </c>
      <c r="JN17" s="218">
        <f>IF(COUNT(JM7:JM16,JN7:JN16)=0,"",SUMPRODUCT(--(JM7:JM16&lt;&gt;""),--(JN7:JN16&lt;&gt;""),JN7:JN16-JM7:JM16))</f>
        <v/>
      </c>
      <c r="JO17" s="218">
        <f>IF(COUNT(JN7:JN16,JO7:JO16)=0,"",SUMPRODUCT(--(JN7:JN16&lt;&gt;""),--(JO7:JO16&lt;&gt;""),JO7:JO16-JN7:JN16))</f>
        <v/>
      </c>
      <c r="JP17" s="218">
        <f>IF(COUNT(JO7:JO16,JP7:JP16)=0,"",SUMPRODUCT(--(JO7:JO16&lt;&gt;""),--(JP7:JP16&lt;&gt;""),JP7:JP16-JO7:JO16))</f>
        <v/>
      </c>
      <c r="JQ17" s="218">
        <f>IF(COUNT(JP7:JP16,JQ7:JQ16)=0,"",SUMPRODUCT(--(JP7:JP16&lt;&gt;""),--(JQ7:JQ16&lt;&gt;""),JQ7:JQ16-JP7:JP16))</f>
        <v/>
      </c>
      <c r="JR17" s="218">
        <f>IF(COUNT(JQ7:JQ16,JR7:JR16)=0,"",SUMPRODUCT(--(JQ7:JQ16&lt;&gt;""),--(JR7:JR16&lt;&gt;""),JR7:JR16-JQ7:JQ16))</f>
        <v/>
      </c>
      <c r="JS17" s="218">
        <f>IF(COUNT(JR7:JR16,JS7:JS16)=0,"",SUMPRODUCT(--(JR7:JR16&lt;&gt;""),--(JS7:JS16&lt;&gt;""),JS7:JS16-JR7:JR16))</f>
        <v/>
      </c>
      <c r="JT17" s="218">
        <f>IF(COUNT(JS7:JS16,JT7:JT16)=0,"",SUMPRODUCT(--(JS7:JS16&lt;&gt;""),--(JT7:JT16&lt;&gt;""),JT7:JT16-JS7:JS16))</f>
        <v/>
      </c>
      <c r="JU17" s="218">
        <f>IF(COUNT(JT7:JT16,JU7:JU16)=0,"",SUMPRODUCT(--(JT7:JT16&lt;&gt;""),--(JU7:JU16&lt;&gt;""),JU7:JU16-JT7:JT16))</f>
        <v/>
      </c>
      <c r="JV17" s="218">
        <f>IF(COUNT(JU7:JU16,JV7:JV16)=0,"",SUMPRODUCT(--(JU7:JU16&lt;&gt;""),--(JV7:JV16&lt;&gt;""),JV7:JV16-JU7:JU16))</f>
        <v/>
      </c>
      <c r="JW17" s="218">
        <f>IF(COUNT(JV7:JV16,JW7:JW16)=0,"",SUMPRODUCT(--(JV7:JV16&lt;&gt;""),--(JW7:JW16&lt;&gt;""),JW7:JW16-JV7:JV16))</f>
        <v/>
      </c>
      <c r="JX17" s="218">
        <f>IF(COUNT(JW7:JW16,JX7:JX16)=0,"",SUMPRODUCT(--(JW7:JW16&lt;&gt;""),--(JX7:JX16&lt;&gt;""),JX7:JX16-JW7:JW16))</f>
        <v/>
      </c>
      <c r="JY17" s="218">
        <f>IF(COUNT(JX7:JX16,JY7:JY16)=0,"",SUMPRODUCT(--(JX7:JX16&lt;&gt;""),--(JY7:JY16&lt;&gt;""),JY7:JY16-JX7:JX16))</f>
        <v/>
      </c>
      <c r="JZ17" s="218">
        <f>IF(COUNT(JY7:JY16,JZ7:JZ16)=0,"",SUMPRODUCT(--(JY7:JY16&lt;&gt;""),--(JZ7:JZ16&lt;&gt;""),JZ7:JZ16-JY7:JY16))</f>
        <v/>
      </c>
      <c r="KA17" s="218">
        <f>IF(COUNT(JZ7:JZ16,KA7:KA16)=0,"",SUMPRODUCT(--(JZ7:JZ16&lt;&gt;""),--(KA7:KA16&lt;&gt;""),KA7:KA16-JZ7:JZ16))</f>
        <v/>
      </c>
      <c r="KB17" s="218">
        <f>IF(COUNT(KA7:KA16,KB7:KB16)=0,"",SUMPRODUCT(--(KA7:KA16&lt;&gt;""),--(KB7:KB16&lt;&gt;""),KB7:KB16-KA7:KA16))</f>
        <v/>
      </c>
      <c r="KC17" s="218">
        <f>IF(COUNT(KB7:KB16,KC7:KC16)=0,"",SUMPRODUCT(--(KB7:KB16&lt;&gt;""),--(KC7:KC16&lt;&gt;""),KC7:KC16-KB7:KB16))</f>
        <v/>
      </c>
      <c r="KD17" s="218">
        <f>IF(COUNT(KC7:KC16,KD7:KD16)=0,"",SUMPRODUCT(--(KC7:KC16&lt;&gt;""),--(KD7:KD16&lt;&gt;""),KD7:KD16-KC7:KC16))</f>
        <v/>
      </c>
      <c r="KE17" s="218">
        <f>IF(COUNT(KD7:KD16,KE7:KE16)=0,"",SUMPRODUCT(--(KD7:KD16&lt;&gt;""),--(KE7:KE16&lt;&gt;""),KE7:KE16-KD7:KD16))</f>
        <v/>
      </c>
      <c r="KF17" s="218">
        <f>IF(COUNT(KE7:KE16,KF7:KF16)=0,"",SUMPRODUCT(--(KE7:KE16&lt;&gt;""),--(KF7:KF16&lt;&gt;""),KF7:KF16-KE7:KE16))</f>
        <v/>
      </c>
      <c r="KG17" s="218">
        <f>IF(COUNT(KF7:KF16,KG7:KG16)=0,"",SUMPRODUCT(--(KF7:KF16&lt;&gt;""),--(KG7:KG16&lt;&gt;""),KG7:KG16-KF7:KF16))</f>
        <v/>
      </c>
      <c r="KH17" s="218">
        <f>IF(COUNT(KG7:KG16,KH7:KH16)=0,"",SUMPRODUCT(--(KG7:KG16&lt;&gt;""),--(KH7:KH16&lt;&gt;""),KH7:KH16-KG7:KG16))</f>
        <v/>
      </c>
      <c r="KI17" s="218">
        <f>IF(COUNT(KH7:KH16,KI7:KI16)=0,"",SUMPRODUCT(--(KH7:KH16&lt;&gt;""),--(KI7:KI16&lt;&gt;""),KI7:KI16-KH7:KH16))</f>
        <v/>
      </c>
      <c r="KJ17" s="218">
        <f>IF(COUNT(KI7:KI16,KJ7:KJ16)=0,"",SUMPRODUCT(--(KI7:KI16&lt;&gt;""),--(KJ7:KJ16&lt;&gt;""),KJ7:KJ16-KI7:KI16))</f>
        <v/>
      </c>
      <c r="KK17" s="218">
        <f>IF(COUNT(KJ7:KJ16,KK7:KK16)=0,"",SUMPRODUCT(--(KJ7:KJ16&lt;&gt;""),--(KK7:KK16&lt;&gt;""),KK7:KK16-KJ7:KJ16))</f>
        <v/>
      </c>
      <c r="KL17" s="218">
        <f>IF(COUNT(KK7:KK16,KL7:KL16)=0,"",SUMPRODUCT(--(KK7:KK16&lt;&gt;""),--(KL7:KL16&lt;&gt;""),KL7:KL16-KK7:KK16))</f>
        <v/>
      </c>
      <c r="KM17" s="218">
        <f>IF(COUNT(KL7:KL16,KM7:KM16)=0,"",SUMPRODUCT(--(KL7:KL16&lt;&gt;""),--(KM7:KM16&lt;&gt;""),KM7:KM16-KL7:KL16))</f>
        <v/>
      </c>
      <c r="KN17" s="218">
        <f>IF(COUNT(KM7:KM16,KN7:KN16)=0,"",SUMPRODUCT(--(KM7:KM16&lt;&gt;""),--(KN7:KN16&lt;&gt;""),KN7:KN16-KM7:KM16))</f>
        <v/>
      </c>
      <c r="KO17" s="218">
        <f>IF(COUNT(KN7:KN16,KO7:KO16)=0,"",SUMPRODUCT(--(KN7:KN16&lt;&gt;""),--(KO7:KO16&lt;&gt;""),KO7:KO16-KN7:KN16))</f>
        <v/>
      </c>
      <c r="KP17" s="218">
        <f>IF(COUNT(KO7:KO16,KP7:KP16)=0,"",SUMPRODUCT(--(KO7:KO16&lt;&gt;""),--(KP7:KP16&lt;&gt;""),KP7:KP16-KO7:KO16))</f>
        <v/>
      </c>
      <c r="KQ17" s="218">
        <f>IF(COUNT(KP7:KP16,KQ7:KQ16)=0,"",SUMPRODUCT(--(KP7:KP16&lt;&gt;""),--(KQ7:KQ16&lt;&gt;""),KQ7:KQ16-KP7:KP16))</f>
        <v/>
      </c>
      <c r="KR17" s="218">
        <f>IF(COUNT(KQ7:KQ16,KR7:KR16)=0,"",SUMPRODUCT(--(KQ7:KQ16&lt;&gt;""),--(KR7:KR16&lt;&gt;""),KR7:KR16-KQ7:KQ16))</f>
        <v/>
      </c>
      <c r="KS17" s="218">
        <f>IF(COUNT(KR7:KR16,KS7:KS16)=0,"",SUMPRODUCT(--(KR7:KR16&lt;&gt;""),--(KS7:KS16&lt;&gt;""),KS7:KS16-KR7:KR16))</f>
        <v/>
      </c>
      <c r="KT17" s="218">
        <f>IF(COUNT(KS7:KS16,KT7:KT16)=0,"",SUMPRODUCT(--(KS7:KS16&lt;&gt;""),--(KT7:KT16&lt;&gt;""),KT7:KT16-KS7:KS16))</f>
        <v/>
      </c>
      <c r="KU17" s="218">
        <f>IF(COUNT(KT7:KT16,KU7:KU16)=0,"",SUMPRODUCT(--(KT7:KT16&lt;&gt;""),--(KU7:KU16&lt;&gt;""),KU7:KU16-KT7:KT16))</f>
        <v/>
      </c>
      <c r="KV17" s="218">
        <f>IF(COUNT(KU7:KU16,KV7:KV16)=0,"",SUMPRODUCT(--(KU7:KU16&lt;&gt;""),--(KV7:KV16&lt;&gt;""),KV7:KV16-KU7:KU16))</f>
        <v/>
      </c>
      <c r="KW17" s="218">
        <f>IF(COUNT(KV7:KV16,KW7:KW16)=0,"",SUMPRODUCT(--(KV7:KV16&lt;&gt;""),--(KW7:KW16&lt;&gt;""),KW7:KW16-KV7:KV16))</f>
        <v/>
      </c>
      <c r="KX17" s="218">
        <f>IF(COUNT(KW7:KW16,KX7:KX16)=0,"",SUMPRODUCT(--(KW7:KW16&lt;&gt;""),--(KX7:KX16&lt;&gt;""),KX7:KX16-KW7:KW16))</f>
        <v/>
      </c>
      <c r="KY17" s="218">
        <f>IF(COUNT(KX7:KX16,KY7:KY16)=0,"",SUMPRODUCT(--(KX7:KX16&lt;&gt;""),--(KY7:KY16&lt;&gt;""),KY7:KY16-KX7:KX16))</f>
        <v/>
      </c>
      <c r="KZ17" s="218">
        <f>IF(COUNT(KY7:KY16,KZ7:KZ16)=0,"",SUMPRODUCT(--(KY7:KY16&lt;&gt;""),--(KZ7:KZ16&lt;&gt;""),KZ7:KZ16-KY7:KY16))</f>
        <v/>
      </c>
      <c r="LA17" s="218">
        <f>IF(COUNT(KZ7:KZ16,LA7:LA16)=0,"",SUMPRODUCT(--(KZ7:KZ16&lt;&gt;""),--(LA7:LA16&lt;&gt;""),LA7:LA16-KZ7:KZ16))</f>
        <v/>
      </c>
      <c r="LB17" s="218">
        <f>IF(COUNT(LA7:LA16,LB7:LB16)=0,"",SUMPRODUCT(--(LA7:LA16&lt;&gt;""),--(LB7:LB16&lt;&gt;""),LB7:LB16-LA7:LA16))</f>
        <v/>
      </c>
      <c r="LC17" s="218">
        <f>IF(COUNT(LB7:LB16,LC7:LC16)=0,"",SUMPRODUCT(--(LB7:LB16&lt;&gt;""),--(LC7:LC16&lt;&gt;""),LC7:LC16-LB7:LB16))</f>
        <v/>
      </c>
      <c r="LD17" s="218">
        <f>IF(COUNT(LC7:LC16,LD7:LD16)=0,"",SUMPRODUCT(--(LC7:LC16&lt;&gt;""),--(LD7:LD16&lt;&gt;""),LD7:LD16-LC7:LC16))</f>
        <v/>
      </c>
      <c r="LE17" s="218">
        <f>IF(COUNT(LD7:LD16,LE7:LE16)=0,"",SUMPRODUCT(--(LD7:LD16&lt;&gt;""),--(LE7:LE16&lt;&gt;""),LE7:LE16-LD7:LD16))</f>
        <v/>
      </c>
      <c r="LF17" s="218">
        <f>IF(COUNT(LE7:LE16,LF7:LF16)=0,"",SUMPRODUCT(--(LE7:LE16&lt;&gt;""),--(LF7:LF16&lt;&gt;""),LF7:LF16-LE7:LE16))</f>
        <v/>
      </c>
      <c r="LG17" s="218">
        <f>IF(COUNT(LF7:LF16,LG7:LG16)=0,"",SUMPRODUCT(--(LF7:LF16&lt;&gt;""),--(LG7:LG16&lt;&gt;""),LG7:LG16-LF7:LF16))</f>
        <v/>
      </c>
      <c r="LH17" s="218">
        <f>IF(COUNT(LG7:LG16,LH7:LH16)=0,"",SUMPRODUCT(--(LG7:LG16&lt;&gt;""),--(LH7:LH16&lt;&gt;""),LH7:LH16-LG7:LG16))</f>
        <v/>
      </c>
      <c r="LI17" s="218">
        <f>IF(COUNT(LH7:LH16,LI7:LI16)=0,"",SUMPRODUCT(--(LH7:LH16&lt;&gt;""),--(LI7:LI16&lt;&gt;""),LI7:LI16-LH7:LH16))</f>
        <v/>
      </c>
      <c r="LJ17" s="218">
        <f>IF(COUNT(LI7:LI16,LJ7:LJ16)=0,"",SUMPRODUCT(--(LI7:LI16&lt;&gt;""),--(LJ7:LJ16&lt;&gt;""),LJ7:LJ16-LI7:LI16))</f>
        <v/>
      </c>
      <c r="LK17" s="218">
        <f>IF(COUNT(LJ7:LJ16,LK7:LK16)=0,"",SUMPRODUCT(--(LJ7:LJ16&lt;&gt;""),--(LK7:LK16&lt;&gt;""),LK7:LK16-LJ7:LJ16))</f>
        <v/>
      </c>
      <c r="LL17" s="218">
        <f>IF(COUNT(LK7:LK16,LL7:LL16)=0,"",SUMPRODUCT(--(LK7:LK16&lt;&gt;""),--(LL7:LL16&lt;&gt;""),LL7:LL16-LK7:LK16))</f>
        <v/>
      </c>
      <c r="LM17" s="218">
        <f>IF(COUNT(LL7:LL16,LM7:LM16)=0,"",SUMPRODUCT(--(LL7:LL16&lt;&gt;""),--(LM7:LM16&lt;&gt;""),LM7:LM16-LL7:LL16))</f>
        <v/>
      </c>
      <c r="LN17" s="218">
        <f>IF(COUNT(LM7:LM16,LN7:LN16)=0,"",SUMPRODUCT(--(LM7:LM16&lt;&gt;""),--(LN7:LN16&lt;&gt;""),LN7:LN16-LM7:LM16))</f>
        <v/>
      </c>
      <c r="LO17" s="218">
        <f>IF(COUNT(LN7:LN16,LO7:LO16)=0,"",SUMPRODUCT(--(LN7:LN16&lt;&gt;""),--(LO7:LO16&lt;&gt;""),LO7:LO16-LN7:LN16))</f>
        <v/>
      </c>
      <c r="LP17" s="218">
        <f>IF(COUNT(LO7:LO16,LP7:LP16)=0,"",SUMPRODUCT(--(LO7:LO16&lt;&gt;""),--(LP7:LP16&lt;&gt;""),LP7:LP16-LO7:LO16))</f>
        <v/>
      </c>
      <c r="LQ17" s="218">
        <f>IF(COUNT(LP7:LP16,LQ7:LQ16)=0,"",SUMPRODUCT(--(LP7:LP16&lt;&gt;""),--(LQ7:LQ16&lt;&gt;""),LQ7:LQ16-LP7:LP16))</f>
        <v/>
      </c>
      <c r="LR17" s="218">
        <f>IF(COUNT(LQ7:LQ16,LR7:LR16)=0,"",SUMPRODUCT(--(LQ7:LQ16&lt;&gt;""),--(LR7:LR16&lt;&gt;""),LR7:LR16-LQ7:LQ16))</f>
        <v/>
      </c>
      <c r="LS17" s="218">
        <f>IF(COUNT(LR7:LR16,LS7:LS16)=0,"",SUMPRODUCT(--(LR7:LR16&lt;&gt;""),--(LS7:LS16&lt;&gt;""),LS7:LS16-LR7:LR16))</f>
        <v/>
      </c>
      <c r="LT17" s="218">
        <f>IF(COUNT(LS7:LS16,LT7:LT16)=0,"",SUMPRODUCT(--(LS7:LS16&lt;&gt;""),--(LT7:LT16&lt;&gt;""),LT7:LT16-LS7:LS16))</f>
        <v/>
      </c>
      <c r="LU17" s="218">
        <f>IF(COUNT(LT7:LT16,LU7:LU16)=0,"",SUMPRODUCT(--(LT7:LT16&lt;&gt;""),--(LU7:LU16&lt;&gt;""),LU7:LU16-LT7:LT16))</f>
        <v/>
      </c>
      <c r="LV17" s="218">
        <f>IF(COUNT(LU7:LU16,LV7:LV16)=0,"",SUMPRODUCT(--(LU7:LU16&lt;&gt;""),--(LV7:LV16&lt;&gt;""),LV7:LV16-LU7:LU16))</f>
        <v/>
      </c>
      <c r="LW17" s="218">
        <f>IF(COUNT(LV7:LV16,LW7:LW16)=0,"",SUMPRODUCT(--(LV7:LV16&lt;&gt;""),--(LW7:LW16&lt;&gt;""),LW7:LW16-LV7:LV16))</f>
        <v/>
      </c>
      <c r="LX17" s="218">
        <f>IF(COUNT(LW7:LW16,LX7:LX16)=0,"",SUMPRODUCT(--(LW7:LW16&lt;&gt;""),--(LX7:LX16&lt;&gt;""),LX7:LX16-LW7:LW16))</f>
        <v/>
      </c>
      <c r="LY17" s="218">
        <f>IF(COUNT(LX7:LX16,LY7:LY16)=0,"",SUMPRODUCT(--(LX7:LX16&lt;&gt;""),--(LY7:LY16&lt;&gt;""),LY7:LY16-LX7:LX16))</f>
        <v/>
      </c>
      <c r="LZ17" s="218">
        <f>IF(COUNT(LY7:LY16,LZ7:LZ16)=0,"",SUMPRODUCT(--(LY7:LY16&lt;&gt;""),--(LZ7:LZ16&lt;&gt;""),LZ7:LZ16-LY7:LY16))</f>
        <v/>
      </c>
      <c r="MA17" s="218">
        <f>IF(COUNT(LZ7:LZ16,MA7:MA16)=0,"",SUMPRODUCT(--(LZ7:LZ16&lt;&gt;""),--(MA7:MA16&lt;&gt;""),MA7:MA16-LZ7:LZ16))</f>
        <v/>
      </c>
      <c r="MB17" s="218">
        <f>IF(COUNT(MA7:MA16,MB7:MB16)=0,"",SUMPRODUCT(--(MA7:MA16&lt;&gt;""),--(MB7:MB16&lt;&gt;""),MB7:MB16-MA7:MA16))</f>
        <v/>
      </c>
      <c r="MC17" s="218">
        <f>IF(COUNT(MB7:MB16,MC7:MC16)=0,"",SUMPRODUCT(--(MB7:MB16&lt;&gt;""),--(MC7:MC16&lt;&gt;""),MC7:MC16-MB7:MB16))</f>
        <v/>
      </c>
      <c r="MD17" s="218">
        <f>IF(COUNT(MC7:MC16,MD7:MD16)=0,"",SUMPRODUCT(--(MC7:MC16&lt;&gt;""),--(MD7:MD16&lt;&gt;""),MD7:MD16-MC7:MC16))</f>
        <v/>
      </c>
      <c r="ME17" s="218">
        <f>IF(COUNT(MD7:MD16,ME7:ME16)=0,"",SUMPRODUCT(--(MD7:MD16&lt;&gt;""),--(ME7:ME16&lt;&gt;""),ME7:ME16-MD7:MD16))</f>
        <v/>
      </c>
      <c r="MF17" s="218">
        <f>IF(COUNT(ME7:ME16,MF7:MF16)=0,"",SUMPRODUCT(--(ME7:ME16&lt;&gt;""),--(MF7:MF16&lt;&gt;""),MF7:MF16-ME7:ME16))</f>
        <v/>
      </c>
      <c r="MG17" s="218">
        <f>IF(COUNT(MF7:MF16,MG7:MG16)=0,"",SUMPRODUCT(--(MF7:MF16&lt;&gt;""),--(MG7:MG16&lt;&gt;""),MG7:MG16-MF7:MF16))</f>
        <v/>
      </c>
      <c r="MH17" s="218">
        <f>IF(COUNT(MG7:MG16,MH7:MH16)=0,"",SUMPRODUCT(--(MG7:MG16&lt;&gt;""),--(MH7:MH16&lt;&gt;""),MH7:MH16-MG7:MG16))</f>
        <v/>
      </c>
      <c r="MI17" s="218">
        <f>IF(COUNT(MH7:MH16,MI7:MI16)=0,"",SUMPRODUCT(--(MH7:MH16&lt;&gt;""),--(MI7:MI16&lt;&gt;""),MI7:MI16-MH7:MH16))</f>
        <v/>
      </c>
      <c r="MJ17" s="218">
        <f>IF(COUNT(MI7:MI16,MJ7:MJ16)=0,"",SUMPRODUCT(--(MI7:MI16&lt;&gt;""),--(MJ7:MJ16&lt;&gt;""),MJ7:MJ16-MI7:MI16))</f>
        <v/>
      </c>
      <c r="MK17" s="218">
        <f>IF(COUNT(MJ7:MJ16,MK7:MK16)=0,"",SUMPRODUCT(--(MJ7:MJ16&lt;&gt;""),--(MK7:MK16&lt;&gt;""),MK7:MK16-MJ7:MJ16))</f>
        <v/>
      </c>
      <c r="ML17" s="218">
        <f>IF(COUNT(MK7:MK16,ML7:ML16)=0,"",SUMPRODUCT(--(MK7:MK16&lt;&gt;""),--(ML7:ML16&lt;&gt;""),ML7:ML16-MK7:MK16))</f>
        <v/>
      </c>
      <c r="MM17" s="218">
        <f>IF(COUNT(ML7:ML16,MM7:MM16)=0,"",SUMPRODUCT(--(ML7:ML16&lt;&gt;""),--(MM7:MM16&lt;&gt;""),MM7:MM16-ML7:ML16))</f>
        <v/>
      </c>
      <c r="MN17" s="218">
        <f>IF(COUNT(MM7:MM16,MN7:MN16)=0,"",SUMPRODUCT(--(MM7:MM16&lt;&gt;""),--(MN7:MN16&lt;&gt;""),MN7:MN16-MM7:MM16))</f>
        <v/>
      </c>
      <c r="MO17" s="218">
        <f>IF(COUNT(MN7:MN16,MO7:MO16)=0,"",SUMPRODUCT(--(MN7:MN16&lt;&gt;""),--(MO7:MO16&lt;&gt;""),MO7:MO16-MN7:MN16))</f>
        <v/>
      </c>
      <c r="MP17" s="218">
        <f>IF(COUNT(MO7:MO16,MP7:MP16)=0,"",SUMPRODUCT(--(MO7:MO16&lt;&gt;""),--(MP7:MP16&lt;&gt;""),MP7:MP16-MO7:MO16))</f>
        <v/>
      </c>
      <c r="MQ17" s="218">
        <f>IF(COUNT(MP7:MP16,MQ7:MQ16)=0,"",SUMPRODUCT(--(MP7:MP16&lt;&gt;""),--(MQ7:MQ16&lt;&gt;""),MQ7:MQ16-MP7:MP16))</f>
        <v/>
      </c>
      <c r="MR17" s="218">
        <f>IF(COUNT(MQ7:MQ16,MR7:MR16)=0,"",SUMPRODUCT(--(MQ7:MQ16&lt;&gt;""),--(MR7:MR16&lt;&gt;""),MR7:MR16-MQ7:MQ16))</f>
        <v/>
      </c>
      <c r="MS17" s="218">
        <f>IF(COUNT(MR7:MR16,MS7:MS16)=0,"",SUMPRODUCT(--(MR7:MR16&lt;&gt;""),--(MS7:MS16&lt;&gt;""),MS7:MS16-MR7:MR16))</f>
        <v/>
      </c>
      <c r="MT17" s="218">
        <f>IF(COUNT(MS7:MS16,MT7:MT16)=0,"",SUMPRODUCT(--(MS7:MS16&lt;&gt;""),--(MT7:MT16&lt;&gt;""),MT7:MT16-MS7:MS16))</f>
        <v/>
      </c>
      <c r="MU17" s="218">
        <f>IF(COUNT(MT7:MT16,MU7:MU16)=0,"",SUMPRODUCT(--(MT7:MT16&lt;&gt;""),--(MU7:MU16&lt;&gt;""),MU7:MU16-MT7:MT16))</f>
        <v/>
      </c>
      <c r="MV17" s="218">
        <f>IF(COUNT(MU7:MU16,MV7:MV16)=0,"",SUMPRODUCT(--(MU7:MU16&lt;&gt;""),--(MV7:MV16&lt;&gt;""),MV7:MV16-MU7:MU16))</f>
        <v/>
      </c>
      <c r="MW17" s="218">
        <f>IF(COUNT(MV7:MV16,MW7:MW16)=0,"",SUMPRODUCT(--(MV7:MV16&lt;&gt;""),--(MW7:MW16&lt;&gt;""),MW7:MW16-MV7:MV16))</f>
        <v/>
      </c>
      <c r="MX17" s="218">
        <f>IF(COUNT(MW7:MW16,MX7:MX16)=0,"",SUMPRODUCT(--(MW7:MW16&lt;&gt;""),--(MX7:MX16&lt;&gt;""),MX7:MX16-MW7:MW16))</f>
        <v/>
      </c>
      <c r="MY17" s="218">
        <f>IF(COUNT(MX7:MX16,MY7:MY16)=0,"",SUMPRODUCT(--(MX7:MX16&lt;&gt;""),--(MY7:MY16&lt;&gt;""),MY7:MY16-MX7:MX16))</f>
        <v/>
      </c>
      <c r="MZ17" s="218">
        <f>IF(COUNT(MY7:MY16,MZ7:MZ16)=0,"",SUMPRODUCT(--(MY7:MY16&lt;&gt;""),--(MZ7:MZ16&lt;&gt;""),MZ7:MZ16-MY7:MY16))</f>
        <v/>
      </c>
      <c r="NA17" s="218">
        <f>IF(COUNT(MZ7:MZ16,NA7:NA16)=0,"",SUMPRODUCT(--(MZ7:MZ16&lt;&gt;""),--(NA7:NA16&lt;&gt;""),NA7:NA16-MZ7:MZ16))</f>
        <v/>
      </c>
      <c r="NB17" s="218">
        <f>IF(COUNT(NA7:NA16,NB7:NB16)=0,"",SUMPRODUCT(--(NA7:NA16&lt;&gt;""),--(NB7:NB16&lt;&gt;""),NB7:NB16-NA7:NA16))</f>
        <v/>
      </c>
      <c r="NC17" s="219">
        <f>SUM(B17:NB17)</f>
        <v/>
      </c>
    </row>
    <row r="18" ht="54.75" customHeight="1" s="166"/>
    <row r="19" ht="30" customHeight="1" s="166">
      <c r="A19" s="220" t="inlineStr">
        <is>
          <t>WATER — METER READINGS</t>
        </is>
      </c>
    </row>
    <row r="20" ht="14.25" customHeight="1" s="166">
      <c r="A20" s="221" t="inlineStr">
        <is>
          <t>Daily meter readings by area | Enter cumulative opening/closing meter readings only</t>
        </is>
      </c>
      <c r="B20" s="222" t="n"/>
      <c r="C20" s="222" t="n"/>
      <c r="D20" s="222" t="n"/>
      <c r="E20" s="222" t="n"/>
      <c r="F20" s="222" t="n"/>
      <c r="G20" s="222" t="n"/>
      <c r="H20" s="222" t="n"/>
      <c r="I20" s="222" t="n"/>
      <c r="J20" s="222" t="n"/>
      <c r="K20" s="222" t="n"/>
      <c r="L20" s="222" t="n"/>
    </row>
    <row r="21" ht="58.5" customHeight="1" s="166">
      <c r="A21" s="211" t="inlineStr">
        <is>
          <t>Meter / Area</t>
        </is>
      </c>
      <c r="B21" s="212" t="n">
        <v>46296</v>
      </c>
      <c r="C21" s="212" t="n">
        <v>46297</v>
      </c>
      <c r="D21" s="212" t="n">
        <v>46298</v>
      </c>
      <c r="E21" s="212" t="n">
        <v>46299</v>
      </c>
      <c r="F21" s="212" t="n">
        <v>46300</v>
      </c>
      <c r="G21" s="212" t="n">
        <v>46301</v>
      </c>
      <c r="H21" s="212" t="n">
        <v>46302</v>
      </c>
      <c r="I21" s="212" t="n">
        <v>46303</v>
      </c>
      <c r="J21" s="212" t="n">
        <v>46304</v>
      </c>
      <c r="K21" s="212" t="n">
        <v>46305</v>
      </c>
      <c r="L21" s="212" t="n">
        <v>46306</v>
      </c>
      <c r="M21" s="212" t="n">
        <v>46307</v>
      </c>
      <c r="N21" s="212" t="n">
        <v>46308</v>
      </c>
      <c r="O21" s="212" t="n">
        <v>46309</v>
      </c>
      <c r="P21" s="212" t="n">
        <v>46310</v>
      </c>
      <c r="Q21" s="212" t="n">
        <v>46311</v>
      </c>
      <c r="R21" s="212" t="n">
        <v>46312</v>
      </c>
      <c r="S21" s="212" t="n">
        <v>46313</v>
      </c>
      <c r="T21" s="212" t="n">
        <v>46314</v>
      </c>
      <c r="U21" s="212" t="n">
        <v>46315</v>
      </c>
      <c r="V21" s="212" t="n">
        <v>46316</v>
      </c>
      <c r="W21" s="212" t="n">
        <v>46317</v>
      </c>
      <c r="X21" s="212" t="n">
        <v>46318</v>
      </c>
      <c r="Y21" s="212" t="n">
        <v>46319</v>
      </c>
      <c r="Z21" s="212" t="n">
        <v>46320</v>
      </c>
      <c r="AA21" s="212" t="n">
        <v>46321</v>
      </c>
      <c r="AB21" s="212" t="n">
        <v>46322</v>
      </c>
      <c r="AC21" s="212" t="n">
        <v>46323</v>
      </c>
      <c r="AD21" s="212" t="n">
        <v>46324</v>
      </c>
      <c r="AE21" s="212" t="n">
        <v>46325</v>
      </c>
      <c r="AF21" s="212" t="n">
        <v>46326</v>
      </c>
      <c r="AG21" s="212" t="n">
        <v>46327</v>
      </c>
      <c r="AH21" s="212" t="n">
        <v>46328</v>
      </c>
      <c r="AI21" s="212" t="n">
        <v>46329</v>
      </c>
      <c r="AJ21" s="212" t="n">
        <v>46330</v>
      </c>
      <c r="AK21" s="212" t="n">
        <v>46331</v>
      </c>
      <c r="AL21" s="212" t="n">
        <v>46332</v>
      </c>
      <c r="AM21" s="212" t="n">
        <v>46333</v>
      </c>
      <c r="AN21" s="212" t="n">
        <v>46334</v>
      </c>
      <c r="AO21" s="212" t="n">
        <v>46335</v>
      </c>
      <c r="AP21" s="212" t="n">
        <v>46336</v>
      </c>
      <c r="AQ21" s="212" t="n">
        <v>46337</v>
      </c>
      <c r="AR21" s="212" t="n">
        <v>46338</v>
      </c>
      <c r="AS21" s="212" t="n">
        <v>46339</v>
      </c>
      <c r="AT21" s="212" t="n">
        <v>46340</v>
      </c>
      <c r="AU21" s="212" t="n">
        <v>46341</v>
      </c>
      <c r="AV21" s="212" t="n">
        <v>46342</v>
      </c>
      <c r="AW21" s="212" t="n">
        <v>46343</v>
      </c>
      <c r="AX21" s="212" t="n">
        <v>46344</v>
      </c>
      <c r="AY21" s="212" t="n">
        <v>46345</v>
      </c>
      <c r="AZ21" s="212" t="n">
        <v>46346</v>
      </c>
      <c r="BA21" s="212" t="n">
        <v>46347</v>
      </c>
      <c r="BB21" s="212" t="n">
        <v>46348</v>
      </c>
      <c r="BC21" s="212" t="n">
        <v>46349</v>
      </c>
      <c r="BD21" s="212" t="n">
        <v>46350</v>
      </c>
      <c r="BE21" s="212" t="n">
        <v>46351</v>
      </c>
      <c r="BF21" s="212" t="n">
        <v>46352</v>
      </c>
      <c r="BG21" s="212" t="n">
        <v>46353</v>
      </c>
      <c r="BH21" s="212" t="n">
        <v>46354</v>
      </c>
      <c r="BI21" s="212" t="n">
        <v>46355</v>
      </c>
      <c r="BJ21" s="212" t="n">
        <v>46356</v>
      </c>
      <c r="BK21" s="212" t="n">
        <v>46357</v>
      </c>
      <c r="BL21" s="212" t="n">
        <v>46358</v>
      </c>
      <c r="BM21" s="212" t="n">
        <v>46359</v>
      </c>
      <c r="BN21" s="212" t="n">
        <v>46360</v>
      </c>
      <c r="BO21" s="212" t="n">
        <v>46361</v>
      </c>
      <c r="BP21" s="212" t="n">
        <v>46362</v>
      </c>
      <c r="BQ21" s="212" t="n">
        <v>46363</v>
      </c>
      <c r="BR21" s="212" t="n">
        <v>46364</v>
      </c>
      <c r="BS21" s="212" t="n">
        <v>46365</v>
      </c>
      <c r="BT21" s="212" t="n">
        <v>46366</v>
      </c>
      <c r="BU21" s="212" t="n">
        <v>46367</v>
      </c>
      <c r="BV21" s="212" t="n">
        <v>46368</v>
      </c>
      <c r="BW21" s="212" t="n">
        <v>46369</v>
      </c>
      <c r="BX21" s="212" t="n">
        <v>46370</v>
      </c>
      <c r="BY21" s="212" t="n">
        <v>46371</v>
      </c>
      <c r="BZ21" s="212" t="n">
        <v>46372</v>
      </c>
      <c r="CA21" s="212" t="n">
        <v>46373</v>
      </c>
      <c r="CB21" s="212" t="n">
        <v>46374</v>
      </c>
      <c r="CC21" s="212" t="n">
        <v>46375</v>
      </c>
      <c r="CD21" s="212" t="n">
        <v>46376</v>
      </c>
      <c r="CE21" s="212" t="n">
        <v>46377</v>
      </c>
      <c r="CF21" s="212" t="n">
        <v>46378</v>
      </c>
      <c r="CG21" s="212" t="n">
        <v>46379</v>
      </c>
      <c r="CH21" s="212" t="n">
        <v>46380</v>
      </c>
      <c r="CI21" s="212" t="n">
        <v>46381</v>
      </c>
      <c r="CJ21" s="212" t="n">
        <v>46382</v>
      </c>
      <c r="CK21" s="212" t="n">
        <v>46383</v>
      </c>
      <c r="CL21" s="212" t="n">
        <v>46384</v>
      </c>
      <c r="CM21" s="212" t="n">
        <v>46385</v>
      </c>
      <c r="CN21" s="212" t="n">
        <v>46386</v>
      </c>
      <c r="CO21" s="212" t="n">
        <v>46387</v>
      </c>
      <c r="CP21" s="212" t="n">
        <v>46388</v>
      </c>
      <c r="CQ21" s="212" t="n">
        <v>46389</v>
      </c>
      <c r="CR21" s="212" t="n">
        <v>46390</v>
      </c>
      <c r="CS21" s="212" t="n">
        <v>46391</v>
      </c>
      <c r="CT21" s="212" t="n">
        <v>46392</v>
      </c>
      <c r="CU21" s="212" t="n">
        <v>46393</v>
      </c>
      <c r="CV21" s="212" t="n">
        <v>46394</v>
      </c>
      <c r="CW21" s="212" t="n">
        <v>46395</v>
      </c>
      <c r="CX21" s="212" t="n">
        <v>46396</v>
      </c>
      <c r="CY21" s="212" t="n">
        <v>46397</v>
      </c>
      <c r="CZ21" s="212" t="n">
        <v>46398</v>
      </c>
      <c r="DA21" s="212" t="n">
        <v>46399</v>
      </c>
      <c r="DB21" s="212" t="n">
        <v>46400</v>
      </c>
      <c r="DC21" s="212" t="n">
        <v>46401</v>
      </c>
      <c r="DD21" s="212" t="n">
        <v>46402</v>
      </c>
      <c r="DE21" s="212" t="n">
        <v>46403</v>
      </c>
      <c r="DF21" s="212" t="n">
        <v>46404</v>
      </c>
      <c r="DG21" s="212" t="n">
        <v>46405</v>
      </c>
      <c r="DH21" s="212" t="n">
        <v>46406</v>
      </c>
      <c r="DI21" s="212" t="n">
        <v>46407</v>
      </c>
      <c r="DJ21" s="212" t="n">
        <v>46408</v>
      </c>
      <c r="DK21" s="212" t="n">
        <v>46409</v>
      </c>
      <c r="DL21" s="212" t="n">
        <v>46410</v>
      </c>
      <c r="DM21" s="212" t="n">
        <v>46411</v>
      </c>
      <c r="DN21" s="212" t="n">
        <v>46412</v>
      </c>
      <c r="DO21" s="212" t="n">
        <v>46413</v>
      </c>
      <c r="DP21" s="212" t="n">
        <v>46414</v>
      </c>
      <c r="DQ21" s="212" t="n">
        <v>46415</v>
      </c>
      <c r="DR21" s="212" t="n">
        <v>46416</v>
      </c>
      <c r="DS21" s="212" t="n">
        <v>46417</v>
      </c>
      <c r="DT21" s="212" t="n">
        <v>46418</v>
      </c>
      <c r="DU21" s="212" t="n">
        <v>46419</v>
      </c>
      <c r="DV21" s="212" t="n">
        <v>46420</v>
      </c>
      <c r="DW21" s="212" t="n">
        <v>46421</v>
      </c>
      <c r="DX21" s="212" t="n">
        <v>46422</v>
      </c>
      <c r="DY21" s="212" t="n">
        <v>46423</v>
      </c>
      <c r="DZ21" s="212" t="n">
        <v>46424</v>
      </c>
      <c r="EA21" s="212" t="n">
        <v>46425</v>
      </c>
      <c r="EB21" s="212" t="n">
        <v>46426</v>
      </c>
      <c r="EC21" s="212" t="n">
        <v>46427</v>
      </c>
      <c r="ED21" s="212" t="n">
        <v>46428</v>
      </c>
      <c r="EE21" s="212" t="n">
        <v>46429</v>
      </c>
      <c r="EF21" s="212" t="n">
        <v>46430</v>
      </c>
      <c r="EG21" s="212" t="n">
        <v>46431</v>
      </c>
      <c r="EH21" s="212" t="n">
        <v>46432</v>
      </c>
      <c r="EI21" s="212" t="n">
        <v>46433</v>
      </c>
      <c r="EJ21" s="212" t="n">
        <v>46434</v>
      </c>
      <c r="EK21" s="212" t="n">
        <v>46435</v>
      </c>
      <c r="EL21" s="212" t="n">
        <v>46436</v>
      </c>
      <c r="EM21" s="212" t="n">
        <v>46437</v>
      </c>
      <c r="EN21" s="212" t="n">
        <v>46438</v>
      </c>
      <c r="EO21" s="212" t="n">
        <v>46439</v>
      </c>
      <c r="EP21" s="212" t="n">
        <v>46440</v>
      </c>
      <c r="EQ21" s="212" t="n">
        <v>46441</v>
      </c>
      <c r="ER21" s="212" t="n">
        <v>46442</v>
      </c>
      <c r="ES21" s="212" t="n">
        <v>46443</v>
      </c>
      <c r="ET21" s="212" t="n">
        <v>46444</v>
      </c>
      <c r="EU21" s="212" t="n">
        <v>46445</v>
      </c>
      <c r="EV21" s="212" t="n">
        <v>46446</v>
      </c>
      <c r="EW21" s="212" t="n">
        <v>46447</v>
      </c>
      <c r="EX21" s="212" t="n">
        <v>46448</v>
      </c>
      <c r="EY21" s="212" t="n">
        <v>46449</v>
      </c>
      <c r="EZ21" s="212" t="n">
        <v>46450</v>
      </c>
      <c r="FA21" s="212" t="n">
        <v>46451</v>
      </c>
      <c r="FB21" s="212" t="n">
        <v>46452</v>
      </c>
      <c r="FC21" s="212" t="n">
        <v>46453</v>
      </c>
      <c r="FD21" s="212" t="n">
        <v>46454</v>
      </c>
      <c r="FE21" s="212" t="n">
        <v>46455</v>
      </c>
      <c r="FF21" s="212" t="n">
        <v>46456</v>
      </c>
      <c r="FG21" s="212" t="n">
        <v>46457</v>
      </c>
      <c r="FH21" s="212" t="n">
        <v>46458</v>
      </c>
      <c r="FI21" s="212" t="n">
        <v>46459</v>
      </c>
      <c r="FJ21" s="212" t="n">
        <v>46460</v>
      </c>
      <c r="FK21" s="212" t="n">
        <v>46461</v>
      </c>
      <c r="FL21" s="212" t="n">
        <v>46462</v>
      </c>
      <c r="FM21" s="212" t="n">
        <v>46463</v>
      </c>
      <c r="FN21" s="212" t="n">
        <v>46464</v>
      </c>
      <c r="FO21" s="212" t="n">
        <v>46465</v>
      </c>
      <c r="FP21" s="212" t="n">
        <v>46466</v>
      </c>
      <c r="FQ21" s="212" t="n">
        <v>46467</v>
      </c>
      <c r="FR21" s="212" t="n">
        <v>46468</v>
      </c>
      <c r="FS21" s="212" t="n">
        <v>46469</v>
      </c>
      <c r="FT21" s="212" t="n">
        <v>46470</v>
      </c>
      <c r="FU21" s="212" t="n">
        <v>46471</v>
      </c>
      <c r="FV21" s="212" t="n">
        <v>46472</v>
      </c>
      <c r="FW21" s="212" t="n">
        <v>46473</v>
      </c>
      <c r="FX21" s="212" t="n">
        <v>46474</v>
      </c>
      <c r="FY21" s="212" t="n">
        <v>46475</v>
      </c>
      <c r="FZ21" s="212" t="n">
        <v>46476</v>
      </c>
      <c r="GA21" s="212" t="n">
        <v>46477</v>
      </c>
      <c r="GB21" s="212" t="n">
        <v>46478</v>
      </c>
      <c r="GC21" s="212" t="n">
        <v>46479</v>
      </c>
      <c r="GD21" s="212" t="n">
        <v>46480</v>
      </c>
      <c r="GE21" s="212" t="n">
        <v>46481</v>
      </c>
      <c r="GF21" s="212" t="n">
        <v>46482</v>
      </c>
      <c r="GG21" s="212" t="n">
        <v>46483</v>
      </c>
      <c r="GH21" s="212" t="n">
        <v>46484</v>
      </c>
      <c r="GI21" s="212" t="n">
        <v>46485</v>
      </c>
      <c r="GJ21" s="212" t="n">
        <v>46486</v>
      </c>
      <c r="GK21" s="212" t="n">
        <v>46487</v>
      </c>
      <c r="GL21" s="212" t="n">
        <v>46488</v>
      </c>
      <c r="GM21" s="212" t="n">
        <v>46489</v>
      </c>
      <c r="GN21" s="212" t="n">
        <v>46490</v>
      </c>
      <c r="GO21" s="212" t="n">
        <v>46491</v>
      </c>
      <c r="GP21" s="212" t="n">
        <v>46492</v>
      </c>
      <c r="GQ21" s="212" t="n">
        <v>46493</v>
      </c>
      <c r="GR21" s="212" t="n">
        <v>46494</v>
      </c>
      <c r="GS21" s="212" t="n">
        <v>46495</v>
      </c>
      <c r="GT21" s="212" t="n">
        <v>46496</v>
      </c>
      <c r="GU21" s="212" t="n">
        <v>46497</v>
      </c>
      <c r="GV21" s="212" t="n">
        <v>46498</v>
      </c>
      <c r="GW21" s="212" t="n">
        <v>46499</v>
      </c>
      <c r="GX21" s="212" t="n">
        <v>46500</v>
      </c>
      <c r="GY21" s="212" t="n">
        <v>46501</v>
      </c>
      <c r="GZ21" s="212" t="n">
        <v>46502</v>
      </c>
      <c r="HA21" s="212" t="n">
        <v>46503</v>
      </c>
      <c r="HB21" s="212" t="n">
        <v>46504</v>
      </c>
      <c r="HC21" s="212" t="n">
        <v>46505</v>
      </c>
      <c r="HD21" s="212" t="n">
        <v>46506</v>
      </c>
      <c r="HE21" s="212" t="n">
        <v>46507</v>
      </c>
      <c r="HF21" s="212" t="n">
        <v>46508</v>
      </c>
      <c r="HG21" s="212" t="n">
        <v>46509</v>
      </c>
      <c r="HH21" s="212" t="n">
        <v>46510</v>
      </c>
      <c r="HI21" s="212" t="n">
        <v>46511</v>
      </c>
      <c r="HJ21" s="212" t="n">
        <v>46512</v>
      </c>
      <c r="HK21" s="212" t="n">
        <v>46513</v>
      </c>
      <c r="HL21" s="212" t="n">
        <v>46514</v>
      </c>
      <c r="HM21" s="212" t="n">
        <v>46515</v>
      </c>
      <c r="HN21" s="212" t="n">
        <v>46516</v>
      </c>
      <c r="HO21" s="212" t="n">
        <v>46517</v>
      </c>
      <c r="HP21" s="212" t="n">
        <v>46518</v>
      </c>
      <c r="HQ21" s="212" t="n">
        <v>46519</v>
      </c>
      <c r="HR21" s="212" t="n">
        <v>46520</v>
      </c>
      <c r="HS21" s="212" t="n">
        <v>46521</v>
      </c>
      <c r="HT21" s="212" t="n">
        <v>46522</v>
      </c>
      <c r="HU21" s="212" t="n">
        <v>46523</v>
      </c>
      <c r="HV21" s="212" t="n">
        <v>46524</v>
      </c>
      <c r="HW21" s="212" t="n">
        <v>46525</v>
      </c>
      <c r="HX21" s="212" t="n">
        <v>46526</v>
      </c>
      <c r="HY21" s="212" t="n">
        <v>46527</v>
      </c>
      <c r="HZ21" s="212" t="n">
        <v>46528</v>
      </c>
      <c r="IA21" s="212" t="n">
        <v>46529</v>
      </c>
      <c r="IB21" s="212" t="n">
        <v>46530</v>
      </c>
      <c r="IC21" s="212" t="n">
        <v>46531</v>
      </c>
      <c r="ID21" s="212" t="n">
        <v>46532</v>
      </c>
      <c r="IE21" s="212" t="n">
        <v>46533</v>
      </c>
      <c r="IF21" s="212" t="n">
        <v>46534</v>
      </c>
      <c r="IG21" s="212" t="n">
        <v>46535</v>
      </c>
      <c r="IH21" s="212" t="n">
        <v>46536</v>
      </c>
      <c r="II21" s="212" t="n">
        <v>46537</v>
      </c>
      <c r="IJ21" s="212" t="n">
        <v>46538</v>
      </c>
      <c r="IK21" s="212" t="n">
        <v>46539</v>
      </c>
      <c r="IL21" s="212" t="n">
        <v>46540</v>
      </c>
      <c r="IM21" s="212" t="n">
        <v>46541</v>
      </c>
      <c r="IN21" s="212" t="n">
        <v>46542</v>
      </c>
      <c r="IO21" s="212" t="n">
        <v>46543</v>
      </c>
      <c r="IP21" s="212" t="n">
        <v>46544</v>
      </c>
      <c r="IQ21" s="212" t="n">
        <v>46545</v>
      </c>
      <c r="IR21" s="212" t="n">
        <v>46546</v>
      </c>
      <c r="IS21" s="212" t="n">
        <v>46547</v>
      </c>
      <c r="IT21" s="212" t="n">
        <v>46548</v>
      </c>
      <c r="IU21" s="212" t="n">
        <v>46549</v>
      </c>
      <c r="IV21" s="212" t="n">
        <v>46550</v>
      </c>
      <c r="IW21" s="212" t="n">
        <v>46551</v>
      </c>
      <c r="IX21" s="212" t="n">
        <v>46552</v>
      </c>
      <c r="IY21" s="212" t="n">
        <v>46553</v>
      </c>
      <c r="IZ21" s="212" t="n">
        <v>46554</v>
      </c>
      <c r="JA21" s="212" t="n">
        <v>46555</v>
      </c>
      <c r="JB21" s="212" t="n">
        <v>46556</v>
      </c>
      <c r="JC21" s="212" t="n">
        <v>46557</v>
      </c>
      <c r="JD21" s="212" t="n">
        <v>46558</v>
      </c>
      <c r="JE21" s="212" t="n">
        <v>46559</v>
      </c>
      <c r="JF21" s="212" t="n">
        <v>46560</v>
      </c>
      <c r="JG21" s="212" t="n">
        <v>46561</v>
      </c>
      <c r="JH21" s="212" t="n">
        <v>46562</v>
      </c>
      <c r="JI21" s="212" t="n">
        <v>46563</v>
      </c>
      <c r="JJ21" s="212" t="n">
        <v>46564</v>
      </c>
      <c r="JK21" s="212" t="n">
        <v>46565</v>
      </c>
      <c r="JL21" s="212" t="n">
        <v>46566</v>
      </c>
      <c r="JM21" s="212" t="n">
        <v>46567</v>
      </c>
      <c r="JN21" s="212" t="n">
        <v>46568</v>
      </c>
      <c r="JO21" s="212" t="n">
        <v>46569</v>
      </c>
      <c r="JP21" s="212" t="n">
        <v>46570</v>
      </c>
      <c r="JQ21" s="212" t="n">
        <v>46571</v>
      </c>
      <c r="JR21" s="212" t="n">
        <v>46572</v>
      </c>
      <c r="JS21" s="212" t="n">
        <v>46573</v>
      </c>
      <c r="JT21" s="212" t="n">
        <v>46574</v>
      </c>
      <c r="JU21" s="212" t="n">
        <v>46575</v>
      </c>
      <c r="JV21" s="212" t="n">
        <v>46576</v>
      </c>
      <c r="JW21" s="212" t="n">
        <v>46577</v>
      </c>
      <c r="JX21" s="212" t="n">
        <v>46578</v>
      </c>
      <c r="JY21" s="212" t="n">
        <v>46579</v>
      </c>
      <c r="JZ21" s="212" t="n">
        <v>46580</v>
      </c>
      <c r="KA21" s="212" t="n">
        <v>46581</v>
      </c>
      <c r="KB21" s="212" t="n">
        <v>46582</v>
      </c>
      <c r="KC21" s="212" t="n">
        <v>46583</v>
      </c>
      <c r="KD21" s="212" t="n">
        <v>46584</v>
      </c>
      <c r="KE21" s="212" t="n">
        <v>46585</v>
      </c>
      <c r="KF21" s="212" t="n">
        <v>46586</v>
      </c>
      <c r="KG21" s="212" t="n">
        <v>46587</v>
      </c>
      <c r="KH21" s="212" t="n">
        <v>46588</v>
      </c>
      <c r="KI21" s="212" t="n">
        <v>46589</v>
      </c>
      <c r="KJ21" s="212" t="n">
        <v>46590</v>
      </c>
      <c r="KK21" s="212" t="n">
        <v>46591</v>
      </c>
      <c r="KL21" s="212" t="n">
        <v>46592</v>
      </c>
      <c r="KM21" s="212" t="n">
        <v>46593</v>
      </c>
      <c r="KN21" s="212" t="n">
        <v>46594</v>
      </c>
      <c r="KO21" s="212" t="n">
        <v>46595</v>
      </c>
      <c r="KP21" s="212" t="n">
        <v>46596</v>
      </c>
      <c r="KQ21" s="212" t="n">
        <v>46597</v>
      </c>
      <c r="KR21" s="212" t="n">
        <v>46598</v>
      </c>
      <c r="KS21" s="212" t="n">
        <v>46599</v>
      </c>
      <c r="KT21" s="212" t="n">
        <v>46600</v>
      </c>
      <c r="KU21" s="212" t="n">
        <v>46601</v>
      </c>
      <c r="KV21" s="212" t="n">
        <v>46602</v>
      </c>
      <c r="KW21" s="212" t="n">
        <v>46603</v>
      </c>
      <c r="KX21" s="212" t="n">
        <v>46604</v>
      </c>
      <c r="KY21" s="212" t="n">
        <v>46605</v>
      </c>
      <c r="KZ21" s="212" t="n">
        <v>46606</v>
      </c>
      <c r="LA21" s="212" t="n">
        <v>46607</v>
      </c>
      <c r="LB21" s="212" t="n">
        <v>46608</v>
      </c>
      <c r="LC21" s="212" t="n">
        <v>46609</v>
      </c>
      <c r="LD21" s="212" t="n">
        <v>46610</v>
      </c>
      <c r="LE21" s="212" t="n">
        <v>46611</v>
      </c>
      <c r="LF21" s="212" t="n">
        <v>46612</v>
      </c>
      <c r="LG21" s="212" t="n">
        <v>46613</v>
      </c>
      <c r="LH21" s="212" t="n">
        <v>46614</v>
      </c>
      <c r="LI21" s="212" t="n">
        <v>46615</v>
      </c>
      <c r="LJ21" s="212" t="n">
        <v>46616</v>
      </c>
      <c r="LK21" s="212" t="n">
        <v>46617</v>
      </c>
      <c r="LL21" s="212" t="n">
        <v>46618</v>
      </c>
      <c r="LM21" s="212" t="n">
        <v>46619</v>
      </c>
      <c r="LN21" s="212" t="n">
        <v>46620</v>
      </c>
      <c r="LO21" s="212" t="n">
        <v>46621</v>
      </c>
      <c r="LP21" s="212" t="n">
        <v>46622</v>
      </c>
      <c r="LQ21" s="212" t="n">
        <v>46623</v>
      </c>
      <c r="LR21" s="212" t="n">
        <v>46624</v>
      </c>
      <c r="LS21" s="212" t="n">
        <v>46625</v>
      </c>
      <c r="LT21" s="212" t="n">
        <v>46626</v>
      </c>
      <c r="LU21" s="212" t="n">
        <v>46627</v>
      </c>
      <c r="LV21" s="212" t="n">
        <v>46628</v>
      </c>
      <c r="LW21" s="212" t="n">
        <v>46629</v>
      </c>
      <c r="LX21" s="212" t="n">
        <v>46630</v>
      </c>
      <c r="LY21" s="212" t="n">
        <v>46631</v>
      </c>
      <c r="LZ21" s="212" t="n">
        <v>46632</v>
      </c>
      <c r="MA21" s="212" t="n">
        <v>46633</v>
      </c>
      <c r="MB21" s="212" t="n">
        <v>46634</v>
      </c>
      <c r="MC21" s="212" t="n">
        <v>46635</v>
      </c>
      <c r="MD21" s="212" t="n">
        <v>46636</v>
      </c>
      <c r="ME21" s="212" t="n">
        <v>46637</v>
      </c>
      <c r="MF21" s="212" t="n">
        <v>46638</v>
      </c>
      <c r="MG21" s="212" t="n">
        <v>46639</v>
      </c>
      <c r="MH21" s="212" t="n">
        <v>46640</v>
      </c>
      <c r="MI21" s="212" t="n">
        <v>46641</v>
      </c>
      <c r="MJ21" s="212" t="n">
        <v>46642</v>
      </c>
      <c r="MK21" s="212" t="n">
        <v>46643</v>
      </c>
      <c r="ML21" s="212" t="n">
        <v>46644</v>
      </c>
      <c r="MM21" s="212" t="n">
        <v>46645</v>
      </c>
      <c r="MN21" s="212" t="n">
        <v>46646</v>
      </c>
      <c r="MO21" s="212" t="n">
        <v>46647</v>
      </c>
      <c r="MP21" s="212" t="n">
        <v>46648</v>
      </c>
      <c r="MQ21" s="212" t="n">
        <v>46649</v>
      </c>
      <c r="MR21" s="212" t="n">
        <v>46650</v>
      </c>
      <c r="MS21" s="212" t="n">
        <v>46651</v>
      </c>
      <c r="MT21" s="212" t="n">
        <v>46652</v>
      </c>
      <c r="MU21" s="212" t="n">
        <v>46653</v>
      </c>
      <c r="MV21" s="212" t="n">
        <v>46654</v>
      </c>
      <c r="MW21" s="212" t="n">
        <v>46655</v>
      </c>
      <c r="MX21" s="212" t="n">
        <v>46656</v>
      </c>
      <c r="MY21" s="212" t="n">
        <v>46657</v>
      </c>
      <c r="MZ21" s="212" t="n">
        <v>46658</v>
      </c>
      <c r="NA21" s="212" t="n">
        <v>46659</v>
      </c>
      <c r="NB21" s="212" t="n">
        <v>46660</v>
      </c>
      <c r="NC21" s="213" t="inlineStr">
        <is>
          <t>Annual Total</t>
        </is>
      </c>
    </row>
    <row r="22" ht="14.25" customHeight="1" s="166">
      <c r="A22" s="214" t="inlineStr">
        <is>
          <t>Speciality Restaurant 1 - Embers</t>
        </is>
      </c>
      <c r="B22" s="215" t="n"/>
      <c r="C22" s="215" t="n"/>
      <c r="D22" s="215" t="n"/>
      <c r="E22" s="215" t="n"/>
      <c r="F22" s="215" t="n"/>
      <c r="G22" s="215" t="n"/>
      <c r="H22" s="215" t="n"/>
      <c r="I22" s="215" t="n"/>
      <c r="J22" s="215" t="n"/>
      <c r="K22" s="215" t="n"/>
      <c r="L22" s="215" t="n"/>
      <c r="M22" s="215" t="n"/>
      <c r="N22" s="215" t="n"/>
      <c r="O22" s="215" t="n"/>
      <c r="P22" s="215" t="n"/>
      <c r="Q22" s="215" t="n"/>
      <c r="R22" s="215" t="n"/>
      <c r="S22" s="215" t="n"/>
      <c r="T22" s="215" t="n"/>
      <c r="U22" s="215" t="n"/>
      <c r="V22" s="215" t="n"/>
      <c r="W22" s="215" t="n"/>
      <c r="X22" s="215" t="n"/>
      <c r="Y22" s="215" t="n"/>
      <c r="Z22" s="215" t="n"/>
      <c r="AA22" s="215" t="n"/>
      <c r="AB22" s="215" t="n"/>
      <c r="AC22" s="215" t="n"/>
      <c r="AD22" s="215" t="n"/>
      <c r="AE22" s="215" t="n"/>
      <c r="AF22" s="215" t="n"/>
      <c r="AG22" s="215" t="n"/>
      <c r="AH22" s="215" t="n"/>
      <c r="AI22" s="215" t="n"/>
      <c r="AJ22" s="215" t="n"/>
      <c r="AK22" s="215" t="n"/>
      <c r="AL22" s="215" t="n"/>
      <c r="AM22" s="215" t="n"/>
      <c r="AN22" s="215" t="n"/>
      <c r="AO22" s="215" t="n"/>
      <c r="AP22" s="215" t="n"/>
      <c r="AQ22" s="215" t="n"/>
      <c r="AR22" s="215" t="n"/>
      <c r="AS22" s="215" t="n"/>
      <c r="AT22" s="215" t="n"/>
      <c r="AU22" s="215" t="n"/>
      <c r="AV22" s="215" t="n"/>
      <c r="AW22" s="215" t="n"/>
      <c r="AX22" s="215" t="n"/>
      <c r="AY22" s="215" t="n"/>
      <c r="AZ22" s="215" t="n"/>
      <c r="BA22" s="215" t="n"/>
      <c r="BB22" s="215" t="n"/>
      <c r="BC22" s="215" t="n"/>
      <c r="BD22" s="215" t="n"/>
      <c r="BE22" s="215" t="n"/>
      <c r="BF22" s="215" t="n"/>
      <c r="BG22" s="215" t="n"/>
      <c r="BH22" s="215" t="n"/>
      <c r="BI22" s="215" t="n"/>
      <c r="BJ22" s="215" t="n"/>
      <c r="BK22" s="215" t="n"/>
      <c r="BL22" s="215" t="n"/>
      <c r="BM22" s="215" t="n"/>
      <c r="BN22" s="215" t="n"/>
      <c r="BO22" s="215" t="n"/>
      <c r="BP22" s="215" t="n"/>
      <c r="BQ22" s="215" t="n"/>
      <c r="BR22" s="215" t="n"/>
      <c r="BS22" s="215" t="n"/>
      <c r="BT22" s="215" t="n"/>
      <c r="BU22" s="215" t="n"/>
      <c r="BV22" s="215" t="n"/>
      <c r="BW22" s="215" t="n"/>
      <c r="BX22" s="215" t="n"/>
      <c r="BY22" s="215" t="n"/>
      <c r="BZ22" s="215" t="n"/>
      <c r="CA22" s="215" t="n"/>
      <c r="CB22" s="215" t="n"/>
      <c r="CC22" s="215" t="n"/>
      <c r="CD22" s="215" t="n"/>
      <c r="CE22" s="215" t="n"/>
      <c r="CF22" s="215" t="n"/>
      <c r="CG22" s="215" t="n"/>
      <c r="CH22" s="215" t="n"/>
      <c r="CI22" s="215" t="n"/>
      <c r="CJ22" s="215" t="n"/>
      <c r="CK22" s="215" t="n"/>
      <c r="CL22" s="215" t="n"/>
      <c r="CM22" s="215" t="n"/>
      <c r="CN22" s="215" t="n"/>
      <c r="CO22" s="215" t="n"/>
      <c r="CP22" s="215" t="n"/>
      <c r="CQ22" s="215" t="n"/>
      <c r="CR22" s="215" t="n"/>
      <c r="CS22" s="215" t="n"/>
      <c r="CT22" s="215" t="n"/>
      <c r="CU22" s="215" t="n"/>
      <c r="CV22" s="215" t="n"/>
      <c r="CW22" s="215" t="n"/>
      <c r="CX22" s="215" t="n"/>
      <c r="CY22" s="215" t="n"/>
      <c r="CZ22" s="215" t="n"/>
      <c r="DA22" s="215" t="n"/>
      <c r="DB22" s="215" t="n"/>
      <c r="DC22" s="215" t="n"/>
      <c r="DD22" s="215" t="n"/>
      <c r="DE22" s="215" t="n"/>
      <c r="DF22" s="215" t="n"/>
      <c r="DG22" s="215" t="n"/>
      <c r="DH22" s="215" t="n"/>
      <c r="DI22" s="215" t="n"/>
      <c r="DJ22" s="215" t="n"/>
      <c r="DK22" s="215" t="n"/>
      <c r="DL22" s="215" t="n"/>
      <c r="DM22" s="215" t="n"/>
      <c r="DN22" s="215" t="n"/>
      <c r="DO22" s="215" t="n"/>
      <c r="DP22" s="215" t="n"/>
      <c r="DQ22" s="215" t="n"/>
      <c r="DR22" s="215" t="n"/>
      <c r="DS22" s="215" t="n"/>
      <c r="DT22" s="215" t="n"/>
      <c r="DU22" s="215" t="n"/>
      <c r="DV22" s="215" t="n"/>
      <c r="DW22" s="215" t="n"/>
      <c r="DX22" s="215" t="n"/>
      <c r="DY22" s="215" t="n"/>
      <c r="DZ22" s="215" t="n"/>
      <c r="EA22" s="215" t="n"/>
      <c r="EB22" s="215" t="n"/>
      <c r="EC22" s="215" t="n"/>
      <c r="ED22" s="215" t="n"/>
      <c r="EE22" s="215" t="n"/>
      <c r="EF22" s="215" t="n"/>
      <c r="EG22" s="215" t="n"/>
      <c r="EH22" s="215" t="n"/>
      <c r="EI22" s="215" t="n"/>
      <c r="EJ22" s="215" t="n"/>
      <c r="EK22" s="215" t="n"/>
      <c r="EL22" s="215" t="n"/>
      <c r="EM22" s="215" t="n"/>
      <c r="EN22" s="215" t="n"/>
      <c r="EO22" s="215" t="n"/>
      <c r="EP22" s="215" t="n"/>
      <c r="EQ22" s="215" t="n"/>
      <c r="ER22" s="215" t="n"/>
      <c r="ES22" s="215" t="n"/>
      <c r="ET22" s="215" t="n"/>
      <c r="EU22" s="215" t="n"/>
      <c r="EV22" s="215" t="n"/>
      <c r="EW22" s="215" t="n"/>
      <c r="EX22" s="215" t="n"/>
      <c r="EY22" s="215" t="n"/>
      <c r="EZ22" s="215" t="n"/>
      <c r="FA22" s="215" t="n"/>
      <c r="FB22" s="215" t="n"/>
      <c r="FC22" s="215" t="n"/>
      <c r="FD22" s="215" t="n"/>
      <c r="FE22" s="215" t="n"/>
      <c r="FF22" s="215" t="n"/>
      <c r="FG22" s="215" t="n"/>
      <c r="FH22" s="215" t="n"/>
      <c r="FI22" s="215" t="n"/>
      <c r="FJ22" s="215" t="n"/>
      <c r="FK22" s="215" t="n"/>
      <c r="FL22" s="215" t="n"/>
      <c r="FM22" s="215" t="n"/>
      <c r="FN22" s="215" t="n"/>
      <c r="FO22" s="215" t="n"/>
      <c r="FP22" s="215" t="n"/>
      <c r="FQ22" s="215" t="n"/>
      <c r="FR22" s="215" t="n"/>
      <c r="FS22" s="215" t="n"/>
      <c r="FT22" s="215" t="n"/>
      <c r="FU22" s="215" t="n"/>
      <c r="FV22" s="215" t="n"/>
      <c r="FW22" s="215" t="n"/>
      <c r="FX22" s="215" t="n"/>
      <c r="FY22" s="215" t="n"/>
      <c r="FZ22" s="215" t="n"/>
      <c r="GA22" s="215" t="n"/>
      <c r="GB22" s="215" t="n"/>
      <c r="GC22" s="215" t="n"/>
      <c r="GD22" s="215" t="n"/>
      <c r="GE22" s="215" t="n"/>
      <c r="GF22" s="215" t="n"/>
      <c r="GG22" s="215" t="n"/>
      <c r="GH22" s="215" t="n"/>
      <c r="GI22" s="215" t="n"/>
      <c r="GJ22" s="215" t="n"/>
      <c r="GK22" s="215" t="n"/>
      <c r="GL22" s="215" t="n"/>
      <c r="GM22" s="215" t="n"/>
      <c r="GN22" s="215" t="n"/>
      <c r="GO22" s="215" t="n"/>
      <c r="GP22" s="215" t="n"/>
      <c r="GQ22" s="215" t="n"/>
      <c r="GR22" s="215" t="n"/>
      <c r="GS22" s="215" t="n"/>
      <c r="GT22" s="215" t="n"/>
      <c r="GU22" s="215" t="n"/>
      <c r="GV22" s="215" t="n"/>
      <c r="GW22" s="215" t="n"/>
      <c r="GX22" s="215" t="n"/>
      <c r="GY22" s="215" t="n"/>
      <c r="GZ22" s="215" t="n"/>
      <c r="HA22" s="215" t="n"/>
      <c r="HB22" s="215" t="n"/>
      <c r="HC22" s="215" t="n"/>
      <c r="HD22" s="215" t="n"/>
      <c r="HE22" s="215" t="n"/>
      <c r="HF22" s="215" t="n"/>
      <c r="HG22" s="215" t="n"/>
      <c r="HH22" s="215" t="n"/>
      <c r="HI22" s="215" t="n"/>
      <c r="HJ22" s="215" t="n"/>
      <c r="HK22" s="215" t="n"/>
      <c r="HL22" s="215" t="n"/>
      <c r="HM22" s="215" t="n"/>
      <c r="HN22" s="215" t="n"/>
      <c r="HO22" s="215" t="n"/>
      <c r="HP22" s="215" t="n"/>
      <c r="HQ22" s="215" t="n"/>
      <c r="HR22" s="215" t="n"/>
      <c r="HS22" s="215" t="n"/>
      <c r="HT22" s="215" t="n"/>
      <c r="HU22" s="215" t="n"/>
      <c r="HV22" s="215" t="n"/>
      <c r="HW22" s="215" t="n"/>
      <c r="HX22" s="215" t="n"/>
      <c r="HY22" s="215" t="n"/>
      <c r="HZ22" s="215" t="n"/>
      <c r="IA22" s="215" t="n"/>
      <c r="IB22" s="215" t="n"/>
      <c r="IC22" s="215" t="n"/>
      <c r="ID22" s="215" t="n"/>
      <c r="IE22" s="215" t="n"/>
      <c r="IF22" s="215" t="n"/>
      <c r="IG22" s="215" t="n"/>
      <c r="IH22" s="215" t="n"/>
      <c r="II22" s="215" t="n"/>
      <c r="IJ22" s="215" t="n"/>
      <c r="IK22" s="215" t="n"/>
      <c r="IL22" s="215" t="n"/>
      <c r="IM22" s="215" t="n"/>
      <c r="IN22" s="215" t="n"/>
      <c r="IO22" s="215" t="n"/>
      <c r="IP22" s="215" t="n"/>
      <c r="IQ22" s="215" t="n"/>
      <c r="IR22" s="215" t="n"/>
      <c r="IS22" s="215" t="n"/>
      <c r="IT22" s="215" t="n"/>
      <c r="IU22" s="215" t="n"/>
      <c r="IV22" s="215" t="n"/>
      <c r="IW22" s="215" t="n"/>
      <c r="IX22" s="215" t="n"/>
      <c r="IY22" s="215" t="n"/>
      <c r="IZ22" s="215" t="n"/>
      <c r="JA22" s="215" t="n"/>
      <c r="JB22" s="215" t="n"/>
      <c r="JC22" s="215" t="n"/>
      <c r="JD22" s="215" t="n"/>
      <c r="JE22" s="215" t="n"/>
      <c r="JF22" s="215" t="n"/>
      <c r="JG22" s="215" t="n"/>
      <c r="JH22" s="215" t="n"/>
      <c r="JI22" s="215" t="n"/>
      <c r="JJ22" s="215" t="n"/>
      <c r="JK22" s="215" t="n"/>
      <c r="JL22" s="215" t="n"/>
      <c r="JM22" s="215" t="n"/>
      <c r="JN22" s="215" t="n"/>
      <c r="JO22" s="215" t="n"/>
      <c r="JP22" s="215" t="n"/>
      <c r="JQ22" s="215" t="n"/>
      <c r="JR22" s="215" t="n"/>
      <c r="JS22" s="215" t="n"/>
      <c r="JT22" s="215" t="n"/>
      <c r="JU22" s="215" t="n"/>
      <c r="JV22" s="215" t="n"/>
      <c r="JW22" s="215" t="n"/>
      <c r="JX22" s="215" t="n"/>
      <c r="JY22" s="215" t="n"/>
      <c r="JZ22" s="215" t="n"/>
      <c r="KA22" s="215" t="n"/>
      <c r="KB22" s="215" t="n"/>
      <c r="KC22" s="215" t="n"/>
      <c r="KD22" s="215" t="n"/>
      <c r="KE22" s="215" t="n"/>
      <c r="KF22" s="215" t="n"/>
      <c r="KG22" s="215" t="n"/>
      <c r="KH22" s="215" t="n"/>
      <c r="KI22" s="215" t="n"/>
      <c r="KJ22" s="215" t="n"/>
      <c r="KK22" s="215" t="n"/>
      <c r="KL22" s="215" t="n"/>
      <c r="KM22" s="215" t="n"/>
      <c r="KN22" s="215" t="n"/>
      <c r="KO22" s="215" t="n"/>
      <c r="KP22" s="215" t="n"/>
      <c r="KQ22" s="215" t="n"/>
      <c r="KR22" s="215" t="n"/>
      <c r="KS22" s="215" t="n"/>
      <c r="KT22" s="215" t="n"/>
      <c r="KU22" s="215" t="n"/>
      <c r="KV22" s="215" t="n"/>
      <c r="KW22" s="215" t="n"/>
      <c r="KX22" s="215" t="n"/>
      <c r="KY22" s="215" t="n"/>
      <c r="KZ22" s="215" t="n"/>
      <c r="LA22" s="215" t="n"/>
      <c r="LB22" s="215" t="n"/>
      <c r="LC22" s="215" t="n"/>
      <c r="LD22" s="215" t="n"/>
      <c r="LE22" s="215" t="n"/>
      <c r="LF22" s="215" t="n"/>
      <c r="LG22" s="215" t="n"/>
      <c r="LH22" s="215" t="n"/>
      <c r="LI22" s="215" t="n"/>
      <c r="LJ22" s="215" t="n"/>
      <c r="LK22" s="215" t="n"/>
      <c r="LL22" s="215" t="n"/>
      <c r="LM22" s="215" t="n"/>
      <c r="LN22" s="215" t="n"/>
      <c r="LO22" s="215" t="n"/>
      <c r="LP22" s="215" t="n"/>
      <c r="LQ22" s="215" t="n"/>
      <c r="LR22" s="215" t="n"/>
      <c r="LS22" s="215" t="n"/>
      <c r="LT22" s="215" t="n"/>
      <c r="LU22" s="215" t="n"/>
      <c r="LV22" s="215" t="n"/>
      <c r="LW22" s="215" t="n"/>
      <c r="LX22" s="215" t="n"/>
      <c r="LY22" s="215" t="n"/>
      <c r="LZ22" s="215" t="n"/>
      <c r="MA22" s="215" t="n"/>
      <c r="MB22" s="215" t="n"/>
      <c r="MC22" s="215" t="n"/>
      <c r="MD22" s="215" t="n"/>
      <c r="ME22" s="215" t="n"/>
      <c r="MF22" s="215" t="n"/>
      <c r="MG22" s="215" t="n"/>
      <c r="MH22" s="215" t="n"/>
      <c r="MI22" s="215" t="n"/>
      <c r="MJ22" s="215" t="n"/>
      <c r="MK22" s="215" t="n"/>
      <c r="ML22" s="215" t="n"/>
      <c r="MM22" s="215" t="n"/>
      <c r="MN22" s="215" t="n"/>
      <c r="MO22" s="215" t="n"/>
      <c r="MP22" s="215" t="n"/>
      <c r="MQ22" s="215" t="n"/>
      <c r="MR22" s="215" t="n"/>
      <c r="MS22" s="215" t="n"/>
      <c r="MT22" s="215" t="n"/>
      <c r="MU22" s="215" t="n"/>
      <c r="MV22" s="215" t="n"/>
      <c r="MW22" s="215" t="n"/>
      <c r="MX22" s="215" t="n"/>
      <c r="MY22" s="215" t="n"/>
      <c r="MZ22" s="215" t="n"/>
      <c r="NA22" s="215" t="n"/>
      <c r="NB22" s="215" t="n"/>
      <c r="NC22" s="216">
        <f>SUM(B22:NB22)</f>
        <v/>
      </c>
    </row>
    <row r="23" ht="14.25" customHeight="1" s="166">
      <c r="A23" s="214" t="inlineStr">
        <is>
          <t>Pool Bar &amp; Grill - Drift</t>
        </is>
      </c>
      <c r="B23" s="215" t="n"/>
      <c r="C23" s="215" t="n"/>
      <c r="D23" s="215" t="n"/>
      <c r="E23" s="215" t="n"/>
      <c r="F23" s="215" t="n"/>
      <c r="G23" s="215" t="n"/>
      <c r="H23" s="215" t="n"/>
      <c r="I23" s="215" t="n"/>
      <c r="J23" s="215" t="n"/>
      <c r="K23" s="215" t="n"/>
      <c r="L23" s="215" t="n"/>
      <c r="M23" s="215" t="n"/>
      <c r="N23" s="215" t="n"/>
      <c r="O23" s="215" t="n"/>
      <c r="P23" s="215" t="n"/>
      <c r="Q23" s="215" t="n"/>
      <c r="R23" s="215" t="n"/>
      <c r="S23" s="215" t="n"/>
      <c r="T23" s="215" t="n"/>
      <c r="U23" s="215" t="n"/>
      <c r="V23" s="215" t="n"/>
      <c r="W23" s="215" t="n"/>
      <c r="X23" s="215" t="n"/>
      <c r="Y23" s="215" t="n"/>
      <c r="Z23" s="215" t="n"/>
      <c r="AA23" s="215" t="n"/>
      <c r="AB23" s="215" t="n"/>
      <c r="AC23" s="215" t="n"/>
      <c r="AD23" s="215" t="n"/>
      <c r="AE23" s="215" t="n"/>
      <c r="AF23" s="215" t="n"/>
      <c r="AG23" s="215" t="n"/>
      <c r="AH23" s="215" t="n"/>
      <c r="AI23" s="215" t="n"/>
      <c r="AJ23" s="215" t="n"/>
      <c r="AK23" s="215" t="n"/>
      <c r="AL23" s="215" t="n"/>
      <c r="AM23" s="215" t="n"/>
      <c r="AN23" s="215" t="n"/>
      <c r="AO23" s="215" t="n"/>
      <c r="AP23" s="215" t="n"/>
      <c r="AQ23" s="215" t="n"/>
      <c r="AR23" s="215" t="n"/>
      <c r="AS23" s="215" t="n"/>
      <c r="AT23" s="215" t="n"/>
      <c r="AU23" s="215" t="n"/>
      <c r="AV23" s="215" t="n"/>
      <c r="AW23" s="215" t="n"/>
      <c r="AX23" s="215" t="n"/>
      <c r="AY23" s="215" t="n"/>
      <c r="AZ23" s="215" t="n"/>
      <c r="BA23" s="215" t="n"/>
      <c r="BB23" s="215" t="n"/>
      <c r="BC23" s="215" t="n"/>
      <c r="BD23" s="215" t="n"/>
      <c r="BE23" s="215" t="n"/>
      <c r="BF23" s="215" t="n"/>
      <c r="BG23" s="215" t="n"/>
      <c r="BH23" s="215" t="n"/>
      <c r="BI23" s="215" t="n"/>
      <c r="BJ23" s="215" t="n"/>
      <c r="BK23" s="215" t="n"/>
      <c r="BL23" s="215" t="n"/>
      <c r="BM23" s="215" t="n"/>
      <c r="BN23" s="215" t="n"/>
      <c r="BO23" s="215" t="n"/>
      <c r="BP23" s="215" t="n"/>
      <c r="BQ23" s="215" t="n"/>
      <c r="BR23" s="215" t="n"/>
      <c r="BS23" s="215" t="n"/>
      <c r="BT23" s="215" t="n"/>
      <c r="BU23" s="215" t="n"/>
      <c r="BV23" s="215" t="n"/>
      <c r="BW23" s="215" t="n"/>
      <c r="BX23" s="215" t="n"/>
      <c r="BY23" s="215" t="n"/>
      <c r="BZ23" s="215" t="n"/>
      <c r="CA23" s="215" t="n"/>
      <c r="CB23" s="215" t="n"/>
      <c r="CC23" s="215" t="n"/>
      <c r="CD23" s="215" t="n"/>
      <c r="CE23" s="215" t="n"/>
      <c r="CF23" s="215" t="n"/>
      <c r="CG23" s="215" t="n"/>
      <c r="CH23" s="215" t="n"/>
      <c r="CI23" s="215" t="n"/>
      <c r="CJ23" s="215" t="n"/>
      <c r="CK23" s="215" t="n"/>
      <c r="CL23" s="215" t="n"/>
      <c r="CM23" s="215" t="n"/>
      <c r="CN23" s="215" t="n"/>
      <c r="CO23" s="215" t="n"/>
      <c r="CP23" s="215" t="n"/>
      <c r="CQ23" s="215" t="n"/>
      <c r="CR23" s="215" t="n"/>
      <c r="CS23" s="215" t="n"/>
      <c r="CT23" s="215" t="n"/>
      <c r="CU23" s="215" t="n"/>
      <c r="CV23" s="215" t="n"/>
      <c r="CW23" s="215" t="n"/>
      <c r="CX23" s="215" t="n"/>
      <c r="CY23" s="215" t="n"/>
      <c r="CZ23" s="215" t="n"/>
      <c r="DA23" s="215" t="n"/>
      <c r="DB23" s="215" t="n"/>
      <c r="DC23" s="215" t="n"/>
      <c r="DD23" s="215" t="n"/>
      <c r="DE23" s="215" t="n"/>
      <c r="DF23" s="215" t="n"/>
      <c r="DG23" s="215" t="n"/>
      <c r="DH23" s="215" t="n"/>
      <c r="DI23" s="215" t="n"/>
      <c r="DJ23" s="215" t="n"/>
      <c r="DK23" s="215" t="n"/>
      <c r="DL23" s="215" t="n"/>
      <c r="DM23" s="215" t="n"/>
      <c r="DN23" s="215" t="n"/>
      <c r="DO23" s="215" t="n"/>
      <c r="DP23" s="215" t="n"/>
      <c r="DQ23" s="215" t="n"/>
      <c r="DR23" s="215" t="n"/>
      <c r="DS23" s="215" t="n"/>
      <c r="DT23" s="215" t="n"/>
      <c r="DU23" s="215" t="n"/>
      <c r="DV23" s="215" t="n"/>
      <c r="DW23" s="215" t="n"/>
      <c r="DX23" s="215" t="n"/>
      <c r="DY23" s="215" t="n"/>
      <c r="DZ23" s="215" t="n"/>
      <c r="EA23" s="215" t="n"/>
      <c r="EB23" s="215" t="n"/>
      <c r="EC23" s="215" t="n"/>
      <c r="ED23" s="215" t="n"/>
      <c r="EE23" s="215" t="n"/>
      <c r="EF23" s="215" t="n"/>
      <c r="EG23" s="215" t="n"/>
      <c r="EH23" s="215" t="n"/>
      <c r="EI23" s="215" t="n"/>
      <c r="EJ23" s="215" t="n"/>
      <c r="EK23" s="215" t="n"/>
      <c r="EL23" s="215" t="n"/>
      <c r="EM23" s="215" t="n"/>
      <c r="EN23" s="215" t="n"/>
      <c r="EO23" s="215" t="n"/>
      <c r="EP23" s="215" t="n"/>
      <c r="EQ23" s="215" t="n"/>
      <c r="ER23" s="215" t="n"/>
      <c r="ES23" s="215" t="n"/>
      <c r="ET23" s="215" t="n"/>
      <c r="EU23" s="215" t="n"/>
      <c r="EV23" s="215" t="n"/>
      <c r="EW23" s="215" t="n"/>
      <c r="EX23" s="215" t="n"/>
      <c r="EY23" s="215" t="n"/>
      <c r="EZ23" s="215" t="n"/>
      <c r="FA23" s="215" t="n"/>
      <c r="FB23" s="215" t="n"/>
      <c r="FC23" s="215" t="n"/>
      <c r="FD23" s="215" t="n"/>
      <c r="FE23" s="215" t="n"/>
      <c r="FF23" s="215" t="n"/>
      <c r="FG23" s="215" t="n"/>
      <c r="FH23" s="215" t="n"/>
      <c r="FI23" s="215" t="n"/>
      <c r="FJ23" s="215" t="n"/>
      <c r="FK23" s="215" t="n"/>
      <c r="FL23" s="215" t="n"/>
      <c r="FM23" s="215" t="n"/>
      <c r="FN23" s="215" t="n"/>
      <c r="FO23" s="215" t="n"/>
      <c r="FP23" s="215" t="n"/>
      <c r="FQ23" s="215" t="n"/>
      <c r="FR23" s="215" t="n"/>
      <c r="FS23" s="215" t="n"/>
      <c r="FT23" s="215" t="n"/>
      <c r="FU23" s="215" t="n"/>
      <c r="FV23" s="215" t="n"/>
      <c r="FW23" s="215" t="n"/>
      <c r="FX23" s="215" t="n"/>
      <c r="FY23" s="215" t="n"/>
      <c r="FZ23" s="215" t="n"/>
      <c r="GA23" s="215" t="n"/>
      <c r="GB23" s="215" t="n"/>
      <c r="GC23" s="215" t="n"/>
      <c r="GD23" s="215" t="n"/>
      <c r="GE23" s="215" t="n"/>
      <c r="GF23" s="215" t="n"/>
      <c r="GG23" s="215" t="n"/>
      <c r="GH23" s="215" t="n"/>
      <c r="GI23" s="215" t="n"/>
      <c r="GJ23" s="215" t="n"/>
      <c r="GK23" s="215" t="n"/>
      <c r="GL23" s="215" t="n"/>
      <c r="GM23" s="215" t="n"/>
      <c r="GN23" s="215" t="n"/>
      <c r="GO23" s="215" t="n"/>
      <c r="GP23" s="215" t="n"/>
      <c r="GQ23" s="215" t="n"/>
      <c r="GR23" s="215" t="n"/>
      <c r="GS23" s="215" t="n"/>
      <c r="GT23" s="215" t="n"/>
      <c r="GU23" s="215" t="n"/>
      <c r="GV23" s="215" t="n"/>
      <c r="GW23" s="215" t="n"/>
      <c r="GX23" s="215" t="n"/>
      <c r="GY23" s="215" t="n"/>
      <c r="GZ23" s="215" t="n"/>
      <c r="HA23" s="215" t="n"/>
      <c r="HB23" s="215" t="n"/>
      <c r="HC23" s="215" t="n"/>
      <c r="HD23" s="215" t="n"/>
      <c r="HE23" s="215" t="n"/>
      <c r="HF23" s="215" t="n"/>
      <c r="HG23" s="215" t="n"/>
      <c r="HH23" s="215" t="n"/>
      <c r="HI23" s="215" t="n"/>
      <c r="HJ23" s="215" t="n"/>
      <c r="HK23" s="215" t="n"/>
      <c r="HL23" s="215" t="n"/>
      <c r="HM23" s="215" t="n"/>
      <c r="HN23" s="215" t="n"/>
      <c r="HO23" s="215" t="n"/>
      <c r="HP23" s="215" t="n"/>
      <c r="HQ23" s="215" t="n"/>
      <c r="HR23" s="215" t="n"/>
      <c r="HS23" s="215" t="n"/>
      <c r="HT23" s="215" t="n"/>
      <c r="HU23" s="215" t="n"/>
      <c r="HV23" s="215" t="n"/>
      <c r="HW23" s="215" t="n"/>
      <c r="HX23" s="215" t="n"/>
      <c r="HY23" s="215" t="n"/>
      <c r="HZ23" s="215" t="n"/>
      <c r="IA23" s="215" t="n"/>
      <c r="IB23" s="215" t="n"/>
      <c r="IC23" s="215" t="n"/>
      <c r="ID23" s="215" t="n"/>
      <c r="IE23" s="215" t="n"/>
      <c r="IF23" s="215" t="n"/>
      <c r="IG23" s="215" t="n"/>
      <c r="IH23" s="215" t="n"/>
      <c r="II23" s="215" t="n"/>
      <c r="IJ23" s="215" t="n"/>
      <c r="IK23" s="215" t="n"/>
      <c r="IL23" s="215" t="n"/>
      <c r="IM23" s="215" t="n"/>
      <c r="IN23" s="215" t="n"/>
      <c r="IO23" s="215" t="n"/>
      <c r="IP23" s="215" t="n"/>
      <c r="IQ23" s="215" t="n"/>
      <c r="IR23" s="215" t="n"/>
      <c r="IS23" s="215" t="n"/>
      <c r="IT23" s="215" t="n"/>
      <c r="IU23" s="215" t="n"/>
      <c r="IV23" s="215" t="n"/>
      <c r="IW23" s="215" t="n"/>
      <c r="IX23" s="215" t="n"/>
      <c r="IY23" s="215" t="n"/>
      <c r="IZ23" s="215" t="n"/>
      <c r="JA23" s="215" t="n"/>
      <c r="JB23" s="215" t="n"/>
      <c r="JC23" s="215" t="n"/>
      <c r="JD23" s="215" t="n"/>
      <c r="JE23" s="215" t="n"/>
      <c r="JF23" s="215" t="n"/>
      <c r="JG23" s="215" t="n"/>
      <c r="JH23" s="215" t="n"/>
      <c r="JI23" s="215" t="n"/>
      <c r="JJ23" s="215" t="n"/>
      <c r="JK23" s="215" t="n"/>
      <c r="JL23" s="215" t="n"/>
      <c r="JM23" s="215" t="n"/>
      <c r="JN23" s="215" t="n"/>
      <c r="JO23" s="215" t="n"/>
      <c r="JP23" s="215" t="n"/>
      <c r="JQ23" s="215" t="n"/>
      <c r="JR23" s="215" t="n"/>
      <c r="JS23" s="215" t="n"/>
      <c r="JT23" s="215" t="n"/>
      <c r="JU23" s="215" t="n"/>
      <c r="JV23" s="215" t="n"/>
      <c r="JW23" s="215" t="n"/>
      <c r="JX23" s="215" t="n"/>
      <c r="JY23" s="215" t="n"/>
      <c r="JZ23" s="215" t="n"/>
      <c r="KA23" s="215" t="n"/>
      <c r="KB23" s="215" t="n"/>
      <c r="KC23" s="215" t="n"/>
      <c r="KD23" s="215" t="n"/>
      <c r="KE23" s="215" t="n"/>
      <c r="KF23" s="215" t="n"/>
      <c r="KG23" s="215" t="n"/>
      <c r="KH23" s="215" t="n"/>
      <c r="KI23" s="215" t="n"/>
      <c r="KJ23" s="215" t="n"/>
      <c r="KK23" s="215" t="n"/>
      <c r="KL23" s="215" t="n"/>
      <c r="KM23" s="215" t="n"/>
      <c r="KN23" s="215" t="n"/>
      <c r="KO23" s="215" t="n"/>
      <c r="KP23" s="215" t="n"/>
      <c r="KQ23" s="215" t="n"/>
      <c r="KR23" s="215" t="n"/>
      <c r="KS23" s="215" t="n"/>
      <c r="KT23" s="215" t="n"/>
      <c r="KU23" s="215" t="n"/>
      <c r="KV23" s="215" t="n"/>
      <c r="KW23" s="215" t="n"/>
      <c r="KX23" s="215" t="n"/>
      <c r="KY23" s="215" t="n"/>
      <c r="KZ23" s="215" t="n"/>
      <c r="LA23" s="215" t="n"/>
      <c r="LB23" s="215" t="n"/>
      <c r="LC23" s="215" t="n"/>
      <c r="LD23" s="215" t="n"/>
      <c r="LE23" s="215" t="n"/>
      <c r="LF23" s="215" t="n"/>
      <c r="LG23" s="215" t="n"/>
      <c r="LH23" s="215" t="n"/>
      <c r="LI23" s="215" t="n"/>
      <c r="LJ23" s="215" t="n"/>
      <c r="LK23" s="215" t="n"/>
      <c r="LL23" s="215" t="n"/>
      <c r="LM23" s="215" t="n"/>
      <c r="LN23" s="215" t="n"/>
      <c r="LO23" s="215" t="n"/>
      <c r="LP23" s="215" t="n"/>
      <c r="LQ23" s="215" t="n"/>
      <c r="LR23" s="215" t="n"/>
      <c r="LS23" s="215" t="n"/>
      <c r="LT23" s="215" t="n"/>
      <c r="LU23" s="215" t="n"/>
      <c r="LV23" s="215" t="n"/>
      <c r="LW23" s="215" t="n"/>
      <c r="LX23" s="215" t="n"/>
      <c r="LY23" s="215" t="n"/>
      <c r="LZ23" s="215" t="n"/>
      <c r="MA23" s="215" t="n"/>
      <c r="MB23" s="215" t="n"/>
      <c r="MC23" s="215" t="n"/>
      <c r="MD23" s="215" t="n"/>
      <c r="ME23" s="215" t="n"/>
      <c r="MF23" s="215" t="n"/>
      <c r="MG23" s="215" t="n"/>
      <c r="MH23" s="215" t="n"/>
      <c r="MI23" s="215" t="n"/>
      <c r="MJ23" s="215" t="n"/>
      <c r="MK23" s="215" t="n"/>
      <c r="ML23" s="215" t="n"/>
      <c r="MM23" s="215" t="n"/>
      <c r="MN23" s="215" t="n"/>
      <c r="MO23" s="215" t="n"/>
      <c r="MP23" s="215" t="n"/>
      <c r="MQ23" s="215" t="n"/>
      <c r="MR23" s="215" t="n"/>
      <c r="MS23" s="215" t="n"/>
      <c r="MT23" s="215" t="n"/>
      <c r="MU23" s="215" t="n"/>
      <c r="MV23" s="215" t="n"/>
      <c r="MW23" s="215" t="n"/>
      <c r="MX23" s="215" t="n"/>
      <c r="MY23" s="215" t="n"/>
      <c r="MZ23" s="215" t="n"/>
      <c r="NA23" s="215" t="n"/>
      <c r="NB23" s="215" t="n"/>
      <c r="NC23" s="216">
        <f>SUM(B23:NB23)</f>
        <v/>
      </c>
    </row>
    <row r="24" ht="14.25" customHeight="1" s="166">
      <c r="A24" s="214" t="inlineStr">
        <is>
          <t>Main Kitchen</t>
        </is>
      </c>
      <c r="B24" s="215" t="n"/>
      <c r="C24" s="215" t="n"/>
      <c r="D24" s="215" t="n"/>
      <c r="E24" s="215" t="n"/>
      <c r="F24" s="215" t="n"/>
      <c r="G24" s="215" t="n"/>
      <c r="H24" s="215" t="n"/>
      <c r="I24" s="215" t="n"/>
      <c r="J24" s="215" t="n"/>
      <c r="K24" s="215" t="n"/>
      <c r="L24" s="215" t="n"/>
      <c r="M24" s="215" t="n"/>
      <c r="N24" s="215" t="n"/>
      <c r="O24" s="215" t="n"/>
      <c r="P24" s="215" t="n"/>
      <c r="Q24" s="215" t="n"/>
      <c r="R24" s="215" t="n"/>
      <c r="S24" s="215" t="n"/>
      <c r="T24" s="215" t="n"/>
      <c r="U24" s="215" t="n"/>
      <c r="V24" s="215" t="n"/>
      <c r="W24" s="215" t="n"/>
      <c r="X24" s="215" t="n"/>
      <c r="Y24" s="215" t="n"/>
      <c r="Z24" s="215" t="n"/>
      <c r="AA24" s="215" t="n"/>
      <c r="AB24" s="215" t="n"/>
      <c r="AC24" s="215" t="n"/>
      <c r="AD24" s="215" t="n"/>
      <c r="AE24" s="215" t="n"/>
      <c r="AF24" s="215" t="n"/>
      <c r="AG24" s="215" t="n"/>
      <c r="AH24" s="215" t="n"/>
      <c r="AI24" s="215" t="n"/>
      <c r="AJ24" s="215" t="n"/>
      <c r="AK24" s="215" t="n"/>
      <c r="AL24" s="215" t="n"/>
      <c r="AM24" s="215" t="n"/>
      <c r="AN24" s="215" t="n"/>
      <c r="AO24" s="215" t="n"/>
      <c r="AP24" s="215" t="n"/>
      <c r="AQ24" s="215" t="n"/>
      <c r="AR24" s="215" t="n"/>
      <c r="AS24" s="215" t="n"/>
      <c r="AT24" s="215" t="n"/>
      <c r="AU24" s="215" t="n"/>
      <c r="AV24" s="215" t="n"/>
      <c r="AW24" s="215" t="n"/>
      <c r="AX24" s="215" t="n"/>
      <c r="AY24" s="215" t="n"/>
      <c r="AZ24" s="215" t="n"/>
      <c r="BA24" s="215" t="n"/>
      <c r="BB24" s="215" t="n"/>
      <c r="BC24" s="215" t="n"/>
      <c r="BD24" s="215" t="n"/>
      <c r="BE24" s="215" t="n"/>
      <c r="BF24" s="215" t="n"/>
      <c r="BG24" s="215" t="n"/>
      <c r="BH24" s="215" t="n"/>
      <c r="BI24" s="215" t="n"/>
      <c r="BJ24" s="215" t="n"/>
      <c r="BK24" s="215" t="n"/>
      <c r="BL24" s="215" t="n"/>
      <c r="BM24" s="215" t="n"/>
      <c r="BN24" s="215" t="n"/>
      <c r="BO24" s="215" t="n"/>
      <c r="BP24" s="215" t="n"/>
      <c r="BQ24" s="215" t="n"/>
      <c r="BR24" s="215" t="n"/>
      <c r="BS24" s="215" t="n"/>
      <c r="BT24" s="215" t="n"/>
      <c r="BU24" s="215" t="n"/>
      <c r="BV24" s="215" t="n"/>
      <c r="BW24" s="215" t="n"/>
      <c r="BX24" s="215" t="n"/>
      <c r="BY24" s="215" t="n"/>
      <c r="BZ24" s="215" t="n"/>
      <c r="CA24" s="215" t="n"/>
      <c r="CB24" s="215" t="n"/>
      <c r="CC24" s="215" t="n"/>
      <c r="CD24" s="215" t="n"/>
      <c r="CE24" s="215" t="n"/>
      <c r="CF24" s="215" t="n"/>
      <c r="CG24" s="215" t="n"/>
      <c r="CH24" s="215" t="n"/>
      <c r="CI24" s="215" t="n"/>
      <c r="CJ24" s="215" t="n"/>
      <c r="CK24" s="215" t="n"/>
      <c r="CL24" s="215" t="n"/>
      <c r="CM24" s="215" t="n"/>
      <c r="CN24" s="215" t="n"/>
      <c r="CO24" s="215" t="n"/>
      <c r="CP24" s="215" t="n"/>
      <c r="CQ24" s="215" t="n"/>
      <c r="CR24" s="215" t="n"/>
      <c r="CS24" s="215" t="n"/>
      <c r="CT24" s="215" t="n"/>
      <c r="CU24" s="215" t="n"/>
      <c r="CV24" s="215" t="n"/>
      <c r="CW24" s="215" t="n"/>
      <c r="CX24" s="215" t="n"/>
      <c r="CY24" s="215" t="n"/>
      <c r="CZ24" s="215" t="n"/>
      <c r="DA24" s="215" t="n"/>
      <c r="DB24" s="215" t="n"/>
      <c r="DC24" s="215" t="n"/>
      <c r="DD24" s="215" t="n"/>
      <c r="DE24" s="215" t="n"/>
      <c r="DF24" s="215" t="n"/>
      <c r="DG24" s="215" t="n"/>
      <c r="DH24" s="215" t="n"/>
      <c r="DI24" s="215" t="n"/>
      <c r="DJ24" s="215" t="n"/>
      <c r="DK24" s="215" t="n"/>
      <c r="DL24" s="215" t="n"/>
      <c r="DM24" s="215" t="n"/>
      <c r="DN24" s="215" t="n"/>
      <c r="DO24" s="215" t="n"/>
      <c r="DP24" s="215" t="n"/>
      <c r="DQ24" s="215" t="n"/>
      <c r="DR24" s="215" t="n"/>
      <c r="DS24" s="215" t="n"/>
      <c r="DT24" s="215" t="n"/>
      <c r="DU24" s="215" t="n"/>
      <c r="DV24" s="215" t="n"/>
      <c r="DW24" s="215" t="n"/>
      <c r="DX24" s="215" t="n"/>
      <c r="DY24" s="215" t="n"/>
      <c r="DZ24" s="215" t="n"/>
      <c r="EA24" s="215" t="n"/>
      <c r="EB24" s="215" t="n"/>
      <c r="EC24" s="215" t="n"/>
      <c r="ED24" s="215" t="n"/>
      <c r="EE24" s="215" t="n"/>
      <c r="EF24" s="215" t="n"/>
      <c r="EG24" s="215" t="n"/>
      <c r="EH24" s="215" t="n"/>
      <c r="EI24" s="215" t="n"/>
      <c r="EJ24" s="215" t="n"/>
      <c r="EK24" s="215" t="n"/>
      <c r="EL24" s="215" t="n"/>
      <c r="EM24" s="215" t="n"/>
      <c r="EN24" s="215" t="n"/>
      <c r="EO24" s="215" t="n"/>
      <c r="EP24" s="215" t="n"/>
      <c r="EQ24" s="215" t="n"/>
      <c r="ER24" s="215" t="n"/>
      <c r="ES24" s="215" t="n"/>
      <c r="ET24" s="215" t="n"/>
      <c r="EU24" s="215" t="n"/>
      <c r="EV24" s="215" t="n"/>
      <c r="EW24" s="215" t="n"/>
      <c r="EX24" s="215" t="n"/>
      <c r="EY24" s="215" t="n"/>
      <c r="EZ24" s="215" t="n"/>
      <c r="FA24" s="215" t="n"/>
      <c r="FB24" s="215" t="n"/>
      <c r="FC24" s="215" t="n"/>
      <c r="FD24" s="215" t="n"/>
      <c r="FE24" s="215" t="n"/>
      <c r="FF24" s="215" t="n"/>
      <c r="FG24" s="215" t="n"/>
      <c r="FH24" s="215" t="n"/>
      <c r="FI24" s="215" t="n"/>
      <c r="FJ24" s="215" t="n"/>
      <c r="FK24" s="215" t="n"/>
      <c r="FL24" s="215" t="n"/>
      <c r="FM24" s="215" t="n"/>
      <c r="FN24" s="215" t="n"/>
      <c r="FO24" s="215" t="n"/>
      <c r="FP24" s="215" t="n"/>
      <c r="FQ24" s="215" t="n"/>
      <c r="FR24" s="215" t="n"/>
      <c r="FS24" s="215" t="n"/>
      <c r="FT24" s="215" t="n"/>
      <c r="FU24" s="215" t="n"/>
      <c r="FV24" s="215" t="n"/>
      <c r="FW24" s="215" t="n"/>
      <c r="FX24" s="215" t="n"/>
      <c r="FY24" s="215" t="n"/>
      <c r="FZ24" s="215" t="n"/>
      <c r="GA24" s="215" t="n"/>
      <c r="GB24" s="215" t="n"/>
      <c r="GC24" s="215" t="n"/>
      <c r="GD24" s="215" t="n"/>
      <c r="GE24" s="215" t="n"/>
      <c r="GF24" s="215" t="n"/>
      <c r="GG24" s="215" t="n"/>
      <c r="GH24" s="215" t="n"/>
      <c r="GI24" s="215" t="n"/>
      <c r="GJ24" s="215" t="n"/>
      <c r="GK24" s="215" t="n"/>
      <c r="GL24" s="215" t="n"/>
      <c r="GM24" s="215" t="n"/>
      <c r="GN24" s="215" t="n"/>
      <c r="GO24" s="215" t="n"/>
      <c r="GP24" s="215" t="n"/>
      <c r="GQ24" s="215" t="n"/>
      <c r="GR24" s="215" t="n"/>
      <c r="GS24" s="215" t="n"/>
      <c r="GT24" s="215" t="n"/>
      <c r="GU24" s="215" t="n"/>
      <c r="GV24" s="215" t="n"/>
      <c r="GW24" s="215" t="n"/>
      <c r="GX24" s="215" t="n"/>
      <c r="GY24" s="215" t="n"/>
      <c r="GZ24" s="215" t="n"/>
      <c r="HA24" s="215" t="n"/>
      <c r="HB24" s="215" t="n"/>
      <c r="HC24" s="215" t="n"/>
      <c r="HD24" s="215" t="n"/>
      <c r="HE24" s="215" t="n"/>
      <c r="HF24" s="215" t="n"/>
      <c r="HG24" s="215" t="n"/>
      <c r="HH24" s="215" t="n"/>
      <c r="HI24" s="215" t="n"/>
      <c r="HJ24" s="215" t="n"/>
      <c r="HK24" s="215" t="n"/>
      <c r="HL24" s="215" t="n"/>
      <c r="HM24" s="215" t="n"/>
      <c r="HN24" s="215" t="n"/>
      <c r="HO24" s="215" t="n"/>
      <c r="HP24" s="215" t="n"/>
      <c r="HQ24" s="215" t="n"/>
      <c r="HR24" s="215" t="n"/>
      <c r="HS24" s="215" t="n"/>
      <c r="HT24" s="215" t="n"/>
      <c r="HU24" s="215" t="n"/>
      <c r="HV24" s="215" t="n"/>
      <c r="HW24" s="215" t="n"/>
      <c r="HX24" s="215" t="n"/>
      <c r="HY24" s="215" t="n"/>
      <c r="HZ24" s="215" t="n"/>
      <c r="IA24" s="215" t="n"/>
      <c r="IB24" s="215" t="n"/>
      <c r="IC24" s="215" t="n"/>
      <c r="ID24" s="215" t="n"/>
      <c r="IE24" s="215" t="n"/>
      <c r="IF24" s="215" t="n"/>
      <c r="IG24" s="215" t="n"/>
      <c r="IH24" s="215" t="n"/>
      <c r="II24" s="215" t="n"/>
      <c r="IJ24" s="215" t="n"/>
      <c r="IK24" s="215" t="n"/>
      <c r="IL24" s="215" t="n"/>
      <c r="IM24" s="215" t="n"/>
      <c r="IN24" s="215" t="n"/>
      <c r="IO24" s="215" t="n"/>
      <c r="IP24" s="215" t="n"/>
      <c r="IQ24" s="215" t="n"/>
      <c r="IR24" s="215" t="n"/>
      <c r="IS24" s="215" t="n"/>
      <c r="IT24" s="215" t="n"/>
      <c r="IU24" s="215" t="n"/>
      <c r="IV24" s="215" t="n"/>
      <c r="IW24" s="215" t="n"/>
      <c r="IX24" s="215" t="n"/>
      <c r="IY24" s="215" t="n"/>
      <c r="IZ24" s="215" t="n"/>
      <c r="JA24" s="215" t="n"/>
      <c r="JB24" s="215" t="n"/>
      <c r="JC24" s="215" t="n"/>
      <c r="JD24" s="215" t="n"/>
      <c r="JE24" s="215" t="n"/>
      <c r="JF24" s="215" t="n"/>
      <c r="JG24" s="215" t="n"/>
      <c r="JH24" s="215" t="n"/>
      <c r="JI24" s="215" t="n"/>
      <c r="JJ24" s="215" t="n"/>
      <c r="JK24" s="215" t="n"/>
      <c r="JL24" s="215" t="n"/>
      <c r="JM24" s="215" t="n"/>
      <c r="JN24" s="215" t="n"/>
      <c r="JO24" s="215" t="n"/>
      <c r="JP24" s="215" t="n"/>
      <c r="JQ24" s="215" t="n"/>
      <c r="JR24" s="215" t="n"/>
      <c r="JS24" s="215" t="n"/>
      <c r="JT24" s="215" t="n"/>
      <c r="JU24" s="215" t="n"/>
      <c r="JV24" s="215" t="n"/>
      <c r="JW24" s="215" t="n"/>
      <c r="JX24" s="215" t="n"/>
      <c r="JY24" s="215" t="n"/>
      <c r="JZ24" s="215" t="n"/>
      <c r="KA24" s="215" t="n"/>
      <c r="KB24" s="215" t="n"/>
      <c r="KC24" s="215" t="n"/>
      <c r="KD24" s="215" t="n"/>
      <c r="KE24" s="215" t="n"/>
      <c r="KF24" s="215" t="n"/>
      <c r="KG24" s="215" t="n"/>
      <c r="KH24" s="215" t="n"/>
      <c r="KI24" s="215" t="n"/>
      <c r="KJ24" s="215" t="n"/>
      <c r="KK24" s="215" t="n"/>
      <c r="KL24" s="215" t="n"/>
      <c r="KM24" s="215" t="n"/>
      <c r="KN24" s="215" t="n"/>
      <c r="KO24" s="215" t="n"/>
      <c r="KP24" s="215" t="n"/>
      <c r="KQ24" s="215" t="n"/>
      <c r="KR24" s="215" t="n"/>
      <c r="KS24" s="215" t="n"/>
      <c r="KT24" s="215" t="n"/>
      <c r="KU24" s="215" t="n"/>
      <c r="KV24" s="215" t="n"/>
      <c r="KW24" s="215" t="n"/>
      <c r="KX24" s="215" t="n"/>
      <c r="KY24" s="215" t="n"/>
      <c r="KZ24" s="215" t="n"/>
      <c r="LA24" s="215" t="n"/>
      <c r="LB24" s="215" t="n"/>
      <c r="LC24" s="215" t="n"/>
      <c r="LD24" s="215" t="n"/>
      <c r="LE24" s="215" t="n"/>
      <c r="LF24" s="215" t="n"/>
      <c r="LG24" s="215" t="n"/>
      <c r="LH24" s="215" t="n"/>
      <c r="LI24" s="215" t="n"/>
      <c r="LJ24" s="215" t="n"/>
      <c r="LK24" s="215" t="n"/>
      <c r="LL24" s="215" t="n"/>
      <c r="LM24" s="215" t="n"/>
      <c r="LN24" s="215" t="n"/>
      <c r="LO24" s="215" t="n"/>
      <c r="LP24" s="215" t="n"/>
      <c r="LQ24" s="215" t="n"/>
      <c r="LR24" s="215" t="n"/>
      <c r="LS24" s="215" t="n"/>
      <c r="LT24" s="215" t="n"/>
      <c r="LU24" s="215" t="n"/>
      <c r="LV24" s="215" t="n"/>
      <c r="LW24" s="215" t="n"/>
      <c r="LX24" s="215" t="n"/>
      <c r="LY24" s="215" t="n"/>
      <c r="LZ24" s="215" t="n"/>
      <c r="MA24" s="215" t="n"/>
      <c r="MB24" s="215" t="n"/>
      <c r="MC24" s="215" t="n"/>
      <c r="MD24" s="215" t="n"/>
      <c r="ME24" s="215" t="n"/>
      <c r="MF24" s="215" t="n"/>
      <c r="MG24" s="215" t="n"/>
      <c r="MH24" s="215" t="n"/>
      <c r="MI24" s="215" t="n"/>
      <c r="MJ24" s="215" t="n"/>
      <c r="MK24" s="215" t="n"/>
      <c r="ML24" s="215" t="n"/>
      <c r="MM24" s="215" t="n"/>
      <c r="MN24" s="215" t="n"/>
      <c r="MO24" s="215" t="n"/>
      <c r="MP24" s="215" t="n"/>
      <c r="MQ24" s="215" t="n"/>
      <c r="MR24" s="215" t="n"/>
      <c r="MS24" s="215" t="n"/>
      <c r="MT24" s="215" t="n"/>
      <c r="MU24" s="215" t="n"/>
      <c r="MV24" s="215" t="n"/>
      <c r="MW24" s="215" t="n"/>
      <c r="MX24" s="215" t="n"/>
      <c r="MY24" s="215" t="n"/>
      <c r="MZ24" s="215" t="n"/>
      <c r="NA24" s="215" t="n"/>
      <c r="NB24" s="215" t="n"/>
      <c r="NC24" s="216">
        <f>SUM(B24:NB24)</f>
        <v/>
      </c>
    </row>
    <row r="25" ht="14.25" customHeight="1" s="166">
      <c r="A25" s="214" t="inlineStr">
        <is>
          <t>Amalfi</t>
        </is>
      </c>
      <c r="B25" s="215" t="n"/>
      <c r="C25" s="215" t="n"/>
      <c r="D25" s="215" t="n"/>
      <c r="E25" s="215" t="n"/>
      <c r="F25" s="215" t="n"/>
      <c r="G25" s="215" t="n"/>
      <c r="H25" s="215" t="n"/>
      <c r="I25" s="215" t="n"/>
      <c r="J25" s="215" t="n"/>
      <c r="K25" s="215" t="n"/>
      <c r="L25" s="215" t="n"/>
      <c r="M25" s="215" t="n"/>
      <c r="N25" s="215" t="n"/>
      <c r="O25" s="215" t="n"/>
      <c r="P25" s="215" t="n"/>
      <c r="Q25" s="215" t="n"/>
      <c r="R25" s="215" t="n"/>
      <c r="S25" s="215" t="n"/>
      <c r="T25" s="215" t="n"/>
      <c r="U25" s="215" t="n"/>
      <c r="V25" s="215" t="n"/>
      <c r="W25" s="215" t="n"/>
      <c r="X25" s="215" t="n"/>
      <c r="Y25" s="215" t="n"/>
      <c r="Z25" s="215" t="n"/>
      <c r="AA25" s="215" t="n"/>
      <c r="AB25" s="215" t="n"/>
      <c r="AC25" s="215" t="n"/>
      <c r="AD25" s="215" t="n"/>
      <c r="AE25" s="215" t="n"/>
      <c r="AF25" s="215" t="n"/>
      <c r="AG25" s="215" t="n"/>
      <c r="AH25" s="215" t="n"/>
      <c r="AI25" s="215" t="n"/>
      <c r="AJ25" s="215" t="n"/>
      <c r="AK25" s="215" t="n"/>
      <c r="AL25" s="215" t="n"/>
      <c r="AM25" s="215" t="n"/>
      <c r="AN25" s="215" t="n"/>
      <c r="AO25" s="215" t="n"/>
      <c r="AP25" s="215" t="n"/>
      <c r="AQ25" s="215" t="n"/>
      <c r="AR25" s="215" t="n"/>
      <c r="AS25" s="215" t="n"/>
      <c r="AT25" s="215" t="n"/>
      <c r="AU25" s="215" t="n"/>
      <c r="AV25" s="215" t="n"/>
      <c r="AW25" s="215" t="n"/>
      <c r="AX25" s="215" t="n"/>
      <c r="AY25" s="215" t="n"/>
      <c r="AZ25" s="215" t="n"/>
      <c r="BA25" s="215" t="n"/>
      <c r="BB25" s="215" t="n"/>
      <c r="BC25" s="215" t="n"/>
      <c r="BD25" s="215" t="n"/>
      <c r="BE25" s="215" t="n"/>
      <c r="BF25" s="215" t="n"/>
      <c r="BG25" s="215" t="n"/>
      <c r="BH25" s="215" t="n"/>
      <c r="BI25" s="215" t="n"/>
      <c r="BJ25" s="215" t="n"/>
      <c r="BK25" s="215" t="n"/>
      <c r="BL25" s="215" t="n"/>
      <c r="BM25" s="215" t="n"/>
      <c r="BN25" s="215" t="n"/>
      <c r="BO25" s="215" t="n"/>
      <c r="BP25" s="215" t="n"/>
      <c r="BQ25" s="215" t="n"/>
      <c r="BR25" s="215" t="n"/>
      <c r="BS25" s="215" t="n"/>
      <c r="BT25" s="215" t="n"/>
      <c r="BU25" s="215" t="n"/>
      <c r="BV25" s="215" t="n"/>
      <c r="BW25" s="215" t="n"/>
      <c r="BX25" s="215" t="n"/>
      <c r="BY25" s="215" t="n"/>
      <c r="BZ25" s="215" t="n"/>
      <c r="CA25" s="215" t="n"/>
      <c r="CB25" s="215" t="n"/>
      <c r="CC25" s="215" t="n"/>
      <c r="CD25" s="215" t="n"/>
      <c r="CE25" s="215" t="n"/>
      <c r="CF25" s="215" t="n"/>
      <c r="CG25" s="215" t="n"/>
      <c r="CH25" s="215" t="n"/>
      <c r="CI25" s="215" t="n"/>
      <c r="CJ25" s="215" t="n"/>
      <c r="CK25" s="215" t="n"/>
      <c r="CL25" s="215" t="n"/>
      <c r="CM25" s="215" t="n"/>
      <c r="CN25" s="215" t="n"/>
      <c r="CO25" s="215" t="n"/>
      <c r="CP25" s="215" t="n"/>
      <c r="CQ25" s="215" t="n"/>
      <c r="CR25" s="215" t="n"/>
      <c r="CS25" s="215" t="n"/>
      <c r="CT25" s="215" t="n"/>
      <c r="CU25" s="215" t="n"/>
      <c r="CV25" s="215" t="n"/>
      <c r="CW25" s="215" t="n"/>
      <c r="CX25" s="215" t="n"/>
      <c r="CY25" s="215" t="n"/>
      <c r="CZ25" s="215" t="n"/>
      <c r="DA25" s="215" t="n"/>
      <c r="DB25" s="215" t="n"/>
      <c r="DC25" s="215" t="n"/>
      <c r="DD25" s="215" t="n"/>
      <c r="DE25" s="215" t="n"/>
      <c r="DF25" s="215" t="n"/>
      <c r="DG25" s="215" t="n"/>
      <c r="DH25" s="215" t="n"/>
      <c r="DI25" s="215" t="n"/>
      <c r="DJ25" s="215" t="n"/>
      <c r="DK25" s="215" t="n"/>
      <c r="DL25" s="215" t="n"/>
      <c r="DM25" s="215" t="n"/>
      <c r="DN25" s="215" t="n"/>
      <c r="DO25" s="215" t="n"/>
      <c r="DP25" s="215" t="n"/>
      <c r="DQ25" s="215" t="n"/>
      <c r="DR25" s="215" t="n"/>
      <c r="DS25" s="215" t="n"/>
      <c r="DT25" s="215" t="n"/>
      <c r="DU25" s="215" t="n"/>
      <c r="DV25" s="215" t="n"/>
      <c r="DW25" s="215" t="n"/>
      <c r="DX25" s="215" t="n"/>
      <c r="DY25" s="215" t="n"/>
      <c r="DZ25" s="215" t="n"/>
      <c r="EA25" s="215" t="n"/>
      <c r="EB25" s="215" t="n"/>
      <c r="EC25" s="215" t="n"/>
      <c r="ED25" s="215" t="n"/>
      <c r="EE25" s="215" t="n"/>
      <c r="EF25" s="215" t="n"/>
      <c r="EG25" s="215" t="n"/>
      <c r="EH25" s="215" t="n"/>
      <c r="EI25" s="215" t="n"/>
      <c r="EJ25" s="215" t="n"/>
      <c r="EK25" s="215" t="n"/>
      <c r="EL25" s="215" t="n"/>
      <c r="EM25" s="215" t="n"/>
      <c r="EN25" s="215" t="n"/>
      <c r="EO25" s="215" t="n"/>
      <c r="EP25" s="215" t="n"/>
      <c r="EQ25" s="215" t="n"/>
      <c r="ER25" s="215" t="n"/>
      <c r="ES25" s="215" t="n"/>
      <c r="ET25" s="215" t="n"/>
      <c r="EU25" s="215" t="n"/>
      <c r="EV25" s="215" t="n"/>
      <c r="EW25" s="215" t="n"/>
      <c r="EX25" s="215" t="n"/>
      <c r="EY25" s="215" t="n"/>
      <c r="EZ25" s="215" t="n"/>
      <c r="FA25" s="215" t="n"/>
      <c r="FB25" s="215" t="n"/>
      <c r="FC25" s="215" t="n"/>
      <c r="FD25" s="215" t="n"/>
      <c r="FE25" s="215" t="n"/>
      <c r="FF25" s="215" t="n"/>
      <c r="FG25" s="215" t="n"/>
      <c r="FH25" s="215" t="n"/>
      <c r="FI25" s="215" t="n"/>
      <c r="FJ25" s="215" t="n"/>
      <c r="FK25" s="215" t="n"/>
      <c r="FL25" s="215" t="n"/>
      <c r="FM25" s="215" t="n"/>
      <c r="FN25" s="215" t="n"/>
      <c r="FO25" s="215" t="n"/>
      <c r="FP25" s="215" t="n"/>
      <c r="FQ25" s="215" t="n"/>
      <c r="FR25" s="215" t="n"/>
      <c r="FS25" s="215" t="n"/>
      <c r="FT25" s="215" t="n"/>
      <c r="FU25" s="215" t="n"/>
      <c r="FV25" s="215" t="n"/>
      <c r="FW25" s="215" t="n"/>
      <c r="FX25" s="215" t="n"/>
      <c r="FY25" s="215" t="n"/>
      <c r="FZ25" s="215" t="n"/>
      <c r="GA25" s="215" t="n"/>
      <c r="GB25" s="215" t="n"/>
      <c r="GC25" s="215" t="n"/>
      <c r="GD25" s="215" t="n"/>
      <c r="GE25" s="215" t="n"/>
      <c r="GF25" s="215" t="n"/>
      <c r="GG25" s="215" t="n"/>
      <c r="GH25" s="215" t="n"/>
      <c r="GI25" s="215" t="n"/>
      <c r="GJ25" s="215" t="n"/>
      <c r="GK25" s="215" t="n"/>
      <c r="GL25" s="215" t="n"/>
      <c r="GM25" s="215" t="n"/>
      <c r="GN25" s="215" t="n"/>
      <c r="GO25" s="215" t="n"/>
      <c r="GP25" s="215" t="n"/>
      <c r="GQ25" s="215" t="n"/>
      <c r="GR25" s="215" t="n"/>
      <c r="GS25" s="215" t="n"/>
      <c r="GT25" s="215" t="n"/>
      <c r="GU25" s="215" t="n"/>
      <c r="GV25" s="215" t="n"/>
      <c r="GW25" s="215" t="n"/>
      <c r="GX25" s="215" t="n"/>
      <c r="GY25" s="215" t="n"/>
      <c r="GZ25" s="215" t="n"/>
      <c r="HA25" s="215" t="n"/>
      <c r="HB25" s="215" t="n"/>
      <c r="HC25" s="215" t="n"/>
      <c r="HD25" s="215" t="n"/>
      <c r="HE25" s="215" t="n"/>
      <c r="HF25" s="215" t="n"/>
      <c r="HG25" s="215" t="n"/>
      <c r="HH25" s="215" t="n"/>
      <c r="HI25" s="215" t="n"/>
      <c r="HJ25" s="215" t="n"/>
      <c r="HK25" s="215" t="n"/>
      <c r="HL25" s="215" t="n"/>
      <c r="HM25" s="215" t="n"/>
      <c r="HN25" s="215" t="n"/>
      <c r="HO25" s="215" t="n"/>
      <c r="HP25" s="215" t="n"/>
      <c r="HQ25" s="215" t="n"/>
      <c r="HR25" s="215" t="n"/>
      <c r="HS25" s="215" t="n"/>
      <c r="HT25" s="215" t="n"/>
      <c r="HU25" s="215" t="n"/>
      <c r="HV25" s="215" t="n"/>
      <c r="HW25" s="215" t="n"/>
      <c r="HX25" s="215" t="n"/>
      <c r="HY25" s="215" t="n"/>
      <c r="HZ25" s="215" t="n"/>
      <c r="IA25" s="215" t="n"/>
      <c r="IB25" s="215" t="n"/>
      <c r="IC25" s="215" t="n"/>
      <c r="ID25" s="215" t="n"/>
      <c r="IE25" s="215" t="n"/>
      <c r="IF25" s="215" t="n"/>
      <c r="IG25" s="215" t="n"/>
      <c r="IH25" s="215" t="n"/>
      <c r="II25" s="215" t="n"/>
      <c r="IJ25" s="215" t="n"/>
      <c r="IK25" s="215" t="n"/>
      <c r="IL25" s="215" t="n"/>
      <c r="IM25" s="215" t="n"/>
      <c r="IN25" s="215" t="n"/>
      <c r="IO25" s="215" t="n"/>
      <c r="IP25" s="215" t="n"/>
      <c r="IQ25" s="215" t="n"/>
      <c r="IR25" s="215" t="n"/>
      <c r="IS25" s="215" t="n"/>
      <c r="IT25" s="215" t="n"/>
      <c r="IU25" s="215" t="n"/>
      <c r="IV25" s="215" t="n"/>
      <c r="IW25" s="215" t="n"/>
      <c r="IX25" s="215" t="n"/>
      <c r="IY25" s="215" t="n"/>
      <c r="IZ25" s="215" t="n"/>
      <c r="JA25" s="215" t="n"/>
      <c r="JB25" s="215" t="n"/>
      <c r="JC25" s="215" t="n"/>
      <c r="JD25" s="215" t="n"/>
      <c r="JE25" s="215" t="n"/>
      <c r="JF25" s="215" t="n"/>
      <c r="JG25" s="215" t="n"/>
      <c r="JH25" s="215" t="n"/>
      <c r="JI25" s="215" t="n"/>
      <c r="JJ25" s="215" t="n"/>
      <c r="JK25" s="215" t="n"/>
      <c r="JL25" s="215" t="n"/>
      <c r="JM25" s="215" t="n"/>
      <c r="JN25" s="215" t="n"/>
      <c r="JO25" s="215" t="n"/>
      <c r="JP25" s="215" t="n"/>
      <c r="JQ25" s="215" t="n"/>
      <c r="JR25" s="215" t="n"/>
      <c r="JS25" s="215" t="n"/>
      <c r="JT25" s="215" t="n"/>
      <c r="JU25" s="215" t="n"/>
      <c r="JV25" s="215" t="n"/>
      <c r="JW25" s="215" t="n"/>
      <c r="JX25" s="215" t="n"/>
      <c r="JY25" s="215" t="n"/>
      <c r="JZ25" s="215" t="n"/>
      <c r="KA25" s="215" t="n"/>
      <c r="KB25" s="215" t="n"/>
      <c r="KC25" s="215" t="n"/>
      <c r="KD25" s="215" t="n"/>
      <c r="KE25" s="215" t="n"/>
      <c r="KF25" s="215" t="n"/>
      <c r="KG25" s="215" t="n"/>
      <c r="KH25" s="215" t="n"/>
      <c r="KI25" s="215" t="n"/>
      <c r="KJ25" s="215" t="n"/>
      <c r="KK25" s="215" t="n"/>
      <c r="KL25" s="215" t="n"/>
      <c r="KM25" s="215" t="n"/>
      <c r="KN25" s="215" t="n"/>
      <c r="KO25" s="215" t="n"/>
      <c r="KP25" s="215" t="n"/>
      <c r="KQ25" s="215" t="n"/>
      <c r="KR25" s="215" t="n"/>
      <c r="KS25" s="215" t="n"/>
      <c r="KT25" s="215" t="n"/>
      <c r="KU25" s="215" t="n"/>
      <c r="KV25" s="215" t="n"/>
      <c r="KW25" s="215" t="n"/>
      <c r="KX25" s="215" t="n"/>
      <c r="KY25" s="215" t="n"/>
      <c r="KZ25" s="215" t="n"/>
      <c r="LA25" s="215" t="n"/>
      <c r="LB25" s="215" t="n"/>
      <c r="LC25" s="215" t="n"/>
      <c r="LD25" s="215" t="n"/>
      <c r="LE25" s="215" t="n"/>
      <c r="LF25" s="215" t="n"/>
      <c r="LG25" s="215" t="n"/>
      <c r="LH25" s="215" t="n"/>
      <c r="LI25" s="215" t="n"/>
      <c r="LJ25" s="215" t="n"/>
      <c r="LK25" s="215" t="n"/>
      <c r="LL25" s="215" t="n"/>
      <c r="LM25" s="215" t="n"/>
      <c r="LN25" s="215" t="n"/>
      <c r="LO25" s="215" t="n"/>
      <c r="LP25" s="215" t="n"/>
      <c r="LQ25" s="215" t="n"/>
      <c r="LR25" s="215" t="n"/>
      <c r="LS25" s="215" t="n"/>
      <c r="LT25" s="215" t="n"/>
      <c r="LU25" s="215" t="n"/>
      <c r="LV25" s="215" t="n"/>
      <c r="LW25" s="215" t="n"/>
      <c r="LX25" s="215" t="n"/>
      <c r="LY25" s="215" t="n"/>
      <c r="LZ25" s="215" t="n"/>
      <c r="MA25" s="215" t="n"/>
      <c r="MB25" s="215" t="n"/>
      <c r="MC25" s="215" t="n"/>
      <c r="MD25" s="215" t="n"/>
      <c r="ME25" s="215" t="n"/>
      <c r="MF25" s="215" t="n"/>
      <c r="MG25" s="215" t="n"/>
      <c r="MH25" s="215" t="n"/>
      <c r="MI25" s="215" t="n"/>
      <c r="MJ25" s="215" t="n"/>
      <c r="MK25" s="215" t="n"/>
      <c r="ML25" s="215" t="n"/>
      <c r="MM25" s="215" t="n"/>
      <c r="MN25" s="215" t="n"/>
      <c r="MO25" s="215" t="n"/>
      <c r="MP25" s="215" t="n"/>
      <c r="MQ25" s="215" t="n"/>
      <c r="MR25" s="215" t="n"/>
      <c r="MS25" s="215" t="n"/>
      <c r="MT25" s="215" t="n"/>
      <c r="MU25" s="215" t="n"/>
      <c r="MV25" s="215" t="n"/>
      <c r="MW25" s="215" t="n"/>
      <c r="MX25" s="215" t="n"/>
      <c r="MY25" s="215" t="n"/>
      <c r="MZ25" s="215" t="n"/>
      <c r="NA25" s="215" t="n"/>
      <c r="NB25" s="215" t="n"/>
      <c r="NC25" s="216">
        <f>SUM(B25:NB25)</f>
        <v/>
      </c>
    </row>
    <row r="26" ht="14.25" customHeight="1" s="166">
      <c r="A26" s="214" t="inlineStr">
        <is>
          <t>Caffe Maude</t>
        </is>
      </c>
      <c r="B26" s="215" t="n"/>
      <c r="C26" s="215" t="n"/>
      <c r="D26" s="215" t="n"/>
      <c r="E26" s="215" t="n"/>
      <c r="F26" s="215" t="n"/>
      <c r="G26" s="215" t="n"/>
      <c r="H26" s="215" t="n"/>
      <c r="I26" s="215" t="n"/>
      <c r="J26" s="215" t="n"/>
      <c r="K26" s="215" t="n"/>
      <c r="L26" s="215" t="n"/>
      <c r="M26" s="215" t="n"/>
      <c r="N26" s="215" t="n"/>
      <c r="O26" s="215" t="n"/>
      <c r="P26" s="215" t="n"/>
      <c r="Q26" s="215" t="n"/>
      <c r="R26" s="215" t="n"/>
      <c r="S26" s="215" t="n"/>
      <c r="T26" s="215" t="n"/>
      <c r="U26" s="215" t="n"/>
      <c r="V26" s="215" t="n"/>
      <c r="W26" s="215" t="n"/>
      <c r="X26" s="215" t="n"/>
      <c r="Y26" s="215" t="n"/>
      <c r="Z26" s="215" t="n"/>
      <c r="AA26" s="215" t="n"/>
      <c r="AB26" s="215" t="n"/>
      <c r="AC26" s="215" t="n"/>
      <c r="AD26" s="215" t="n"/>
      <c r="AE26" s="215" t="n"/>
      <c r="AF26" s="215" t="n"/>
      <c r="AG26" s="215" t="n"/>
      <c r="AH26" s="215" t="n"/>
      <c r="AI26" s="215" t="n"/>
      <c r="AJ26" s="215" t="n"/>
      <c r="AK26" s="215" t="n"/>
      <c r="AL26" s="215" t="n"/>
      <c r="AM26" s="215" t="n"/>
      <c r="AN26" s="215" t="n"/>
      <c r="AO26" s="215" t="n"/>
      <c r="AP26" s="215" t="n"/>
      <c r="AQ26" s="215" t="n"/>
      <c r="AR26" s="215" t="n"/>
      <c r="AS26" s="215" t="n"/>
      <c r="AT26" s="215" t="n"/>
      <c r="AU26" s="215" t="n"/>
      <c r="AV26" s="215" t="n"/>
      <c r="AW26" s="215" t="n"/>
      <c r="AX26" s="215" t="n"/>
      <c r="AY26" s="215" t="n"/>
      <c r="AZ26" s="215" t="n"/>
      <c r="BA26" s="215" t="n"/>
      <c r="BB26" s="215" t="n"/>
      <c r="BC26" s="215" t="n"/>
      <c r="BD26" s="215" t="n"/>
      <c r="BE26" s="215" t="n"/>
      <c r="BF26" s="215" t="n"/>
      <c r="BG26" s="215" t="n"/>
      <c r="BH26" s="215" t="n"/>
      <c r="BI26" s="215" t="n"/>
      <c r="BJ26" s="215" t="n"/>
      <c r="BK26" s="215" t="n"/>
      <c r="BL26" s="215" t="n"/>
      <c r="BM26" s="215" t="n"/>
      <c r="BN26" s="215" t="n"/>
      <c r="BO26" s="215" t="n"/>
      <c r="BP26" s="215" t="n"/>
      <c r="BQ26" s="215" t="n"/>
      <c r="BR26" s="215" t="n"/>
      <c r="BS26" s="215" t="n"/>
      <c r="BT26" s="215" t="n"/>
      <c r="BU26" s="215" t="n"/>
      <c r="BV26" s="215" t="n"/>
      <c r="BW26" s="215" t="n"/>
      <c r="BX26" s="215" t="n"/>
      <c r="BY26" s="215" t="n"/>
      <c r="BZ26" s="215" t="n"/>
      <c r="CA26" s="215" t="n"/>
      <c r="CB26" s="215" t="n"/>
      <c r="CC26" s="215" t="n"/>
      <c r="CD26" s="215" t="n"/>
      <c r="CE26" s="215" t="n"/>
      <c r="CF26" s="215" t="n"/>
      <c r="CG26" s="215" t="n"/>
      <c r="CH26" s="215" t="n"/>
      <c r="CI26" s="215" t="n"/>
      <c r="CJ26" s="215" t="n"/>
      <c r="CK26" s="215" t="n"/>
      <c r="CL26" s="215" t="n"/>
      <c r="CM26" s="215" t="n"/>
      <c r="CN26" s="215" t="n"/>
      <c r="CO26" s="215" t="n"/>
      <c r="CP26" s="215" t="n"/>
      <c r="CQ26" s="215" t="n"/>
      <c r="CR26" s="215" t="n"/>
      <c r="CS26" s="215" t="n"/>
      <c r="CT26" s="215" t="n"/>
      <c r="CU26" s="215" t="n"/>
      <c r="CV26" s="215" t="n"/>
      <c r="CW26" s="215" t="n"/>
      <c r="CX26" s="215" t="n"/>
      <c r="CY26" s="215" t="n"/>
      <c r="CZ26" s="215" t="n"/>
      <c r="DA26" s="215" t="n"/>
      <c r="DB26" s="215" t="n"/>
      <c r="DC26" s="215" t="n"/>
      <c r="DD26" s="215" t="n"/>
      <c r="DE26" s="215" t="n"/>
      <c r="DF26" s="215" t="n"/>
      <c r="DG26" s="215" t="n"/>
      <c r="DH26" s="215" t="n"/>
      <c r="DI26" s="215" t="n"/>
      <c r="DJ26" s="215" t="n"/>
      <c r="DK26" s="215" t="n"/>
      <c r="DL26" s="215" t="n"/>
      <c r="DM26" s="215" t="n"/>
      <c r="DN26" s="215" t="n"/>
      <c r="DO26" s="215" t="n"/>
      <c r="DP26" s="215" t="n"/>
      <c r="DQ26" s="215" t="n"/>
      <c r="DR26" s="215" t="n"/>
      <c r="DS26" s="215" t="n"/>
      <c r="DT26" s="215" t="n"/>
      <c r="DU26" s="215" t="n"/>
      <c r="DV26" s="215" t="n"/>
      <c r="DW26" s="215" t="n"/>
      <c r="DX26" s="215" t="n"/>
      <c r="DY26" s="215" t="n"/>
      <c r="DZ26" s="215" t="n"/>
      <c r="EA26" s="215" t="n"/>
      <c r="EB26" s="215" t="n"/>
      <c r="EC26" s="215" t="n"/>
      <c r="ED26" s="215" t="n"/>
      <c r="EE26" s="215" t="n"/>
      <c r="EF26" s="215" t="n"/>
      <c r="EG26" s="215" t="n"/>
      <c r="EH26" s="215" t="n"/>
      <c r="EI26" s="215" t="n"/>
      <c r="EJ26" s="215" t="n"/>
      <c r="EK26" s="215" t="n"/>
      <c r="EL26" s="215" t="n"/>
      <c r="EM26" s="215" t="n"/>
      <c r="EN26" s="215" t="n"/>
      <c r="EO26" s="215" t="n"/>
      <c r="EP26" s="215" t="n"/>
      <c r="EQ26" s="215" t="n"/>
      <c r="ER26" s="215" t="n"/>
      <c r="ES26" s="215" t="n"/>
      <c r="ET26" s="215" t="n"/>
      <c r="EU26" s="215" t="n"/>
      <c r="EV26" s="215" t="n"/>
      <c r="EW26" s="215" t="n"/>
      <c r="EX26" s="215" t="n"/>
      <c r="EY26" s="215" t="n"/>
      <c r="EZ26" s="215" t="n"/>
      <c r="FA26" s="215" t="n"/>
      <c r="FB26" s="215" t="n"/>
      <c r="FC26" s="215" t="n"/>
      <c r="FD26" s="215" t="n"/>
      <c r="FE26" s="215" t="n"/>
      <c r="FF26" s="215" t="n"/>
      <c r="FG26" s="215" t="n"/>
      <c r="FH26" s="215" t="n"/>
      <c r="FI26" s="215" t="n"/>
      <c r="FJ26" s="215" t="n"/>
      <c r="FK26" s="215" t="n"/>
      <c r="FL26" s="215" t="n"/>
      <c r="FM26" s="215" t="n"/>
      <c r="FN26" s="215" t="n"/>
      <c r="FO26" s="215" t="n"/>
      <c r="FP26" s="215" t="n"/>
      <c r="FQ26" s="215" t="n"/>
      <c r="FR26" s="215" t="n"/>
      <c r="FS26" s="215" t="n"/>
      <c r="FT26" s="215" t="n"/>
      <c r="FU26" s="215" t="n"/>
      <c r="FV26" s="215" t="n"/>
      <c r="FW26" s="215" t="n"/>
      <c r="FX26" s="215" t="n"/>
      <c r="FY26" s="215" t="n"/>
      <c r="FZ26" s="215" t="n"/>
      <c r="GA26" s="215" t="n"/>
      <c r="GB26" s="215" t="n"/>
      <c r="GC26" s="215" t="n"/>
      <c r="GD26" s="215" t="n"/>
      <c r="GE26" s="215" t="n"/>
      <c r="GF26" s="215" t="n"/>
      <c r="GG26" s="215" t="n"/>
      <c r="GH26" s="215" t="n"/>
      <c r="GI26" s="215" t="n"/>
      <c r="GJ26" s="215" t="n"/>
      <c r="GK26" s="215" t="n"/>
      <c r="GL26" s="215" t="n"/>
      <c r="GM26" s="215" t="n"/>
      <c r="GN26" s="215" t="n"/>
      <c r="GO26" s="215" t="n"/>
      <c r="GP26" s="215" t="n"/>
      <c r="GQ26" s="215" t="n"/>
      <c r="GR26" s="215" t="n"/>
      <c r="GS26" s="215" t="n"/>
      <c r="GT26" s="215" t="n"/>
      <c r="GU26" s="215" t="n"/>
      <c r="GV26" s="215" t="n"/>
      <c r="GW26" s="215" t="n"/>
      <c r="GX26" s="215" t="n"/>
      <c r="GY26" s="215" t="n"/>
      <c r="GZ26" s="215" t="n"/>
      <c r="HA26" s="215" t="n"/>
      <c r="HB26" s="215" t="n"/>
      <c r="HC26" s="215" t="n"/>
      <c r="HD26" s="215" t="n"/>
      <c r="HE26" s="215" t="n"/>
      <c r="HF26" s="215" t="n"/>
      <c r="HG26" s="215" t="n"/>
      <c r="HH26" s="215" t="n"/>
      <c r="HI26" s="215" t="n"/>
      <c r="HJ26" s="215" t="n"/>
      <c r="HK26" s="215" t="n"/>
      <c r="HL26" s="215" t="n"/>
      <c r="HM26" s="215" t="n"/>
      <c r="HN26" s="215" t="n"/>
      <c r="HO26" s="215" t="n"/>
      <c r="HP26" s="215" t="n"/>
      <c r="HQ26" s="215" t="n"/>
      <c r="HR26" s="215" t="n"/>
      <c r="HS26" s="215" t="n"/>
      <c r="HT26" s="215" t="n"/>
      <c r="HU26" s="215" t="n"/>
      <c r="HV26" s="215" t="n"/>
      <c r="HW26" s="215" t="n"/>
      <c r="HX26" s="215" t="n"/>
      <c r="HY26" s="215" t="n"/>
      <c r="HZ26" s="215" t="n"/>
      <c r="IA26" s="215" t="n"/>
      <c r="IB26" s="215" t="n"/>
      <c r="IC26" s="215" t="n"/>
      <c r="ID26" s="215" t="n"/>
      <c r="IE26" s="215" t="n"/>
      <c r="IF26" s="215" t="n"/>
      <c r="IG26" s="215" t="n"/>
      <c r="IH26" s="215" t="n"/>
      <c r="II26" s="215" t="n"/>
      <c r="IJ26" s="215" t="n"/>
      <c r="IK26" s="215" t="n"/>
      <c r="IL26" s="215" t="n"/>
      <c r="IM26" s="215" t="n"/>
      <c r="IN26" s="215" t="n"/>
      <c r="IO26" s="215" t="n"/>
      <c r="IP26" s="215" t="n"/>
      <c r="IQ26" s="215" t="n"/>
      <c r="IR26" s="215" t="n"/>
      <c r="IS26" s="215" t="n"/>
      <c r="IT26" s="215" t="n"/>
      <c r="IU26" s="215" t="n"/>
      <c r="IV26" s="215" t="n"/>
      <c r="IW26" s="215" t="n"/>
      <c r="IX26" s="215" t="n"/>
      <c r="IY26" s="215" t="n"/>
      <c r="IZ26" s="215" t="n"/>
      <c r="JA26" s="215" t="n"/>
      <c r="JB26" s="215" t="n"/>
      <c r="JC26" s="215" t="n"/>
      <c r="JD26" s="215" t="n"/>
      <c r="JE26" s="215" t="n"/>
      <c r="JF26" s="215" t="n"/>
      <c r="JG26" s="215" t="n"/>
      <c r="JH26" s="215" t="n"/>
      <c r="JI26" s="215" t="n"/>
      <c r="JJ26" s="215" t="n"/>
      <c r="JK26" s="215" t="n"/>
      <c r="JL26" s="215" t="n"/>
      <c r="JM26" s="215" t="n"/>
      <c r="JN26" s="215" t="n"/>
      <c r="JO26" s="215" t="n"/>
      <c r="JP26" s="215" t="n"/>
      <c r="JQ26" s="215" t="n"/>
      <c r="JR26" s="215" t="n"/>
      <c r="JS26" s="215" t="n"/>
      <c r="JT26" s="215" t="n"/>
      <c r="JU26" s="215" t="n"/>
      <c r="JV26" s="215" t="n"/>
      <c r="JW26" s="215" t="n"/>
      <c r="JX26" s="215" t="n"/>
      <c r="JY26" s="215" t="n"/>
      <c r="JZ26" s="215" t="n"/>
      <c r="KA26" s="215" t="n"/>
      <c r="KB26" s="215" t="n"/>
      <c r="KC26" s="215" t="n"/>
      <c r="KD26" s="215" t="n"/>
      <c r="KE26" s="215" t="n"/>
      <c r="KF26" s="215" t="n"/>
      <c r="KG26" s="215" t="n"/>
      <c r="KH26" s="215" t="n"/>
      <c r="KI26" s="215" t="n"/>
      <c r="KJ26" s="215" t="n"/>
      <c r="KK26" s="215" t="n"/>
      <c r="KL26" s="215" t="n"/>
      <c r="KM26" s="215" t="n"/>
      <c r="KN26" s="215" t="n"/>
      <c r="KO26" s="215" t="n"/>
      <c r="KP26" s="215" t="n"/>
      <c r="KQ26" s="215" t="n"/>
      <c r="KR26" s="215" t="n"/>
      <c r="KS26" s="215" t="n"/>
      <c r="KT26" s="215" t="n"/>
      <c r="KU26" s="215" t="n"/>
      <c r="KV26" s="215" t="n"/>
      <c r="KW26" s="215" t="n"/>
      <c r="KX26" s="215" t="n"/>
      <c r="KY26" s="215" t="n"/>
      <c r="KZ26" s="215" t="n"/>
      <c r="LA26" s="215" t="n"/>
      <c r="LB26" s="215" t="n"/>
      <c r="LC26" s="215" t="n"/>
      <c r="LD26" s="215" t="n"/>
      <c r="LE26" s="215" t="n"/>
      <c r="LF26" s="215" t="n"/>
      <c r="LG26" s="215" t="n"/>
      <c r="LH26" s="215" t="n"/>
      <c r="LI26" s="215" t="n"/>
      <c r="LJ26" s="215" t="n"/>
      <c r="LK26" s="215" t="n"/>
      <c r="LL26" s="215" t="n"/>
      <c r="LM26" s="215" t="n"/>
      <c r="LN26" s="215" t="n"/>
      <c r="LO26" s="215" t="n"/>
      <c r="LP26" s="215" t="n"/>
      <c r="LQ26" s="215" t="n"/>
      <c r="LR26" s="215" t="n"/>
      <c r="LS26" s="215" t="n"/>
      <c r="LT26" s="215" t="n"/>
      <c r="LU26" s="215" t="n"/>
      <c r="LV26" s="215" t="n"/>
      <c r="LW26" s="215" t="n"/>
      <c r="LX26" s="215" t="n"/>
      <c r="LY26" s="215" t="n"/>
      <c r="LZ26" s="215" t="n"/>
      <c r="MA26" s="215" t="n"/>
      <c r="MB26" s="215" t="n"/>
      <c r="MC26" s="215" t="n"/>
      <c r="MD26" s="215" t="n"/>
      <c r="ME26" s="215" t="n"/>
      <c r="MF26" s="215" t="n"/>
      <c r="MG26" s="215" t="n"/>
      <c r="MH26" s="215" t="n"/>
      <c r="MI26" s="215" t="n"/>
      <c r="MJ26" s="215" t="n"/>
      <c r="MK26" s="215" t="n"/>
      <c r="ML26" s="215" t="n"/>
      <c r="MM26" s="215" t="n"/>
      <c r="MN26" s="215" t="n"/>
      <c r="MO26" s="215" t="n"/>
      <c r="MP26" s="215" t="n"/>
      <c r="MQ26" s="215" t="n"/>
      <c r="MR26" s="215" t="n"/>
      <c r="MS26" s="215" t="n"/>
      <c r="MT26" s="215" t="n"/>
      <c r="MU26" s="215" t="n"/>
      <c r="MV26" s="215" t="n"/>
      <c r="MW26" s="215" t="n"/>
      <c r="MX26" s="215" t="n"/>
      <c r="MY26" s="215" t="n"/>
      <c r="MZ26" s="215" t="n"/>
      <c r="NA26" s="215" t="n"/>
      <c r="NB26" s="215" t="n"/>
      <c r="NC26" s="216">
        <f>SUM(B26:NB26)</f>
        <v/>
      </c>
    </row>
    <row r="27" ht="14.25" customHeight="1" s="166">
      <c r="A27" s="214" t="inlineStr">
        <is>
          <t>2:00 AM</t>
        </is>
      </c>
      <c r="B27" s="215" t="n"/>
      <c r="C27" s="215" t="n"/>
      <c r="D27" s="215" t="n"/>
      <c r="E27" s="215" t="n"/>
      <c r="F27" s="215" t="n"/>
      <c r="G27" s="215" t="n"/>
      <c r="H27" s="215" t="n"/>
      <c r="I27" s="215" t="n"/>
      <c r="J27" s="215" t="n"/>
      <c r="K27" s="215" t="n"/>
      <c r="L27" s="215" t="n"/>
      <c r="M27" s="215" t="n"/>
      <c r="N27" s="215" t="n"/>
      <c r="O27" s="215" t="n"/>
      <c r="P27" s="215" t="n"/>
      <c r="Q27" s="215" t="n"/>
      <c r="R27" s="215" t="n"/>
      <c r="S27" s="215" t="n"/>
      <c r="T27" s="215" t="n"/>
      <c r="U27" s="215" t="n"/>
      <c r="V27" s="215" t="n"/>
      <c r="W27" s="215" t="n"/>
      <c r="X27" s="215" t="n"/>
      <c r="Y27" s="215" t="n"/>
      <c r="Z27" s="215" t="n"/>
      <c r="AA27" s="215" t="n"/>
      <c r="AB27" s="215" t="n"/>
      <c r="AC27" s="215" t="n"/>
      <c r="AD27" s="215" t="n"/>
      <c r="AE27" s="215" t="n"/>
      <c r="AF27" s="215" t="n"/>
      <c r="AG27" s="215" t="n"/>
      <c r="AH27" s="215" t="n"/>
      <c r="AI27" s="215" t="n"/>
      <c r="AJ27" s="215" t="n"/>
      <c r="AK27" s="215" t="n"/>
      <c r="AL27" s="215" t="n"/>
      <c r="AM27" s="215" t="n"/>
      <c r="AN27" s="215" t="n"/>
      <c r="AO27" s="215" t="n"/>
      <c r="AP27" s="215" t="n"/>
      <c r="AQ27" s="215" t="n"/>
      <c r="AR27" s="215" t="n"/>
      <c r="AS27" s="215" t="n"/>
      <c r="AT27" s="215" t="n"/>
      <c r="AU27" s="215" t="n"/>
      <c r="AV27" s="215" t="n"/>
      <c r="AW27" s="215" t="n"/>
      <c r="AX27" s="215" t="n"/>
      <c r="AY27" s="215" t="n"/>
      <c r="AZ27" s="215" t="n"/>
      <c r="BA27" s="215" t="n"/>
      <c r="BB27" s="215" t="n"/>
      <c r="BC27" s="215" t="n"/>
      <c r="BD27" s="215" t="n"/>
      <c r="BE27" s="215" t="n"/>
      <c r="BF27" s="215" t="n"/>
      <c r="BG27" s="215" t="n"/>
      <c r="BH27" s="215" t="n"/>
      <c r="BI27" s="215" t="n"/>
      <c r="BJ27" s="215" t="n"/>
      <c r="BK27" s="215" t="n"/>
      <c r="BL27" s="215" t="n"/>
      <c r="BM27" s="215" t="n"/>
      <c r="BN27" s="215" t="n"/>
      <c r="BO27" s="215" t="n"/>
      <c r="BP27" s="215" t="n"/>
      <c r="BQ27" s="215" t="n"/>
      <c r="BR27" s="215" t="n"/>
      <c r="BS27" s="215" t="n"/>
      <c r="BT27" s="215" t="n"/>
      <c r="BU27" s="215" t="n"/>
      <c r="BV27" s="215" t="n"/>
      <c r="BW27" s="215" t="n"/>
      <c r="BX27" s="215" t="n"/>
      <c r="BY27" s="215" t="n"/>
      <c r="BZ27" s="215" t="n"/>
      <c r="CA27" s="215" t="n"/>
      <c r="CB27" s="215" t="n"/>
      <c r="CC27" s="215" t="n"/>
      <c r="CD27" s="215" t="n"/>
      <c r="CE27" s="215" t="n"/>
      <c r="CF27" s="215" t="n"/>
      <c r="CG27" s="215" t="n"/>
      <c r="CH27" s="215" t="n"/>
      <c r="CI27" s="215" t="n"/>
      <c r="CJ27" s="215" t="n"/>
      <c r="CK27" s="215" t="n"/>
      <c r="CL27" s="215" t="n"/>
      <c r="CM27" s="215" t="n"/>
      <c r="CN27" s="215" t="n"/>
      <c r="CO27" s="215" t="n"/>
      <c r="CP27" s="215" t="n"/>
      <c r="CQ27" s="215" t="n"/>
      <c r="CR27" s="215" t="n"/>
      <c r="CS27" s="215" t="n"/>
      <c r="CT27" s="215" t="n"/>
      <c r="CU27" s="215" t="n"/>
      <c r="CV27" s="215" t="n"/>
      <c r="CW27" s="215" t="n"/>
      <c r="CX27" s="215" t="n"/>
      <c r="CY27" s="215" t="n"/>
      <c r="CZ27" s="215" t="n"/>
      <c r="DA27" s="215" t="n"/>
      <c r="DB27" s="215" t="n"/>
      <c r="DC27" s="215" t="n"/>
      <c r="DD27" s="215" t="n"/>
      <c r="DE27" s="215" t="n"/>
      <c r="DF27" s="215" t="n"/>
      <c r="DG27" s="215" t="n"/>
      <c r="DH27" s="215" t="n"/>
      <c r="DI27" s="215" t="n"/>
      <c r="DJ27" s="215" t="n"/>
      <c r="DK27" s="215" t="n"/>
      <c r="DL27" s="215" t="n"/>
      <c r="DM27" s="215" t="n"/>
      <c r="DN27" s="215" t="n"/>
      <c r="DO27" s="215" t="n"/>
      <c r="DP27" s="215" t="n"/>
      <c r="DQ27" s="215" t="n"/>
      <c r="DR27" s="215" t="n"/>
      <c r="DS27" s="215" t="n"/>
      <c r="DT27" s="215" t="n"/>
      <c r="DU27" s="215" t="n"/>
      <c r="DV27" s="215" t="n"/>
      <c r="DW27" s="215" t="n"/>
      <c r="DX27" s="215" t="n"/>
      <c r="DY27" s="215" t="n"/>
      <c r="DZ27" s="215" t="n"/>
      <c r="EA27" s="215" t="n"/>
      <c r="EB27" s="215" t="n"/>
      <c r="EC27" s="215" t="n"/>
      <c r="ED27" s="215" t="n"/>
      <c r="EE27" s="215" t="n"/>
      <c r="EF27" s="215" t="n"/>
      <c r="EG27" s="215" t="n"/>
      <c r="EH27" s="215" t="n"/>
      <c r="EI27" s="215" t="n"/>
      <c r="EJ27" s="215" t="n"/>
      <c r="EK27" s="215" t="n"/>
      <c r="EL27" s="215" t="n"/>
      <c r="EM27" s="215" t="n"/>
      <c r="EN27" s="215" t="n"/>
      <c r="EO27" s="215" t="n"/>
      <c r="EP27" s="215" t="n"/>
      <c r="EQ27" s="215" t="n"/>
      <c r="ER27" s="215" t="n"/>
      <c r="ES27" s="215" t="n"/>
      <c r="ET27" s="215" t="n"/>
      <c r="EU27" s="215" t="n"/>
      <c r="EV27" s="215" t="n"/>
      <c r="EW27" s="215" t="n"/>
      <c r="EX27" s="215" t="n"/>
      <c r="EY27" s="215" t="n"/>
      <c r="EZ27" s="215" t="n"/>
      <c r="FA27" s="215" t="n"/>
      <c r="FB27" s="215" t="n"/>
      <c r="FC27" s="215" t="n"/>
      <c r="FD27" s="215" t="n"/>
      <c r="FE27" s="215" t="n"/>
      <c r="FF27" s="215" t="n"/>
      <c r="FG27" s="215" t="n"/>
      <c r="FH27" s="215" t="n"/>
      <c r="FI27" s="215" t="n"/>
      <c r="FJ27" s="215" t="n"/>
      <c r="FK27" s="215" t="n"/>
      <c r="FL27" s="215" t="n"/>
      <c r="FM27" s="215" t="n"/>
      <c r="FN27" s="215" t="n"/>
      <c r="FO27" s="215" t="n"/>
      <c r="FP27" s="215" t="n"/>
      <c r="FQ27" s="215" t="n"/>
      <c r="FR27" s="215" t="n"/>
      <c r="FS27" s="215" t="n"/>
      <c r="FT27" s="215" t="n"/>
      <c r="FU27" s="215" t="n"/>
      <c r="FV27" s="215" t="n"/>
      <c r="FW27" s="215" t="n"/>
      <c r="FX27" s="215" t="n"/>
      <c r="FY27" s="215" t="n"/>
      <c r="FZ27" s="215" t="n"/>
      <c r="GA27" s="215" t="n"/>
      <c r="GB27" s="215" t="n"/>
      <c r="GC27" s="215" t="n"/>
      <c r="GD27" s="215" t="n"/>
      <c r="GE27" s="215" t="n"/>
      <c r="GF27" s="215" t="n"/>
      <c r="GG27" s="215" t="n"/>
      <c r="GH27" s="215" t="n"/>
      <c r="GI27" s="215" t="n"/>
      <c r="GJ27" s="215" t="n"/>
      <c r="GK27" s="215" t="n"/>
      <c r="GL27" s="215" t="n"/>
      <c r="GM27" s="215" t="n"/>
      <c r="GN27" s="215" t="n"/>
      <c r="GO27" s="215" t="n"/>
      <c r="GP27" s="215" t="n"/>
      <c r="GQ27" s="215" t="n"/>
      <c r="GR27" s="215" t="n"/>
      <c r="GS27" s="215" t="n"/>
      <c r="GT27" s="215" t="n"/>
      <c r="GU27" s="215" t="n"/>
      <c r="GV27" s="215" t="n"/>
      <c r="GW27" s="215" t="n"/>
      <c r="GX27" s="215" t="n"/>
      <c r="GY27" s="215" t="n"/>
      <c r="GZ27" s="215" t="n"/>
      <c r="HA27" s="215" t="n"/>
      <c r="HB27" s="215" t="n"/>
      <c r="HC27" s="215" t="n"/>
      <c r="HD27" s="215" t="n"/>
      <c r="HE27" s="215" t="n"/>
      <c r="HF27" s="215" t="n"/>
      <c r="HG27" s="215" t="n"/>
      <c r="HH27" s="215" t="n"/>
      <c r="HI27" s="215" t="n"/>
      <c r="HJ27" s="215" t="n"/>
      <c r="HK27" s="215" t="n"/>
      <c r="HL27" s="215" t="n"/>
      <c r="HM27" s="215" t="n"/>
      <c r="HN27" s="215" t="n"/>
      <c r="HO27" s="215" t="n"/>
      <c r="HP27" s="215" t="n"/>
      <c r="HQ27" s="215" t="n"/>
      <c r="HR27" s="215" t="n"/>
      <c r="HS27" s="215" t="n"/>
      <c r="HT27" s="215" t="n"/>
      <c r="HU27" s="215" t="n"/>
      <c r="HV27" s="215" t="n"/>
      <c r="HW27" s="215" t="n"/>
      <c r="HX27" s="215" t="n"/>
      <c r="HY27" s="215" t="n"/>
      <c r="HZ27" s="215" t="n"/>
      <c r="IA27" s="215" t="n"/>
      <c r="IB27" s="215" t="n"/>
      <c r="IC27" s="215" t="n"/>
      <c r="ID27" s="215" t="n"/>
      <c r="IE27" s="215" t="n"/>
      <c r="IF27" s="215" t="n"/>
      <c r="IG27" s="215" t="n"/>
      <c r="IH27" s="215" t="n"/>
      <c r="II27" s="215" t="n"/>
      <c r="IJ27" s="215" t="n"/>
      <c r="IK27" s="215" t="n"/>
      <c r="IL27" s="215" t="n"/>
      <c r="IM27" s="215" t="n"/>
      <c r="IN27" s="215" t="n"/>
      <c r="IO27" s="215" t="n"/>
      <c r="IP27" s="215" t="n"/>
      <c r="IQ27" s="215" t="n"/>
      <c r="IR27" s="215" t="n"/>
      <c r="IS27" s="215" t="n"/>
      <c r="IT27" s="215" t="n"/>
      <c r="IU27" s="215" t="n"/>
      <c r="IV27" s="215" t="n"/>
      <c r="IW27" s="215" t="n"/>
      <c r="IX27" s="215" t="n"/>
      <c r="IY27" s="215" t="n"/>
      <c r="IZ27" s="215" t="n"/>
      <c r="JA27" s="215" t="n"/>
      <c r="JB27" s="215" t="n"/>
      <c r="JC27" s="215" t="n"/>
      <c r="JD27" s="215" t="n"/>
      <c r="JE27" s="215" t="n"/>
      <c r="JF27" s="215" t="n"/>
      <c r="JG27" s="215" t="n"/>
      <c r="JH27" s="215" t="n"/>
      <c r="JI27" s="215" t="n"/>
      <c r="JJ27" s="215" t="n"/>
      <c r="JK27" s="215" t="n"/>
      <c r="JL27" s="215" t="n"/>
      <c r="JM27" s="215" t="n"/>
      <c r="JN27" s="215" t="n"/>
      <c r="JO27" s="215" t="n"/>
      <c r="JP27" s="215" t="n"/>
      <c r="JQ27" s="215" t="n"/>
      <c r="JR27" s="215" t="n"/>
      <c r="JS27" s="215" t="n"/>
      <c r="JT27" s="215" t="n"/>
      <c r="JU27" s="215" t="n"/>
      <c r="JV27" s="215" t="n"/>
      <c r="JW27" s="215" t="n"/>
      <c r="JX27" s="215" t="n"/>
      <c r="JY27" s="215" t="n"/>
      <c r="JZ27" s="215" t="n"/>
      <c r="KA27" s="215" t="n"/>
      <c r="KB27" s="215" t="n"/>
      <c r="KC27" s="215" t="n"/>
      <c r="KD27" s="215" t="n"/>
      <c r="KE27" s="215" t="n"/>
      <c r="KF27" s="215" t="n"/>
      <c r="KG27" s="215" t="n"/>
      <c r="KH27" s="215" t="n"/>
      <c r="KI27" s="215" t="n"/>
      <c r="KJ27" s="215" t="n"/>
      <c r="KK27" s="215" t="n"/>
      <c r="KL27" s="215" t="n"/>
      <c r="KM27" s="215" t="n"/>
      <c r="KN27" s="215" t="n"/>
      <c r="KO27" s="215" t="n"/>
      <c r="KP27" s="215" t="n"/>
      <c r="KQ27" s="215" t="n"/>
      <c r="KR27" s="215" t="n"/>
      <c r="KS27" s="215" t="n"/>
      <c r="KT27" s="215" t="n"/>
      <c r="KU27" s="215" t="n"/>
      <c r="KV27" s="215" t="n"/>
      <c r="KW27" s="215" t="n"/>
      <c r="KX27" s="215" t="n"/>
      <c r="KY27" s="215" t="n"/>
      <c r="KZ27" s="215" t="n"/>
      <c r="LA27" s="215" t="n"/>
      <c r="LB27" s="215" t="n"/>
      <c r="LC27" s="215" t="n"/>
      <c r="LD27" s="215" t="n"/>
      <c r="LE27" s="215" t="n"/>
      <c r="LF27" s="215" t="n"/>
      <c r="LG27" s="215" t="n"/>
      <c r="LH27" s="215" t="n"/>
      <c r="LI27" s="215" t="n"/>
      <c r="LJ27" s="215" t="n"/>
      <c r="LK27" s="215" t="n"/>
      <c r="LL27" s="215" t="n"/>
      <c r="LM27" s="215" t="n"/>
      <c r="LN27" s="215" t="n"/>
      <c r="LO27" s="215" t="n"/>
      <c r="LP27" s="215" t="n"/>
      <c r="LQ27" s="215" t="n"/>
      <c r="LR27" s="215" t="n"/>
      <c r="LS27" s="215" t="n"/>
      <c r="LT27" s="215" t="n"/>
      <c r="LU27" s="215" t="n"/>
      <c r="LV27" s="215" t="n"/>
      <c r="LW27" s="215" t="n"/>
      <c r="LX27" s="215" t="n"/>
      <c r="LY27" s="215" t="n"/>
      <c r="LZ27" s="215" t="n"/>
      <c r="MA27" s="215" t="n"/>
      <c r="MB27" s="215" t="n"/>
      <c r="MC27" s="215" t="n"/>
      <c r="MD27" s="215" t="n"/>
      <c r="ME27" s="215" t="n"/>
      <c r="MF27" s="215" t="n"/>
      <c r="MG27" s="215" t="n"/>
      <c r="MH27" s="215" t="n"/>
      <c r="MI27" s="215" t="n"/>
      <c r="MJ27" s="215" t="n"/>
      <c r="MK27" s="215" t="n"/>
      <c r="ML27" s="215" t="n"/>
      <c r="MM27" s="215" t="n"/>
      <c r="MN27" s="215" t="n"/>
      <c r="MO27" s="215" t="n"/>
      <c r="MP27" s="215" t="n"/>
      <c r="MQ27" s="215" t="n"/>
      <c r="MR27" s="215" t="n"/>
      <c r="MS27" s="215" t="n"/>
      <c r="MT27" s="215" t="n"/>
      <c r="MU27" s="215" t="n"/>
      <c r="MV27" s="215" t="n"/>
      <c r="MW27" s="215" t="n"/>
      <c r="MX27" s="215" t="n"/>
      <c r="MY27" s="215" t="n"/>
      <c r="MZ27" s="215" t="n"/>
      <c r="NA27" s="215" t="n"/>
      <c r="NB27" s="215" t="n"/>
      <c r="NC27" s="216">
        <f>SUM(B27:NB27)</f>
        <v/>
      </c>
    </row>
    <row r="28" ht="14.25" customHeight="1" s="166">
      <c r="A28" s="214" t="inlineStr">
        <is>
          <t>Charcoal</t>
        </is>
      </c>
      <c r="B28" s="215" t="n"/>
      <c r="C28" s="215" t="n"/>
      <c r="D28" s="215" t="n"/>
      <c r="E28" s="215" t="n"/>
      <c r="F28" s="215" t="n"/>
      <c r="G28" s="215" t="n"/>
      <c r="H28" s="215" t="n"/>
      <c r="I28" s="215" t="n"/>
      <c r="J28" s="215" t="n"/>
      <c r="K28" s="215" t="n"/>
      <c r="L28" s="215" t="n"/>
      <c r="M28" s="215" t="n"/>
      <c r="N28" s="215" t="n"/>
      <c r="O28" s="215" t="n"/>
      <c r="P28" s="215" t="n"/>
      <c r="Q28" s="215" t="n"/>
      <c r="R28" s="215" t="n"/>
      <c r="S28" s="215" t="n"/>
      <c r="T28" s="215" t="n"/>
      <c r="U28" s="215" t="n"/>
      <c r="V28" s="215" t="n"/>
      <c r="W28" s="215" t="n"/>
      <c r="X28" s="215" t="n"/>
      <c r="Y28" s="215" t="n"/>
      <c r="Z28" s="215" t="n"/>
      <c r="AA28" s="215" t="n"/>
      <c r="AB28" s="215" t="n"/>
      <c r="AC28" s="215" t="n"/>
      <c r="AD28" s="215" t="n"/>
      <c r="AE28" s="215" t="n"/>
      <c r="AF28" s="215" t="n"/>
      <c r="AG28" s="215" t="n"/>
      <c r="AH28" s="215" t="n"/>
      <c r="AI28" s="215" t="n"/>
      <c r="AJ28" s="215" t="n"/>
      <c r="AK28" s="215" t="n"/>
      <c r="AL28" s="215" t="n"/>
      <c r="AM28" s="215" t="n"/>
      <c r="AN28" s="215" t="n"/>
      <c r="AO28" s="215" t="n"/>
      <c r="AP28" s="215" t="n"/>
      <c r="AQ28" s="215" t="n"/>
      <c r="AR28" s="215" t="n"/>
      <c r="AS28" s="215" t="n"/>
      <c r="AT28" s="215" t="n"/>
      <c r="AU28" s="215" t="n"/>
      <c r="AV28" s="215" t="n"/>
      <c r="AW28" s="215" t="n"/>
      <c r="AX28" s="215" t="n"/>
      <c r="AY28" s="215" t="n"/>
      <c r="AZ28" s="215" t="n"/>
      <c r="BA28" s="215" t="n"/>
      <c r="BB28" s="215" t="n"/>
      <c r="BC28" s="215" t="n"/>
      <c r="BD28" s="215" t="n"/>
      <c r="BE28" s="215" t="n"/>
      <c r="BF28" s="215" t="n"/>
      <c r="BG28" s="215" t="n"/>
      <c r="BH28" s="215" t="n"/>
      <c r="BI28" s="215" t="n"/>
      <c r="BJ28" s="215" t="n"/>
      <c r="BK28" s="215" t="n"/>
      <c r="BL28" s="215" t="n"/>
      <c r="BM28" s="215" t="n"/>
      <c r="BN28" s="215" t="n"/>
      <c r="BO28" s="215" t="n"/>
      <c r="BP28" s="215" t="n"/>
      <c r="BQ28" s="215" t="n"/>
      <c r="BR28" s="215" t="n"/>
      <c r="BS28" s="215" t="n"/>
      <c r="BT28" s="215" t="n"/>
      <c r="BU28" s="215" t="n"/>
      <c r="BV28" s="215" t="n"/>
      <c r="BW28" s="215" t="n"/>
      <c r="BX28" s="215" t="n"/>
      <c r="BY28" s="215" t="n"/>
      <c r="BZ28" s="215" t="n"/>
      <c r="CA28" s="215" t="n"/>
      <c r="CB28" s="215" t="n"/>
      <c r="CC28" s="215" t="n"/>
      <c r="CD28" s="215" t="n"/>
      <c r="CE28" s="215" t="n"/>
      <c r="CF28" s="215" t="n"/>
      <c r="CG28" s="215" t="n"/>
      <c r="CH28" s="215" t="n"/>
      <c r="CI28" s="215" t="n"/>
      <c r="CJ28" s="215" t="n"/>
      <c r="CK28" s="215" t="n"/>
      <c r="CL28" s="215" t="n"/>
      <c r="CM28" s="215" t="n"/>
      <c r="CN28" s="215" t="n"/>
      <c r="CO28" s="215" t="n"/>
      <c r="CP28" s="215" t="n"/>
      <c r="CQ28" s="215" t="n"/>
      <c r="CR28" s="215" t="n"/>
      <c r="CS28" s="215" t="n"/>
      <c r="CT28" s="215" t="n"/>
      <c r="CU28" s="215" t="n"/>
      <c r="CV28" s="215" t="n"/>
      <c r="CW28" s="215" t="n"/>
      <c r="CX28" s="215" t="n"/>
      <c r="CY28" s="215" t="n"/>
      <c r="CZ28" s="215" t="n"/>
      <c r="DA28" s="215" t="n"/>
      <c r="DB28" s="215" t="n"/>
      <c r="DC28" s="215" t="n"/>
      <c r="DD28" s="215" t="n"/>
      <c r="DE28" s="215" t="n"/>
      <c r="DF28" s="215" t="n"/>
      <c r="DG28" s="215" t="n"/>
      <c r="DH28" s="215" t="n"/>
      <c r="DI28" s="215" t="n"/>
      <c r="DJ28" s="215" t="n"/>
      <c r="DK28" s="215" t="n"/>
      <c r="DL28" s="215" t="n"/>
      <c r="DM28" s="215" t="n"/>
      <c r="DN28" s="215" t="n"/>
      <c r="DO28" s="215" t="n"/>
      <c r="DP28" s="215" t="n"/>
      <c r="DQ28" s="215" t="n"/>
      <c r="DR28" s="215" t="n"/>
      <c r="DS28" s="215" t="n"/>
      <c r="DT28" s="215" t="n"/>
      <c r="DU28" s="215" t="n"/>
      <c r="DV28" s="215" t="n"/>
      <c r="DW28" s="215" t="n"/>
      <c r="DX28" s="215" t="n"/>
      <c r="DY28" s="215" t="n"/>
      <c r="DZ28" s="215" t="n"/>
      <c r="EA28" s="215" t="n"/>
      <c r="EB28" s="215" t="n"/>
      <c r="EC28" s="215" t="n"/>
      <c r="ED28" s="215" t="n"/>
      <c r="EE28" s="215" t="n"/>
      <c r="EF28" s="215" t="n"/>
      <c r="EG28" s="215" t="n"/>
      <c r="EH28" s="215" t="n"/>
      <c r="EI28" s="215" t="n"/>
      <c r="EJ28" s="215" t="n"/>
      <c r="EK28" s="215" t="n"/>
      <c r="EL28" s="215" t="n"/>
      <c r="EM28" s="215" t="n"/>
      <c r="EN28" s="215" t="n"/>
      <c r="EO28" s="215" t="n"/>
      <c r="EP28" s="215" t="n"/>
      <c r="EQ28" s="215" t="n"/>
      <c r="ER28" s="215" t="n"/>
      <c r="ES28" s="215" t="n"/>
      <c r="ET28" s="215" t="n"/>
      <c r="EU28" s="215" t="n"/>
      <c r="EV28" s="215" t="n"/>
      <c r="EW28" s="215" t="n"/>
      <c r="EX28" s="215" t="n"/>
      <c r="EY28" s="215" t="n"/>
      <c r="EZ28" s="215" t="n"/>
      <c r="FA28" s="215" t="n"/>
      <c r="FB28" s="215" t="n"/>
      <c r="FC28" s="215" t="n"/>
      <c r="FD28" s="215" t="n"/>
      <c r="FE28" s="215" t="n"/>
      <c r="FF28" s="215" t="n"/>
      <c r="FG28" s="215" t="n"/>
      <c r="FH28" s="215" t="n"/>
      <c r="FI28" s="215" t="n"/>
      <c r="FJ28" s="215" t="n"/>
      <c r="FK28" s="215" t="n"/>
      <c r="FL28" s="215" t="n"/>
      <c r="FM28" s="215" t="n"/>
      <c r="FN28" s="215" t="n"/>
      <c r="FO28" s="215" t="n"/>
      <c r="FP28" s="215" t="n"/>
      <c r="FQ28" s="215" t="n"/>
      <c r="FR28" s="215" t="n"/>
      <c r="FS28" s="215" t="n"/>
      <c r="FT28" s="215" t="n"/>
      <c r="FU28" s="215" t="n"/>
      <c r="FV28" s="215" t="n"/>
      <c r="FW28" s="215" t="n"/>
      <c r="FX28" s="215" t="n"/>
      <c r="FY28" s="215" t="n"/>
      <c r="FZ28" s="215" t="n"/>
      <c r="GA28" s="215" t="n"/>
      <c r="GB28" s="215" t="n"/>
      <c r="GC28" s="215" t="n"/>
      <c r="GD28" s="215" t="n"/>
      <c r="GE28" s="215" t="n"/>
      <c r="GF28" s="215" t="n"/>
      <c r="GG28" s="215" t="n"/>
      <c r="GH28" s="215" t="n"/>
      <c r="GI28" s="215" t="n"/>
      <c r="GJ28" s="215" t="n"/>
      <c r="GK28" s="215" t="n"/>
      <c r="GL28" s="215" t="n"/>
      <c r="GM28" s="215" t="n"/>
      <c r="GN28" s="215" t="n"/>
      <c r="GO28" s="215" t="n"/>
      <c r="GP28" s="215" t="n"/>
      <c r="GQ28" s="215" t="n"/>
      <c r="GR28" s="215" t="n"/>
      <c r="GS28" s="215" t="n"/>
      <c r="GT28" s="215" t="n"/>
      <c r="GU28" s="215" t="n"/>
      <c r="GV28" s="215" t="n"/>
      <c r="GW28" s="215" t="n"/>
      <c r="GX28" s="215" t="n"/>
      <c r="GY28" s="215" t="n"/>
      <c r="GZ28" s="215" t="n"/>
      <c r="HA28" s="215" t="n"/>
      <c r="HB28" s="215" t="n"/>
      <c r="HC28" s="215" t="n"/>
      <c r="HD28" s="215" t="n"/>
      <c r="HE28" s="215" t="n"/>
      <c r="HF28" s="215" t="n"/>
      <c r="HG28" s="215" t="n"/>
      <c r="HH28" s="215" t="n"/>
      <c r="HI28" s="215" t="n"/>
      <c r="HJ28" s="215" t="n"/>
      <c r="HK28" s="215" t="n"/>
      <c r="HL28" s="215" t="n"/>
      <c r="HM28" s="215" t="n"/>
      <c r="HN28" s="215" t="n"/>
      <c r="HO28" s="215" t="n"/>
      <c r="HP28" s="215" t="n"/>
      <c r="HQ28" s="215" t="n"/>
      <c r="HR28" s="215" t="n"/>
      <c r="HS28" s="215" t="n"/>
      <c r="HT28" s="215" t="n"/>
      <c r="HU28" s="215" t="n"/>
      <c r="HV28" s="215" t="n"/>
      <c r="HW28" s="215" t="n"/>
      <c r="HX28" s="215" t="n"/>
      <c r="HY28" s="215" t="n"/>
      <c r="HZ28" s="215" t="n"/>
      <c r="IA28" s="215" t="n"/>
      <c r="IB28" s="215" t="n"/>
      <c r="IC28" s="215" t="n"/>
      <c r="ID28" s="215" t="n"/>
      <c r="IE28" s="215" t="n"/>
      <c r="IF28" s="215" t="n"/>
      <c r="IG28" s="215" t="n"/>
      <c r="IH28" s="215" t="n"/>
      <c r="II28" s="215" t="n"/>
      <c r="IJ28" s="215" t="n"/>
      <c r="IK28" s="215" t="n"/>
      <c r="IL28" s="215" t="n"/>
      <c r="IM28" s="215" t="n"/>
      <c r="IN28" s="215" t="n"/>
      <c r="IO28" s="215" t="n"/>
      <c r="IP28" s="215" t="n"/>
      <c r="IQ28" s="215" t="n"/>
      <c r="IR28" s="215" t="n"/>
      <c r="IS28" s="215" t="n"/>
      <c r="IT28" s="215" t="n"/>
      <c r="IU28" s="215" t="n"/>
      <c r="IV28" s="215" t="n"/>
      <c r="IW28" s="215" t="n"/>
      <c r="IX28" s="215" t="n"/>
      <c r="IY28" s="215" t="n"/>
      <c r="IZ28" s="215" t="n"/>
      <c r="JA28" s="215" t="n"/>
      <c r="JB28" s="215" t="n"/>
      <c r="JC28" s="215" t="n"/>
      <c r="JD28" s="215" t="n"/>
      <c r="JE28" s="215" t="n"/>
      <c r="JF28" s="215" t="n"/>
      <c r="JG28" s="215" t="n"/>
      <c r="JH28" s="215" t="n"/>
      <c r="JI28" s="215" t="n"/>
      <c r="JJ28" s="215" t="n"/>
      <c r="JK28" s="215" t="n"/>
      <c r="JL28" s="215" t="n"/>
      <c r="JM28" s="215" t="n"/>
      <c r="JN28" s="215" t="n"/>
      <c r="JO28" s="215" t="n"/>
      <c r="JP28" s="215" t="n"/>
      <c r="JQ28" s="215" t="n"/>
      <c r="JR28" s="215" t="n"/>
      <c r="JS28" s="215" t="n"/>
      <c r="JT28" s="215" t="n"/>
      <c r="JU28" s="215" t="n"/>
      <c r="JV28" s="215" t="n"/>
      <c r="JW28" s="215" t="n"/>
      <c r="JX28" s="215" t="n"/>
      <c r="JY28" s="215" t="n"/>
      <c r="JZ28" s="215" t="n"/>
      <c r="KA28" s="215" t="n"/>
      <c r="KB28" s="215" t="n"/>
      <c r="KC28" s="215" t="n"/>
      <c r="KD28" s="215" t="n"/>
      <c r="KE28" s="215" t="n"/>
      <c r="KF28" s="215" t="n"/>
      <c r="KG28" s="215" t="n"/>
      <c r="KH28" s="215" t="n"/>
      <c r="KI28" s="215" t="n"/>
      <c r="KJ28" s="215" t="n"/>
      <c r="KK28" s="215" t="n"/>
      <c r="KL28" s="215" t="n"/>
      <c r="KM28" s="215" t="n"/>
      <c r="KN28" s="215" t="n"/>
      <c r="KO28" s="215" t="n"/>
      <c r="KP28" s="215" t="n"/>
      <c r="KQ28" s="215" t="n"/>
      <c r="KR28" s="215" t="n"/>
      <c r="KS28" s="215" t="n"/>
      <c r="KT28" s="215" t="n"/>
      <c r="KU28" s="215" t="n"/>
      <c r="KV28" s="215" t="n"/>
      <c r="KW28" s="215" t="n"/>
      <c r="KX28" s="215" t="n"/>
      <c r="KY28" s="215" t="n"/>
      <c r="KZ28" s="215" t="n"/>
      <c r="LA28" s="215" t="n"/>
      <c r="LB28" s="215" t="n"/>
      <c r="LC28" s="215" t="n"/>
      <c r="LD28" s="215" t="n"/>
      <c r="LE28" s="215" t="n"/>
      <c r="LF28" s="215" t="n"/>
      <c r="LG28" s="215" t="n"/>
      <c r="LH28" s="215" t="n"/>
      <c r="LI28" s="215" t="n"/>
      <c r="LJ28" s="215" t="n"/>
      <c r="LK28" s="215" t="n"/>
      <c r="LL28" s="215" t="n"/>
      <c r="LM28" s="215" t="n"/>
      <c r="LN28" s="215" t="n"/>
      <c r="LO28" s="215" t="n"/>
      <c r="LP28" s="215" t="n"/>
      <c r="LQ28" s="215" t="n"/>
      <c r="LR28" s="215" t="n"/>
      <c r="LS28" s="215" t="n"/>
      <c r="LT28" s="215" t="n"/>
      <c r="LU28" s="215" t="n"/>
      <c r="LV28" s="215" t="n"/>
      <c r="LW28" s="215" t="n"/>
      <c r="LX28" s="215" t="n"/>
      <c r="LY28" s="215" t="n"/>
      <c r="LZ28" s="215" t="n"/>
      <c r="MA28" s="215" t="n"/>
      <c r="MB28" s="215" t="n"/>
      <c r="MC28" s="215" t="n"/>
      <c r="MD28" s="215" t="n"/>
      <c r="ME28" s="215" t="n"/>
      <c r="MF28" s="215" t="n"/>
      <c r="MG28" s="215" t="n"/>
      <c r="MH28" s="215" t="n"/>
      <c r="MI28" s="215" t="n"/>
      <c r="MJ28" s="215" t="n"/>
      <c r="MK28" s="215" t="n"/>
      <c r="ML28" s="215" t="n"/>
      <c r="MM28" s="215" t="n"/>
      <c r="MN28" s="215" t="n"/>
      <c r="MO28" s="215" t="n"/>
      <c r="MP28" s="215" t="n"/>
      <c r="MQ28" s="215" t="n"/>
      <c r="MR28" s="215" t="n"/>
      <c r="MS28" s="215" t="n"/>
      <c r="MT28" s="215" t="n"/>
      <c r="MU28" s="215" t="n"/>
      <c r="MV28" s="215" t="n"/>
      <c r="MW28" s="215" t="n"/>
      <c r="MX28" s="215" t="n"/>
      <c r="MY28" s="215" t="n"/>
      <c r="MZ28" s="215" t="n"/>
      <c r="NA28" s="215" t="n"/>
      <c r="NB28" s="215" t="n"/>
      <c r="NC28" s="216">
        <f>SUM(B28:NB28)</f>
        <v/>
      </c>
    </row>
    <row r="29" ht="14.25" customHeight="1" s="166">
      <c r="A29" s="214" t="inlineStr">
        <is>
          <t>El Takoy</t>
        </is>
      </c>
      <c r="B29" s="215" t="n"/>
      <c r="C29" s="215" t="n"/>
      <c r="D29" s="215" t="n"/>
      <c r="E29" s="215" t="n"/>
      <c r="F29" s="215" t="n"/>
      <c r="G29" s="215" t="n"/>
      <c r="H29" s="215" t="n"/>
      <c r="I29" s="215" t="n"/>
      <c r="J29" s="215" t="n"/>
      <c r="K29" s="215" t="n"/>
      <c r="L29" s="215" t="n"/>
      <c r="M29" s="215" t="n"/>
      <c r="N29" s="215" t="n"/>
      <c r="O29" s="215" t="n"/>
      <c r="P29" s="215" t="n"/>
      <c r="Q29" s="215" t="n"/>
      <c r="R29" s="215" t="n"/>
      <c r="S29" s="215" t="n"/>
      <c r="T29" s="215" t="n"/>
      <c r="U29" s="215" t="n"/>
      <c r="V29" s="215" t="n"/>
      <c r="W29" s="215" t="n"/>
      <c r="X29" s="215" t="n"/>
      <c r="Y29" s="215" t="n"/>
      <c r="Z29" s="215" t="n"/>
      <c r="AA29" s="215" t="n"/>
      <c r="AB29" s="215" t="n"/>
      <c r="AC29" s="215" t="n"/>
      <c r="AD29" s="215" t="n"/>
      <c r="AE29" s="215" t="n"/>
      <c r="AF29" s="215" t="n"/>
      <c r="AG29" s="215" t="n"/>
      <c r="AH29" s="215" t="n"/>
      <c r="AI29" s="215" t="n"/>
      <c r="AJ29" s="215" t="n"/>
      <c r="AK29" s="215" t="n"/>
      <c r="AL29" s="215" t="n"/>
      <c r="AM29" s="215" t="n"/>
      <c r="AN29" s="215" t="n"/>
      <c r="AO29" s="215" t="n"/>
      <c r="AP29" s="215" t="n"/>
      <c r="AQ29" s="215" t="n"/>
      <c r="AR29" s="215" t="n"/>
      <c r="AS29" s="215" t="n"/>
      <c r="AT29" s="215" t="n"/>
      <c r="AU29" s="215" t="n"/>
      <c r="AV29" s="215" t="n"/>
      <c r="AW29" s="215" t="n"/>
      <c r="AX29" s="215" t="n"/>
      <c r="AY29" s="215" t="n"/>
      <c r="AZ29" s="215" t="n"/>
      <c r="BA29" s="215" t="n"/>
      <c r="BB29" s="215" t="n"/>
      <c r="BC29" s="215" t="n"/>
      <c r="BD29" s="215" t="n"/>
      <c r="BE29" s="215" t="n"/>
      <c r="BF29" s="215" t="n"/>
      <c r="BG29" s="215" t="n"/>
      <c r="BH29" s="215" t="n"/>
      <c r="BI29" s="215" t="n"/>
      <c r="BJ29" s="215" t="n"/>
      <c r="BK29" s="215" t="n"/>
      <c r="BL29" s="215" t="n"/>
      <c r="BM29" s="215" t="n"/>
      <c r="BN29" s="215" t="n"/>
      <c r="BO29" s="215" t="n"/>
      <c r="BP29" s="215" t="n"/>
      <c r="BQ29" s="215" t="n"/>
      <c r="BR29" s="215" t="n"/>
      <c r="BS29" s="215" t="n"/>
      <c r="BT29" s="215" t="n"/>
      <c r="BU29" s="215" t="n"/>
      <c r="BV29" s="215" t="n"/>
      <c r="BW29" s="215" t="n"/>
      <c r="BX29" s="215" t="n"/>
      <c r="BY29" s="215" t="n"/>
      <c r="BZ29" s="215" t="n"/>
      <c r="CA29" s="215" t="n"/>
      <c r="CB29" s="215" t="n"/>
      <c r="CC29" s="215" t="n"/>
      <c r="CD29" s="215" t="n"/>
      <c r="CE29" s="215" t="n"/>
      <c r="CF29" s="215" t="n"/>
      <c r="CG29" s="215" t="n"/>
      <c r="CH29" s="215" t="n"/>
      <c r="CI29" s="215" t="n"/>
      <c r="CJ29" s="215" t="n"/>
      <c r="CK29" s="215" t="n"/>
      <c r="CL29" s="215" t="n"/>
      <c r="CM29" s="215" t="n"/>
      <c r="CN29" s="215" t="n"/>
      <c r="CO29" s="215" t="n"/>
      <c r="CP29" s="215" t="n"/>
      <c r="CQ29" s="215" t="n"/>
      <c r="CR29" s="215" t="n"/>
      <c r="CS29" s="215" t="n"/>
      <c r="CT29" s="215" t="n"/>
      <c r="CU29" s="215" t="n"/>
      <c r="CV29" s="215" t="n"/>
      <c r="CW29" s="215" t="n"/>
      <c r="CX29" s="215" t="n"/>
      <c r="CY29" s="215" t="n"/>
      <c r="CZ29" s="215" t="n"/>
      <c r="DA29" s="215" t="n"/>
      <c r="DB29" s="215" t="n"/>
      <c r="DC29" s="215" t="n"/>
      <c r="DD29" s="215" t="n"/>
      <c r="DE29" s="215" t="n"/>
      <c r="DF29" s="215" t="n"/>
      <c r="DG29" s="215" t="n"/>
      <c r="DH29" s="215" t="n"/>
      <c r="DI29" s="215" t="n"/>
      <c r="DJ29" s="215" t="n"/>
      <c r="DK29" s="215" t="n"/>
      <c r="DL29" s="215" t="n"/>
      <c r="DM29" s="215" t="n"/>
      <c r="DN29" s="215" t="n"/>
      <c r="DO29" s="215" t="n"/>
      <c r="DP29" s="215" t="n"/>
      <c r="DQ29" s="215" t="n"/>
      <c r="DR29" s="215" t="n"/>
      <c r="DS29" s="215" t="n"/>
      <c r="DT29" s="215" t="n"/>
      <c r="DU29" s="215" t="n"/>
      <c r="DV29" s="215" t="n"/>
      <c r="DW29" s="215" t="n"/>
      <c r="DX29" s="215" t="n"/>
      <c r="DY29" s="215" t="n"/>
      <c r="DZ29" s="215" t="n"/>
      <c r="EA29" s="215" t="n"/>
      <c r="EB29" s="215" t="n"/>
      <c r="EC29" s="215" t="n"/>
      <c r="ED29" s="215" t="n"/>
      <c r="EE29" s="215" t="n"/>
      <c r="EF29" s="215" t="n"/>
      <c r="EG29" s="215" t="n"/>
      <c r="EH29" s="215" t="n"/>
      <c r="EI29" s="215" t="n"/>
      <c r="EJ29" s="215" t="n"/>
      <c r="EK29" s="215" t="n"/>
      <c r="EL29" s="215" t="n"/>
      <c r="EM29" s="215" t="n"/>
      <c r="EN29" s="215" t="n"/>
      <c r="EO29" s="215" t="n"/>
      <c r="EP29" s="215" t="n"/>
      <c r="EQ29" s="215" t="n"/>
      <c r="ER29" s="215" t="n"/>
      <c r="ES29" s="215" t="n"/>
      <c r="ET29" s="215" t="n"/>
      <c r="EU29" s="215" t="n"/>
      <c r="EV29" s="215" t="n"/>
      <c r="EW29" s="215" t="n"/>
      <c r="EX29" s="215" t="n"/>
      <c r="EY29" s="215" t="n"/>
      <c r="EZ29" s="215" t="n"/>
      <c r="FA29" s="215" t="n"/>
      <c r="FB29" s="215" t="n"/>
      <c r="FC29" s="215" t="n"/>
      <c r="FD29" s="215" t="n"/>
      <c r="FE29" s="215" t="n"/>
      <c r="FF29" s="215" t="n"/>
      <c r="FG29" s="215" t="n"/>
      <c r="FH29" s="215" t="n"/>
      <c r="FI29" s="215" t="n"/>
      <c r="FJ29" s="215" t="n"/>
      <c r="FK29" s="215" t="n"/>
      <c r="FL29" s="215" t="n"/>
      <c r="FM29" s="215" t="n"/>
      <c r="FN29" s="215" t="n"/>
      <c r="FO29" s="215" t="n"/>
      <c r="FP29" s="215" t="n"/>
      <c r="FQ29" s="215" t="n"/>
      <c r="FR29" s="215" t="n"/>
      <c r="FS29" s="215" t="n"/>
      <c r="FT29" s="215" t="n"/>
      <c r="FU29" s="215" t="n"/>
      <c r="FV29" s="215" t="n"/>
      <c r="FW29" s="215" t="n"/>
      <c r="FX29" s="215" t="n"/>
      <c r="FY29" s="215" t="n"/>
      <c r="FZ29" s="215" t="n"/>
      <c r="GA29" s="215" t="n"/>
      <c r="GB29" s="215" t="n"/>
      <c r="GC29" s="215" t="n"/>
      <c r="GD29" s="215" t="n"/>
      <c r="GE29" s="215" t="n"/>
      <c r="GF29" s="215" t="n"/>
      <c r="GG29" s="215" t="n"/>
      <c r="GH29" s="215" t="n"/>
      <c r="GI29" s="215" t="n"/>
      <c r="GJ29" s="215" t="n"/>
      <c r="GK29" s="215" t="n"/>
      <c r="GL29" s="215" t="n"/>
      <c r="GM29" s="215" t="n"/>
      <c r="GN29" s="215" t="n"/>
      <c r="GO29" s="215" t="n"/>
      <c r="GP29" s="215" t="n"/>
      <c r="GQ29" s="215" t="n"/>
      <c r="GR29" s="215" t="n"/>
      <c r="GS29" s="215" t="n"/>
      <c r="GT29" s="215" t="n"/>
      <c r="GU29" s="215" t="n"/>
      <c r="GV29" s="215" t="n"/>
      <c r="GW29" s="215" t="n"/>
      <c r="GX29" s="215" t="n"/>
      <c r="GY29" s="215" t="n"/>
      <c r="GZ29" s="215" t="n"/>
      <c r="HA29" s="215" t="n"/>
      <c r="HB29" s="215" t="n"/>
      <c r="HC29" s="215" t="n"/>
      <c r="HD29" s="215" t="n"/>
      <c r="HE29" s="215" t="n"/>
      <c r="HF29" s="215" t="n"/>
      <c r="HG29" s="215" t="n"/>
      <c r="HH29" s="215" t="n"/>
      <c r="HI29" s="215" t="n"/>
      <c r="HJ29" s="215" t="n"/>
      <c r="HK29" s="215" t="n"/>
      <c r="HL29" s="215" t="n"/>
      <c r="HM29" s="215" t="n"/>
      <c r="HN29" s="215" t="n"/>
      <c r="HO29" s="215" t="n"/>
      <c r="HP29" s="215" t="n"/>
      <c r="HQ29" s="215" t="n"/>
      <c r="HR29" s="215" t="n"/>
      <c r="HS29" s="215" t="n"/>
      <c r="HT29" s="215" t="n"/>
      <c r="HU29" s="215" t="n"/>
      <c r="HV29" s="215" t="n"/>
      <c r="HW29" s="215" t="n"/>
      <c r="HX29" s="215" t="n"/>
      <c r="HY29" s="215" t="n"/>
      <c r="HZ29" s="215" t="n"/>
      <c r="IA29" s="215" t="n"/>
      <c r="IB29" s="215" t="n"/>
      <c r="IC29" s="215" t="n"/>
      <c r="ID29" s="215" t="n"/>
      <c r="IE29" s="215" t="n"/>
      <c r="IF29" s="215" t="n"/>
      <c r="IG29" s="215" t="n"/>
      <c r="IH29" s="215" t="n"/>
      <c r="II29" s="215" t="n"/>
      <c r="IJ29" s="215" t="n"/>
      <c r="IK29" s="215" t="n"/>
      <c r="IL29" s="215" t="n"/>
      <c r="IM29" s="215" t="n"/>
      <c r="IN29" s="215" t="n"/>
      <c r="IO29" s="215" t="n"/>
      <c r="IP29" s="215" t="n"/>
      <c r="IQ29" s="215" t="n"/>
      <c r="IR29" s="215" t="n"/>
      <c r="IS29" s="215" t="n"/>
      <c r="IT29" s="215" t="n"/>
      <c r="IU29" s="215" t="n"/>
      <c r="IV29" s="215" t="n"/>
      <c r="IW29" s="215" t="n"/>
      <c r="IX29" s="215" t="n"/>
      <c r="IY29" s="215" t="n"/>
      <c r="IZ29" s="215" t="n"/>
      <c r="JA29" s="215" t="n"/>
      <c r="JB29" s="215" t="n"/>
      <c r="JC29" s="215" t="n"/>
      <c r="JD29" s="215" t="n"/>
      <c r="JE29" s="215" t="n"/>
      <c r="JF29" s="215" t="n"/>
      <c r="JG29" s="215" t="n"/>
      <c r="JH29" s="215" t="n"/>
      <c r="JI29" s="215" t="n"/>
      <c r="JJ29" s="215" t="n"/>
      <c r="JK29" s="215" t="n"/>
      <c r="JL29" s="215" t="n"/>
      <c r="JM29" s="215" t="n"/>
      <c r="JN29" s="215" t="n"/>
      <c r="JO29" s="215" t="n"/>
      <c r="JP29" s="215" t="n"/>
      <c r="JQ29" s="215" t="n"/>
      <c r="JR29" s="215" t="n"/>
      <c r="JS29" s="215" t="n"/>
      <c r="JT29" s="215" t="n"/>
      <c r="JU29" s="215" t="n"/>
      <c r="JV29" s="215" t="n"/>
      <c r="JW29" s="215" t="n"/>
      <c r="JX29" s="215" t="n"/>
      <c r="JY29" s="215" t="n"/>
      <c r="JZ29" s="215" t="n"/>
      <c r="KA29" s="215" t="n"/>
      <c r="KB29" s="215" t="n"/>
      <c r="KC29" s="215" t="n"/>
      <c r="KD29" s="215" t="n"/>
      <c r="KE29" s="215" t="n"/>
      <c r="KF29" s="215" t="n"/>
      <c r="KG29" s="215" t="n"/>
      <c r="KH29" s="215" t="n"/>
      <c r="KI29" s="215" t="n"/>
      <c r="KJ29" s="215" t="n"/>
      <c r="KK29" s="215" t="n"/>
      <c r="KL29" s="215" t="n"/>
      <c r="KM29" s="215" t="n"/>
      <c r="KN29" s="215" t="n"/>
      <c r="KO29" s="215" t="n"/>
      <c r="KP29" s="215" t="n"/>
      <c r="KQ29" s="215" t="n"/>
      <c r="KR29" s="215" t="n"/>
      <c r="KS29" s="215" t="n"/>
      <c r="KT29" s="215" t="n"/>
      <c r="KU29" s="215" t="n"/>
      <c r="KV29" s="215" t="n"/>
      <c r="KW29" s="215" t="n"/>
      <c r="KX29" s="215" t="n"/>
      <c r="KY29" s="215" t="n"/>
      <c r="KZ29" s="215" t="n"/>
      <c r="LA29" s="215" t="n"/>
      <c r="LB29" s="215" t="n"/>
      <c r="LC29" s="215" t="n"/>
      <c r="LD29" s="215" t="n"/>
      <c r="LE29" s="215" t="n"/>
      <c r="LF29" s="215" t="n"/>
      <c r="LG29" s="215" t="n"/>
      <c r="LH29" s="215" t="n"/>
      <c r="LI29" s="215" t="n"/>
      <c r="LJ29" s="215" t="n"/>
      <c r="LK29" s="215" t="n"/>
      <c r="LL29" s="215" t="n"/>
      <c r="LM29" s="215" t="n"/>
      <c r="LN29" s="215" t="n"/>
      <c r="LO29" s="215" t="n"/>
      <c r="LP29" s="215" t="n"/>
      <c r="LQ29" s="215" t="n"/>
      <c r="LR29" s="215" t="n"/>
      <c r="LS29" s="215" t="n"/>
      <c r="LT29" s="215" t="n"/>
      <c r="LU29" s="215" t="n"/>
      <c r="LV29" s="215" t="n"/>
      <c r="LW29" s="215" t="n"/>
      <c r="LX29" s="215" t="n"/>
      <c r="LY29" s="215" t="n"/>
      <c r="LZ29" s="215" t="n"/>
      <c r="MA29" s="215" t="n"/>
      <c r="MB29" s="215" t="n"/>
      <c r="MC29" s="215" t="n"/>
      <c r="MD29" s="215" t="n"/>
      <c r="ME29" s="215" t="n"/>
      <c r="MF29" s="215" t="n"/>
      <c r="MG29" s="215" t="n"/>
      <c r="MH29" s="215" t="n"/>
      <c r="MI29" s="215" t="n"/>
      <c r="MJ29" s="215" t="n"/>
      <c r="MK29" s="215" t="n"/>
      <c r="ML29" s="215" t="n"/>
      <c r="MM29" s="215" t="n"/>
      <c r="MN29" s="215" t="n"/>
      <c r="MO29" s="215" t="n"/>
      <c r="MP29" s="215" t="n"/>
      <c r="MQ29" s="215" t="n"/>
      <c r="MR29" s="215" t="n"/>
      <c r="MS29" s="215" t="n"/>
      <c r="MT29" s="215" t="n"/>
      <c r="MU29" s="215" t="n"/>
      <c r="MV29" s="215" t="n"/>
      <c r="MW29" s="215" t="n"/>
      <c r="MX29" s="215" t="n"/>
      <c r="MY29" s="215" t="n"/>
      <c r="MZ29" s="215" t="n"/>
      <c r="NA29" s="215" t="n"/>
      <c r="NB29" s="215" t="n"/>
      <c r="NC29" s="216">
        <f>SUM(B29:NB29)</f>
        <v/>
      </c>
    </row>
    <row r="30" ht="14.25" customHeight="1" s="166">
      <c r="A30" s="214" t="inlineStr">
        <is>
          <t>Akira</t>
        </is>
      </c>
      <c r="B30" s="215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  <c r="M30" s="215" t="n"/>
      <c r="N30" s="215" t="n"/>
      <c r="O30" s="215" t="n"/>
      <c r="P30" s="215" t="n"/>
      <c r="Q30" s="215" t="n"/>
      <c r="R30" s="215" t="n"/>
      <c r="S30" s="215" t="n"/>
      <c r="T30" s="215" t="n"/>
      <c r="U30" s="215" t="n"/>
      <c r="V30" s="215" t="n"/>
      <c r="W30" s="215" t="n"/>
      <c r="X30" s="215" t="n"/>
      <c r="Y30" s="215" t="n"/>
      <c r="Z30" s="215" t="n"/>
      <c r="AA30" s="215" t="n"/>
      <c r="AB30" s="215" t="n"/>
      <c r="AC30" s="215" t="n"/>
      <c r="AD30" s="215" t="n"/>
      <c r="AE30" s="215" t="n"/>
      <c r="AF30" s="215" t="n"/>
      <c r="AG30" s="215" t="n"/>
      <c r="AH30" s="215" t="n"/>
      <c r="AI30" s="215" t="n"/>
      <c r="AJ30" s="215" t="n"/>
      <c r="AK30" s="215" t="n"/>
      <c r="AL30" s="215" t="n"/>
      <c r="AM30" s="215" t="n"/>
      <c r="AN30" s="215" t="n"/>
      <c r="AO30" s="215" t="n"/>
      <c r="AP30" s="215" t="n"/>
      <c r="AQ30" s="215" t="n"/>
      <c r="AR30" s="215" t="n"/>
      <c r="AS30" s="215" t="n"/>
      <c r="AT30" s="215" t="n"/>
      <c r="AU30" s="215" t="n"/>
      <c r="AV30" s="215" t="n"/>
      <c r="AW30" s="215" t="n"/>
      <c r="AX30" s="215" t="n"/>
      <c r="AY30" s="215" t="n"/>
      <c r="AZ30" s="215" t="n"/>
      <c r="BA30" s="215" t="n"/>
      <c r="BB30" s="215" t="n"/>
      <c r="BC30" s="215" t="n"/>
      <c r="BD30" s="215" t="n"/>
      <c r="BE30" s="215" t="n"/>
      <c r="BF30" s="215" t="n"/>
      <c r="BG30" s="215" t="n"/>
      <c r="BH30" s="215" t="n"/>
      <c r="BI30" s="215" t="n"/>
      <c r="BJ30" s="215" t="n"/>
      <c r="BK30" s="215" t="n"/>
      <c r="BL30" s="215" t="n"/>
      <c r="BM30" s="215" t="n"/>
      <c r="BN30" s="215" t="n"/>
      <c r="BO30" s="215" t="n"/>
      <c r="BP30" s="215" t="n"/>
      <c r="BQ30" s="215" t="n"/>
      <c r="BR30" s="215" t="n"/>
      <c r="BS30" s="215" t="n"/>
      <c r="BT30" s="215" t="n"/>
      <c r="BU30" s="215" t="n"/>
      <c r="BV30" s="215" t="n"/>
      <c r="BW30" s="215" t="n"/>
      <c r="BX30" s="215" t="n"/>
      <c r="BY30" s="215" t="n"/>
      <c r="BZ30" s="215" t="n"/>
      <c r="CA30" s="215" t="n"/>
      <c r="CB30" s="215" t="n"/>
      <c r="CC30" s="215" t="n"/>
      <c r="CD30" s="215" t="n"/>
      <c r="CE30" s="215" t="n"/>
      <c r="CF30" s="215" t="n"/>
      <c r="CG30" s="215" t="n"/>
      <c r="CH30" s="215" t="n"/>
      <c r="CI30" s="215" t="n"/>
      <c r="CJ30" s="215" t="n"/>
      <c r="CK30" s="215" t="n"/>
      <c r="CL30" s="215" t="n"/>
      <c r="CM30" s="215" t="n"/>
      <c r="CN30" s="215" t="n"/>
      <c r="CO30" s="215" t="n"/>
      <c r="CP30" s="215" t="n"/>
      <c r="CQ30" s="215" t="n"/>
      <c r="CR30" s="215" t="n"/>
      <c r="CS30" s="215" t="n"/>
      <c r="CT30" s="215" t="n"/>
      <c r="CU30" s="215" t="n"/>
      <c r="CV30" s="215" t="n"/>
      <c r="CW30" s="215" t="n"/>
      <c r="CX30" s="215" t="n"/>
      <c r="CY30" s="215" t="n"/>
      <c r="CZ30" s="215" t="n"/>
      <c r="DA30" s="215" t="n"/>
      <c r="DB30" s="215" t="n"/>
      <c r="DC30" s="215" t="n"/>
      <c r="DD30" s="215" t="n"/>
      <c r="DE30" s="215" t="n"/>
      <c r="DF30" s="215" t="n"/>
      <c r="DG30" s="215" t="n"/>
      <c r="DH30" s="215" t="n"/>
      <c r="DI30" s="215" t="n"/>
      <c r="DJ30" s="215" t="n"/>
      <c r="DK30" s="215" t="n"/>
      <c r="DL30" s="215" t="n"/>
      <c r="DM30" s="215" t="n"/>
      <c r="DN30" s="215" t="n"/>
      <c r="DO30" s="215" t="n"/>
      <c r="DP30" s="215" t="n"/>
      <c r="DQ30" s="215" t="n"/>
      <c r="DR30" s="215" t="n"/>
      <c r="DS30" s="215" t="n"/>
      <c r="DT30" s="215" t="n"/>
      <c r="DU30" s="215" t="n"/>
      <c r="DV30" s="215" t="n"/>
      <c r="DW30" s="215" t="n"/>
      <c r="DX30" s="215" t="n"/>
      <c r="DY30" s="215" t="n"/>
      <c r="DZ30" s="215" t="n"/>
      <c r="EA30" s="215" t="n"/>
      <c r="EB30" s="215" t="n"/>
      <c r="EC30" s="215" t="n"/>
      <c r="ED30" s="215" t="n"/>
      <c r="EE30" s="215" t="n"/>
      <c r="EF30" s="215" t="n"/>
      <c r="EG30" s="215" t="n"/>
      <c r="EH30" s="215" t="n"/>
      <c r="EI30" s="215" t="n"/>
      <c r="EJ30" s="215" t="n"/>
      <c r="EK30" s="215" t="n"/>
      <c r="EL30" s="215" t="n"/>
      <c r="EM30" s="215" t="n"/>
      <c r="EN30" s="215" t="n"/>
      <c r="EO30" s="215" t="n"/>
      <c r="EP30" s="215" t="n"/>
      <c r="EQ30" s="215" t="n"/>
      <c r="ER30" s="215" t="n"/>
      <c r="ES30" s="215" t="n"/>
      <c r="ET30" s="215" t="n"/>
      <c r="EU30" s="215" t="n"/>
      <c r="EV30" s="215" t="n"/>
      <c r="EW30" s="215" t="n"/>
      <c r="EX30" s="215" t="n"/>
      <c r="EY30" s="215" t="n"/>
      <c r="EZ30" s="215" t="n"/>
      <c r="FA30" s="215" t="n"/>
      <c r="FB30" s="215" t="n"/>
      <c r="FC30" s="215" t="n"/>
      <c r="FD30" s="215" t="n"/>
      <c r="FE30" s="215" t="n"/>
      <c r="FF30" s="215" t="n"/>
      <c r="FG30" s="215" t="n"/>
      <c r="FH30" s="215" t="n"/>
      <c r="FI30" s="215" t="n"/>
      <c r="FJ30" s="215" t="n"/>
      <c r="FK30" s="215" t="n"/>
      <c r="FL30" s="215" t="n"/>
      <c r="FM30" s="215" t="n"/>
      <c r="FN30" s="215" t="n"/>
      <c r="FO30" s="215" t="n"/>
      <c r="FP30" s="215" t="n"/>
      <c r="FQ30" s="215" t="n"/>
      <c r="FR30" s="215" t="n"/>
      <c r="FS30" s="215" t="n"/>
      <c r="FT30" s="215" t="n"/>
      <c r="FU30" s="215" t="n"/>
      <c r="FV30" s="215" t="n"/>
      <c r="FW30" s="215" t="n"/>
      <c r="FX30" s="215" t="n"/>
      <c r="FY30" s="215" t="n"/>
      <c r="FZ30" s="215" t="n"/>
      <c r="GA30" s="215" t="n"/>
      <c r="GB30" s="215" t="n"/>
      <c r="GC30" s="215" t="n"/>
      <c r="GD30" s="215" t="n"/>
      <c r="GE30" s="215" t="n"/>
      <c r="GF30" s="215" t="n"/>
      <c r="GG30" s="215" t="n"/>
      <c r="GH30" s="215" t="n"/>
      <c r="GI30" s="215" t="n"/>
      <c r="GJ30" s="215" t="n"/>
      <c r="GK30" s="215" t="n"/>
      <c r="GL30" s="215" t="n"/>
      <c r="GM30" s="215" t="n"/>
      <c r="GN30" s="215" t="n"/>
      <c r="GO30" s="215" t="n"/>
      <c r="GP30" s="215" t="n"/>
      <c r="GQ30" s="215" t="n"/>
      <c r="GR30" s="215" t="n"/>
      <c r="GS30" s="215" t="n"/>
      <c r="GT30" s="215" t="n"/>
      <c r="GU30" s="215" t="n"/>
      <c r="GV30" s="215" t="n"/>
      <c r="GW30" s="215" t="n"/>
      <c r="GX30" s="215" t="n"/>
      <c r="GY30" s="215" t="n"/>
      <c r="GZ30" s="215" t="n"/>
      <c r="HA30" s="215" t="n"/>
      <c r="HB30" s="215" t="n"/>
      <c r="HC30" s="215" t="n"/>
      <c r="HD30" s="215" t="n"/>
      <c r="HE30" s="215" t="n"/>
      <c r="HF30" s="215" t="n"/>
      <c r="HG30" s="215" t="n"/>
      <c r="HH30" s="215" t="n"/>
      <c r="HI30" s="215" t="n"/>
      <c r="HJ30" s="215" t="n"/>
      <c r="HK30" s="215" t="n"/>
      <c r="HL30" s="215" t="n"/>
      <c r="HM30" s="215" t="n"/>
      <c r="HN30" s="215" t="n"/>
      <c r="HO30" s="215" t="n"/>
      <c r="HP30" s="215" t="n"/>
      <c r="HQ30" s="215" t="n"/>
      <c r="HR30" s="215" t="n"/>
      <c r="HS30" s="215" t="n"/>
      <c r="HT30" s="215" t="n"/>
      <c r="HU30" s="215" t="n"/>
      <c r="HV30" s="215" t="n"/>
      <c r="HW30" s="215" t="n"/>
      <c r="HX30" s="215" t="n"/>
      <c r="HY30" s="215" t="n"/>
      <c r="HZ30" s="215" t="n"/>
      <c r="IA30" s="215" t="n"/>
      <c r="IB30" s="215" t="n"/>
      <c r="IC30" s="215" t="n"/>
      <c r="ID30" s="215" t="n"/>
      <c r="IE30" s="215" t="n"/>
      <c r="IF30" s="215" t="n"/>
      <c r="IG30" s="215" t="n"/>
      <c r="IH30" s="215" t="n"/>
      <c r="II30" s="215" t="n"/>
      <c r="IJ30" s="215" t="n"/>
      <c r="IK30" s="215" t="n"/>
      <c r="IL30" s="215" t="n"/>
      <c r="IM30" s="215" t="n"/>
      <c r="IN30" s="215" t="n"/>
      <c r="IO30" s="215" t="n"/>
      <c r="IP30" s="215" t="n"/>
      <c r="IQ30" s="215" t="n"/>
      <c r="IR30" s="215" t="n"/>
      <c r="IS30" s="215" t="n"/>
      <c r="IT30" s="215" t="n"/>
      <c r="IU30" s="215" t="n"/>
      <c r="IV30" s="215" t="n"/>
      <c r="IW30" s="215" t="n"/>
      <c r="IX30" s="215" t="n"/>
      <c r="IY30" s="215" t="n"/>
      <c r="IZ30" s="215" t="n"/>
      <c r="JA30" s="215" t="n"/>
      <c r="JB30" s="215" t="n"/>
      <c r="JC30" s="215" t="n"/>
      <c r="JD30" s="215" t="n"/>
      <c r="JE30" s="215" t="n"/>
      <c r="JF30" s="215" t="n"/>
      <c r="JG30" s="215" t="n"/>
      <c r="JH30" s="215" t="n"/>
      <c r="JI30" s="215" t="n"/>
      <c r="JJ30" s="215" t="n"/>
      <c r="JK30" s="215" t="n"/>
      <c r="JL30" s="215" t="n"/>
      <c r="JM30" s="215" t="n"/>
      <c r="JN30" s="215" t="n"/>
      <c r="JO30" s="215" t="n"/>
      <c r="JP30" s="215" t="n"/>
      <c r="JQ30" s="215" t="n"/>
      <c r="JR30" s="215" t="n"/>
      <c r="JS30" s="215" t="n"/>
      <c r="JT30" s="215" t="n"/>
      <c r="JU30" s="215" t="n"/>
      <c r="JV30" s="215" t="n"/>
      <c r="JW30" s="215" t="n"/>
      <c r="JX30" s="215" t="n"/>
      <c r="JY30" s="215" t="n"/>
      <c r="JZ30" s="215" t="n"/>
      <c r="KA30" s="215" t="n"/>
      <c r="KB30" s="215" t="n"/>
      <c r="KC30" s="215" t="n"/>
      <c r="KD30" s="215" t="n"/>
      <c r="KE30" s="215" t="n"/>
      <c r="KF30" s="215" t="n"/>
      <c r="KG30" s="215" t="n"/>
      <c r="KH30" s="215" t="n"/>
      <c r="KI30" s="215" t="n"/>
      <c r="KJ30" s="215" t="n"/>
      <c r="KK30" s="215" t="n"/>
      <c r="KL30" s="215" t="n"/>
      <c r="KM30" s="215" t="n"/>
      <c r="KN30" s="215" t="n"/>
      <c r="KO30" s="215" t="n"/>
      <c r="KP30" s="215" t="n"/>
      <c r="KQ30" s="215" t="n"/>
      <c r="KR30" s="215" t="n"/>
      <c r="KS30" s="215" t="n"/>
      <c r="KT30" s="215" t="n"/>
      <c r="KU30" s="215" t="n"/>
      <c r="KV30" s="215" t="n"/>
      <c r="KW30" s="215" t="n"/>
      <c r="KX30" s="215" t="n"/>
      <c r="KY30" s="215" t="n"/>
      <c r="KZ30" s="215" t="n"/>
      <c r="LA30" s="215" t="n"/>
      <c r="LB30" s="215" t="n"/>
      <c r="LC30" s="215" t="n"/>
      <c r="LD30" s="215" t="n"/>
      <c r="LE30" s="215" t="n"/>
      <c r="LF30" s="215" t="n"/>
      <c r="LG30" s="215" t="n"/>
      <c r="LH30" s="215" t="n"/>
      <c r="LI30" s="215" t="n"/>
      <c r="LJ30" s="215" t="n"/>
      <c r="LK30" s="215" t="n"/>
      <c r="LL30" s="215" t="n"/>
      <c r="LM30" s="215" t="n"/>
      <c r="LN30" s="215" t="n"/>
      <c r="LO30" s="215" t="n"/>
      <c r="LP30" s="215" t="n"/>
      <c r="LQ30" s="215" t="n"/>
      <c r="LR30" s="215" t="n"/>
      <c r="LS30" s="215" t="n"/>
      <c r="LT30" s="215" t="n"/>
      <c r="LU30" s="215" t="n"/>
      <c r="LV30" s="215" t="n"/>
      <c r="LW30" s="215" t="n"/>
      <c r="LX30" s="215" t="n"/>
      <c r="LY30" s="215" t="n"/>
      <c r="LZ30" s="215" t="n"/>
      <c r="MA30" s="215" t="n"/>
      <c r="MB30" s="215" t="n"/>
      <c r="MC30" s="215" t="n"/>
      <c r="MD30" s="215" t="n"/>
      <c r="ME30" s="215" t="n"/>
      <c r="MF30" s="215" t="n"/>
      <c r="MG30" s="215" t="n"/>
      <c r="MH30" s="215" t="n"/>
      <c r="MI30" s="215" t="n"/>
      <c r="MJ30" s="215" t="n"/>
      <c r="MK30" s="215" t="n"/>
      <c r="ML30" s="215" t="n"/>
      <c r="MM30" s="215" t="n"/>
      <c r="MN30" s="215" t="n"/>
      <c r="MO30" s="215" t="n"/>
      <c r="MP30" s="215" t="n"/>
      <c r="MQ30" s="215" t="n"/>
      <c r="MR30" s="215" t="n"/>
      <c r="MS30" s="215" t="n"/>
      <c r="MT30" s="215" t="n"/>
      <c r="MU30" s="215" t="n"/>
      <c r="MV30" s="215" t="n"/>
      <c r="MW30" s="215" t="n"/>
      <c r="MX30" s="215" t="n"/>
      <c r="MY30" s="215" t="n"/>
      <c r="MZ30" s="215" t="n"/>
      <c r="NA30" s="215" t="n"/>
      <c r="NB30" s="215" t="n"/>
      <c r="NC30" s="216">
        <f>SUM(B30:NB30)</f>
        <v/>
      </c>
    </row>
    <row r="31" ht="14.25" customHeight="1" s="166">
      <c r="A31" s="214" t="inlineStr">
        <is>
          <t>Havanna</t>
        </is>
      </c>
      <c r="B31" s="215" t="n"/>
      <c r="C31" s="215" t="n"/>
      <c r="D31" s="215" t="n"/>
      <c r="E31" s="215" t="n"/>
      <c r="F31" s="215" t="n"/>
      <c r="G31" s="215" t="n"/>
      <c r="H31" s="215" t="n"/>
      <c r="I31" s="215" t="n"/>
      <c r="J31" s="215" t="n"/>
      <c r="K31" s="215" t="n"/>
      <c r="L31" s="215" t="n"/>
      <c r="M31" s="215" t="n"/>
      <c r="N31" s="215" t="n"/>
      <c r="O31" s="215" t="n"/>
      <c r="P31" s="215" t="n"/>
      <c r="Q31" s="215" t="n"/>
      <c r="R31" s="215" t="n"/>
      <c r="S31" s="215" t="n"/>
      <c r="T31" s="215" t="n"/>
      <c r="U31" s="215" t="n"/>
      <c r="V31" s="215" t="n"/>
      <c r="W31" s="215" t="n"/>
      <c r="X31" s="215" t="n"/>
      <c r="Y31" s="215" t="n"/>
      <c r="Z31" s="215" t="n"/>
      <c r="AA31" s="215" t="n"/>
      <c r="AB31" s="215" t="n"/>
      <c r="AC31" s="215" t="n"/>
      <c r="AD31" s="215" t="n"/>
      <c r="AE31" s="215" t="n"/>
      <c r="AF31" s="215" t="n"/>
      <c r="AG31" s="215" t="n"/>
      <c r="AH31" s="215" t="n"/>
      <c r="AI31" s="215" t="n"/>
      <c r="AJ31" s="215" t="n"/>
      <c r="AK31" s="215" t="n"/>
      <c r="AL31" s="215" t="n"/>
      <c r="AM31" s="215" t="n"/>
      <c r="AN31" s="215" t="n"/>
      <c r="AO31" s="215" t="n"/>
      <c r="AP31" s="215" t="n"/>
      <c r="AQ31" s="215" t="n"/>
      <c r="AR31" s="215" t="n"/>
      <c r="AS31" s="215" t="n"/>
      <c r="AT31" s="215" t="n"/>
      <c r="AU31" s="215" t="n"/>
      <c r="AV31" s="215" t="n"/>
      <c r="AW31" s="215" t="n"/>
      <c r="AX31" s="215" t="n"/>
      <c r="AY31" s="215" t="n"/>
      <c r="AZ31" s="215" t="n"/>
      <c r="BA31" s="215" t="n"/>
      <c r="BB31" s="215" t="n"/>
      <c r="BC31" s="215" t="n"/>
      <c r="BD31" s="215" t="n"/>
      <c r="BE31" s="215" t="n"/>
      <c r="BF31" s="215" t="n"/>
      <c r="BG31" s="215" t="n"/>
      <c r="BH31" s="215" t="n"/>
      <c r="BI31" s="215" t="n"/>
      <c r="BJ31" s="215" t="n"/>
      <c r="BK31" s="215" t="n"/>
      <c r="BL31" s="215" t="n"/>
      <c r="BM31" s="215" t="n"/>
      <c r="BN31" s="215" t="n"/>
      <c r="BO31" s="215" t="n"/>
      <c r="BP31" s="215" t="n"/>
      <c r="BQ31" s="215" t="n"/>
      <c r="BR31" s="215" t="n"/>
      <c r="BS31" s="215" t="n"/>
      <c r="BT31" s="215" t="n"/>
      <c r="BU31" s="215" t="n"/>
      <c r="BV31" s="215" t="n"/>
      <c r="BW31" s="215" t="n"/>
      <c r="BX31" s="215" t="n"/>
      <c r="BY31" s="215" t="n"/>
      <c r="BZ31" s="215" t="n"/>
      <c r="CA31" s="215" t="n"/>
      <c r="CB31" s="215" t="n"/>
      <c r="CC31" s="215" t="n"/>
      <c r="CD31" s="215" t="n"/>
      <c r="CE31" s="215" t="n"/>
      <c r="CF31" s="215" t="n"/>
      <c r="CG31" s="215" t="n"/>
      <c r="CH31" s="215" t="n"/>
      <c r="CI31" s="215" t="n"/>
      <c r="CJ31" s="215" t="n"/>
      <c r="CK31" s="215" t="n"/>
      <c r="CL31" s="215" t="n"/>
      <c r="CM31" s="215" t="n"/>
      <c r="CN31" s="215" t="n"/>
      <c r="CO31" s="215" t="n"/>
      <c r="CP31" s="215" t="n"/>
      <c r="CQ31" s="215" t="n"/>
      <c r="CR31" s="215" t="n"/>
      <c r="CS31" s="215" t="n"/>
      <c r="CT31" s="215" t="n"/>
      <c r="CU31" s="215" t="n"/>
      <c r="CV31" s="215" t="n"/>
      <c r="CW31" s="215" t="n"/>
      <c r="CX31" s="215" t="n"/>
      <c r="CY31" s="215" t="n"/>
      <c r="CZ31" s="215" t="n"/>
      <c r="DA31" s="215" t="n"/>
      <c r="DB31" s="215" t="n"/>
      <c r="DC31" s="215" t="n"/>
      <c r="DD31" s="215" t="n"/>
      <c r="DE31" s="215" t="n"/>
      <c r="DF31" s="215" t="n"/>
      <c r="DG31" s="215" t="n"/>
      <c r="DH31" s="215" t="n"/>
      <c r="DI31" s="215" t="n"/>
      <c r="DJ31" s="215" t="n"/>
      <c r="DK31" s="215" t="n"/>
      <c r="DL31" s="215" t="n"/>
      <c r="DM31" s="215" t="n"/>
      <c r="DN31" s="215" t="n"/>
      <c r="DO31" s="215" t="n"/>
      <c r="DP31" s="215" t="n"/>
      <c r="DQ31" s="215" t="n"/>
      <c r="DR31" s="215" t="n"/>
      <c r="DS31" s="215" t="n"/>
      <c r="DT31" s="215" t="n"/>
      <c r="DU31" s="215" t="n"/>
      <c r="DV31" s="215" t="n"/>
      <c r="DW31" s="215" t="n"/>
      <c r="DX31" s="215" t="n"/>
      <c r="DY31" s="215" t="n"/>
      <c r="DZ31" s="215" t="n"/>
      <c r="EA31" s="215" t="n"/>
      <c r="EB31" s="215" t="n"/>
      <c r="EC31" s="215" t="n"/>
      <c r="ED31" s="215" t="n"/>
      <c r="EE31" s="215" t="n"/>
      <c r="EF31" s="215" t="n"/>
      <c r="EG31" s="215" t="n"/>
      <c r="EH31" s="215" t="n"/>
      <c r="EI31" s="215" t="n"/>
      <c r="EJ31" s="215" t="n"/>
      <c r="EK31" s="215" t="n"/>
      <c r="EL31" s="215" t="n"/>
      <c r="EM31" s="215" t="n"/>
      <c r="EN31" s="215" t="n"/>
      <c r="EO31" s="215" t="n"/>
      <c r="EP31" s="215" t="n"/>
      <c r="EQ31" s="215" t="n"/>
      <c r="ER31" s="215" t="n"/>
      <c r="ES31" s="215" t="n"/>
      <c r="ET31" s="215" t="n"/>
      <c r="EU31" s="215" t="n"/>
      <c r="EV31" s="215" t="n"/>
      <c r="EW31" s="215" t="n"/>
      <c r="EX31" s="215" t="n"/>
      <c r="EY31" s="215" t="n"/>
      <c r="EZ31" s="215" t="n"/>
      <c r="FA31" s="215" t="n"/>
      <c r="FB31" s="215" t="n"/>
      <c r="FC31" s="215" t="n"/>
      <c r="FD31" s="215" t="n"/>
      <c r="FE31" s="215" t="n"/>
      <c r="FF31" s="215" t="n"/>
      <c r="FG31" s="215" t="n"/>
      <c r="FH31" s="215" t="n"/>
      <c r="FI31" s="215" t="n"/>
      <c r="FJ31" s="215" t="n"/>
      <c r="FK31" s="215" t="n"/>
      <c r="FL31" s="215" t="n"/>
      <c r="FM31" s="215" t="n"/>
      <c r="FN31" s="215" t="n"/>
      <c r="FO31" s="215" t="n"/>
      <c r="FP31" s="215" t="n"/>
      <c r="FQ31" s="215" t="n"/>
      <c r="FR31" s="215" t="n"/>
      <c r="FS31" s="215" t="n"/>
      <c r="FT31" s="215" t="n"/>
      <c r="FU31" s="215" t="n"/>
      <c r="FV31" s="215" t="n"/>
      <c r="FW31" s="215" t="n"/>
      <c r="FX31" s="215" t="n"/>
      <c r="FY31" s="215" t="n"/>
      <c r="FZ31" s="215" t="n"/>
      <c r="GA31" s="215" t="n"/>
      <c r="GB31" s="215" t="n"/>
      <c r="GC31" s="215" t="n"/>
      <c r="GD31" s="215" t="n"/>
      <c r="GE31" s="215" t="n"/>
      <c r="GF31" s="215" t="n"/>
      <c r="GG31" s="215" t="n"/>
      <c r="GH31" s="215" t="n"/>
      <c r="GI31" s="215" t="n"/>
      <c r="GJ31" s="215" t="n"/>
      <c r="GK31" s="215" t="n"/>
      <c r="GL31" s="215" t="n"/>
      <c r="GM31" s="215" t="n"/>
      <c r="GN31" s="215" t="n"/>
      <c r="GO31" s="215" t="n"/>
      <c r="GP31" s="215" t="n"/>
      <c r="GQ31" s="215" t="n"/>
      <c r="GR31" s="215" t="n"/>
      <c r="GS31" s="215" t="n"/>
      <c r="GT31" s="215" t="n"/>
      <c r="GU31" s="215" t="n"/>
      <c r="GV31" s="215" t="n"/>
      <c r="GW31" s="215" t="n"/>
      <c r="GX31" s="215" t="n"/>
      <c r="GY31" s="215" t="n"/>
      <c r="GZ31" s="215" t="n"/>
      <c r="HA31" s="215" t="n"/>
      <c r="HB31" s="215" t="n"/>
      <c r="HC31" s="215" t="n"/>
      <c r="HD31" s="215" t="n"/>
      <c r="HE31" s="215" t="n"/>
      <c r="HF31" s="215" t="n"/>
      <c r="HG31" s="215" t="n"/>
      <c r="HH31" s="215" t="n"/>
      <c r="HI31" s="215" t="n"/>
      <c r="HJ31" s="215" t="n"/>
      <c r="HK31" s="215" t="n"/>
      <c r="HL31" s="215" t="n"/>
      <c r="HM31" s="215" t="n"/>
      <c r="HN31" s="215" t="n"/>
      <c r="HO31" s="215" t="n"/>
      <c r="HP31" s="215" t="n"/>
      <c r="HQ31" s="215" t="n"/>
      <c r="HR31" s="215" t="n"/>
      <c r="HS31" s="215" t="n"/>
      <c r="HT31" s="215" t="n"/>
      <c r="HU31" s="215" t="n"/>
      <c r="HV31" s="215" t="n"/>
      <c r="HW31" s="215" t="n"/>
      <c r="HX31" s="215" t="n"/>
      <c r="HY31" s="215" t="n"/>
      <c r="HZ31" s="215" t="n"/>
      <c r="IA31" s="215" t="n"/>
      <c r="IB31" s="215" t="n"/>
      <c r="IC31" s="215" t="n"/>
      <c r="ID31" s="215" t="n"/>
      <c r="IE31" s="215" t="n"/>
      <c r="IF31" s="215" t="n"/>
      <c r="IG31" s="215" t="n"/>
      <c r="IH31" s="215" t="n"/>
      <c r="II31" s="215" t="n"/>
      <c r="IJ31" s="215" t="n"/>
      <c r="IK31" s="215" t="n"/>
      <c r="IL31" s="215" t="n"/>
      <c r="IM31" s="215" t="n"/>
      <c r="IN31" s="215" t="n"/>
      <c r="IO31" s="215" t="n"/>
      <c r="IP31" s="215" t="n"/>
      <c r="IQ31" s="215" t="n"/>
      <c r="IR31" s="215" t="n"/>
      <c r="IS31" s="215" t="n"/>
      <c r="IT31" s="215" t="n"/>
      <c r="IU31" s="215" t="n"/>
      <c r="IV31" s="215" t="n"/>
      <c r="IW31" s="215" t="n"/>
      <c r="IX31" s="215" t="n"/>
      <c r="IY31" s="215" t="n"/>
      <c r="IZ31" s="215" t="n"/>
      <c r="JA31" s="215" t="n"/>
      <c r="JB31" s="215" t="n"/>
      <c r="JC31" s="215" t="n"/>
      <c r="JD31" s="215" t="n"/>
      <c r="JE31" s="215" t="n"/>
      <c r="JF31" s="215" t="n"/>
      <c r="JG31" s="215" t="n"/>
      <c r="JH31" s="215" t="n"/>
      <c r="JI31" s="215" t="n"/>
      <c r="JJ31" s="215" t="n"/>
      <c r="JK31" s="215" t="n"/>
      <c r="JL31" s="215" t="n"/>
      <c r="JM31" s="215" t="n"/>
      <c r="JN31" s="215" t="n"/>
      <c r="JO31" s="215" t="n"/>
      <c r="JP31" s="215" t="n"/>
      <c r="JQ31" s="215" t="n"/>
      <c r="JR31" s="215" t="n"/>
      <c r="JS31" s="215" t="n"/>
      <c r="JT31" s="215" t="n"/>
      <c r="JU31" s="215" t="n"/>
      <c r="JV31" s="215" t="n"/>
      <c r="JW31" s="215" t="n"/>
      <c r="JX31" s="215" t="n"/>
      <c r="JY31" s="215" t="n"/>
      <c r="JZ31" s="215" t="n"/>
      <c r="KA31" s="215" t="n"/>
      <c r="KB31" s="215" t="n"/>
      <c r="KC31" s="215" t="n"/>
      <c r="KD31" s="215" t="n"/>
      <c r="KE31" s="215" t="n"/>
      <c r="KF31" s="215" t="n"/>
      <c r="KG31" s="215" t="n"/>
      <c r="KH31" s="215" t="n"/>
      <c r="KI31" s="215" t="n"/>
      <c r="KJ31" s="215" t="n"/>
      <c r="KK31" s="215" t="n"/>
      <c r="KL31" s="215" t="n"/>
      <c r="KM31" s="215" t="n"/>
      <c r="KN31" s="215" t="n"/>
      <c r="KO31" s="215" t="n"/>
      <c r="KP31" s="215" t="n"/>
      <c r="KQ31" s="215" t="n"/>
      <c r="KR31" s="215" t="n"/>
      <c r="KS31" s="215" t="n"/>
      <c r="KT31" s="215" t="n"/>
      <c r="KU31" s="215" t="n"/>
      <c r="KV31" s="215" t="n"/>
      <c r="KW31" s="215" t="n"/>
      <c r="KX31" s="215" t="n"/>
      <c r="KY31" s="215" t="n"/>
      <c r="KZ31" s="215" t="n"/>
      <c r="LA31" s="215" t="n"/>
      <c r="LB31" s="215" t="n"/>
      <c r="LC31" s="215" t="n"/>
      <c r="LD31" s="215" t="n"/>
      <c r="LE31" s="215" t="n"/>
      <c r="LF31" s="215" t="n"/>
      <c r="LG31" s="215" t="n"/>
      <c r="LH31" s="215" t="n"/>
      <c r="LI31" s="215" t="n"/>
      <c r="LJ31" s="215" t="n"/>
      <c r="LK31" s="215" t="n"/>
      <c r="LL31" s="215" t="n"/>
      <c r="LM31" s="215" t="n"/>
      <c r="LN31" s="215" t="n"/>
      <c r="LO31" s="215" t="n"/>
      <c r="LP31" s="215" t="n"/>
      <c r="LQ31" s="215" t="n"/>
      <c r="LR31" s="215" t="n"/>
      <c r="LS31" s="215" t="n"/>
      <c r="LT31" s="215" t="n"/>
      <c r="LU31" s="215" t="n"/>
      <c r="LV31" s="215" t="n"/>
      <c r="LW31" s="215" t="n"/>
      <c r="LX31" s="215" t="n"/>
      <c r="LY31" s="215" t="n"/>
      <c r="LZ31" s="215" t="n"/>
      <c r="MA31" s="215" t="n"/>
      <c r="MB31" s="215" t="n"/>
      <c r="MC31" s="215" t="n"/>
      <c r="MD31" s="215" t="n"/>
      <c r="ME31" s="215" t="n"/>
      <c r="MF31" s="215" t="n"/>
      <c r="MG31" s="215" t="n"/>
      <c r="MH31" s="215" t="n"/>
      <c r="MI31" s="215" t="n"/>
      <c r="MJ31" s="215" t="n"/>
      <c r="MK31" s="215" t="n"/>
      <c r="ML31" s="215" t="n"/>
      <c r="MM31" s="215" t="n"/>
      <c r="MN31" s="215" t="n"/>
      <c r="MO31" s="215" t="n"/>
      <c r="MP31" s="215" t="n"/>
      <c r="MQ31" s="215" t="n"/>
      <c r="MR31" s="215" t="n"/>
      <c r="MS31" s="215" t="n"/>
      <c r="MT31" s="215" t="n"/>
      <c r="MU31" s="215" t="n"/>
      <c r="MV31" s="215" t="n"/>
      <c r="MW31" s="215" t="n"/>
      <c r="MX31" s="215" t="n"/>
      <c r="MY31" s="215" t="n"/>
      <c r="MZ31" s="215" t="n"/>
      <c r="NA31" s="215" t="n"/>
      <c r="NB31" s="215" t="n"/>
      <c r="NC31" s="216">
        <f>SUM(B31:NB31)</f>
        <v/>
      </c>
    </row>
    <row r="32" ht="14.25" customHeight="1" s="166">
      <c r="A32" s="217" t="inlineStr">
        <is>
          <t>WATER DAILY CONSUMPTION (m³)</t>
        </is>
      </c>
      <c r="B32" s="218" t="n"/>
      <c r="C32" s="218">
        <f>IF(COUNT(B22:B31,C22:C31)=0,"",SUMPRODUCT(--(B22:B31&lt;&gt;""),--(C22:C31&lt;&gt;""),C22:C31-B22:B31))</f>
        <v/>
      </c>
      <c r="D32" s="218">
        <f>IF(COUNT(C22:C31,D22:D31)=0,"",SUMPRODUCT(--(C22:C31&lt;&gt;""),--(D22:D31&lt;&gt;""),D22:D31-C22:C31))</f>
        <v/>
      </c>
      <c r="E32" s="218">
        <f>IF(COUNT(D22:D31,E22:E31)=0,"",SUMPRODUCT(--(D22:D31&lt;&gt;""),--(E22:E31&lt;&gt;""),E22:E31-D22:D31))</f>
        <v/>
      </c>
      <c r="F32" s="218">
        <f>IF(COUNT(E22:E31,F22:F31)=0,"",SUMPRODUCT(--(E22:E31&lt;&gt;""),--(F22:F31&lt;&gt;""),F22:F31-E22:E31))</f>
        <v/>
      </c>
      <c r="G32" s="218">
        <f>IF(COUNT(F22:F31,G22:G31)=0,"",SUMPRODUCT(--(F22:F31&lt;&gt;""),--(G22:G31&lt;&gt;""),G22:G31-F22:F31))</f>
        <v/>
      </c>
      <c r="H32" s="218">
        <f>IF(COUNT(G22:G31,H22:H31)=0,"",SUMPRODUCT(--(G22:G31&lt;&gt;""),--(H22:H31&lt;&gt;""),H22:H31-G22:G31))</f>
        <v/>
      </c>
      <c r="I32" s="218">
        <f>IF(COUNT(H22:H31,I22:I31)=0,"",SUMPRODUCT(--(H22:H31&lt;&gt;""),--(I22:I31&lt;&gt;""),I22:I31-H22:H31))</f>
        <v/>
      </c>
      <c r="J32" s="218">
        <f>IF(COUNT(I22:I31,J22:J31)=0,"",SUMPRODUCT(--(I22:I31&lt;&gt;""),--(J22:J31&lt;&gt;""),J22:J31-I22:I31))</f>
        <v/>
      </c>
      <c r="K32" s="218">
        <f>IF(COUNT(J22:J31,K22:K31)=0,"",SUMPRODUCT(--(J22:J31&lt;&gt;""),--(K22:K31&lt;&gt;""),K22:K31-J22:J31))</f>
        <v/>
      </c>
      <c r="L32" s="218">
        <f>IF(COUNT(K22:K31,L22:L31)=0,"",SUMPRODUCT(--(K22:K31&lt;&gt;""),--(L22:L31&lt;&gt;""),L22:L31-K22:K31))</f>
        <v/>
      </c>
      <c r="M32" s="218">
        <f>IF(COUNT(L22:L31,M22:M31)=0,"",SUMPRODUCT(--(L22:L31&lt;&gt;""),--(M22:M31&lt;&gt;""),M22:M31-L22:L31))</f>
        <v/>
      </c>
      <c r="N32" s="218">
        <f>IF(COUNT(M22:M31,N22:N31)=0,"",SUMPRODUCT(--(M22:M31&lt;&gt;""),--(N22:N31&lt;&gt;""),N22:N31-M22:M31))</f>
        <v/>
      </c>
      <c r="O32" s="218">
        <f>IF(COUNT(N22:N31,O22:O31)=0,"",SUMPRODUCT(--(N22:N31&lt;&gt;""),--(O22:O31&lt;&gt;""),O22:O31-N22:N31))</f>
        <v/>
      </c>
      <c r="P32" s="218">
        <f>IF(COUNT(O22:O31,P22:P31)=0,"",SUMPRODUCT(--(O22:O31&lt;&gt;""),--(P22:P31&lt;&gt;""),P22:P31-O22:O31))</f>
        <v/>
      </c>
      <c r="Q32" s="218">
        <f>IF(COUNT(P22:P31,Q22:Q31)=0,"",SUMPRODUCT(--(P22:P31&lt;&gt;""),--(Q22:Q31&lt;&gt;""),Q22:Q31-P22:P31))</f>
        <v/>
      </c>
      <c r="R32" s="218">
        <f>IF(COUNT(Q22:Q31,R22:R31)=0,"",SUMPRODUCT(--(Q22:Q31&lt;&gt;""),--(R22:R31&lt;&gt;""),R22:R31-Q22:Q31))</f>
        <v/>
      </c>
      <c r="S32" s="218">
        <f>IF(COUNT(R22:R31,S22:S31)=0,"",SUMPRODUCT(--(R22:R31&lt;&gt;""),--(S22:S31&lt;&gt;""),S22:S31-R22:R31))</f>
        <v/>
      </c>
      <c r="T32" s="218">
        <f>IF(COUNT(S22:S31,T22:T31)=0,"",SUMPRODUCT(--(S22:S31&lt;&gt;""),--(T22:T31&lt;&gt;""),T22:T31-S22:S31))</f>
        <v/>
      </c>
      <c r="U32" s="218">
        <f>IF(COUNT(T22:T31,U22:U31)=0,"",SUMPRODUCT(--(T22:T31&lt;&gt;""),--(U22:U31&lt;&gt;""),U22:U31-T22:T31))</f>
        <v/>
      </c>
      <c r="V32" s="218">
        <f>IF(COUNT(U22:U31,V22:V31)=0,"",SUMPRODUCT(--(U22:U31&lt;&gt;""),--(V22:V31&lt;&gt;""),V22:V31-U22:U31))</f>
        <v/>
      </c>
      <c r="W32" s="218">
        <f>IF(COUNT(V22:V31,W22:W31)=0,"",SUMPRODUCT(--(V22:V31&lt;&gt;""),--(W22:W31&lt;&gt;""),W22:W31-V22:V31))</f>
        <v/>
      </c>
      <c r="X32" s="218">
        <f>IF(COUNT(W22:W31,X22:X31)=0,"",SUMPRODUCT(--(W22:W31&lt;&gt;""),--(X22:X31&lt;&gt;""),X22:X31-W22:W31))</f>
        <v/>
      </c>
      <c r="Y32" s="218">
        <f>IF(COUNT(X22:X31,Y22:Y31)=0,"",SUMPRODUCT(--(X22:X31&lt;&gt;""),--(Y22:Y31&lt;&gt;""),Y22:Y31-X22:X31))</f>
        <v/>
      </c>
      <c r="Z32" s="218">
        <f>IF(COUNT(Y22:Y31,Z22:Z31)=0,"",SUMPRODUCT(--(Y22:Y31&lt;&gt;""),--(Z22:Z31&lt;&gt;""),Z22:Z31-Y22:Y31))</f>
        <v/>
      </c>
      <c r="AA32" s="218">
        <f>IF(COUNT(Z22:Z31,AA22:AA31)=0,"",SUMPRODUCT(--(Z22:Z31&lt;&gt;""),--(AA22:AA31&lt;&gt;""),AA22:AA31-Z22:Z31))</f>
        <v/>
      </c>
      <c r="AB32" s="218">
        <f>IF(COUNT(AA22:AA31,AB22:AB31)=0,"",SUMPRODUCT(--(AA22:AA31&lt;&gt;""),--(AB22:AB31&lt;&gt;""),AB22:AB31-AA22:AA31))</f>
        <v/>
      </c>
      <c r="AC32" s="218">
        <f>IF(COUNT(AB22:AB31,AC22:AC31)=0,"",SUMPRODUCT(--(AB22:AB31&lt;&gt;""),--(AC22:AC31&lt;&gt;""),AC22:AC31-AB22:AB31))</f>
        <v/>
      </c>
      <c r="AD32" s="218">
        <f>IF(COUNT(AC22:AC31,AD22:AD31)=0,"",SUMPRODUCT(--(AC22:AC31&lt;&gt;""),--(AD22:AD31&lt;&gt;""),AD22:AD31-AC22:AC31))</f>
        <v/>
      </c>
      <c r="AE32" s="218">
        <f>IF(COUNT(AD22:AD31,AE22:AE31)=0,"",SUMPRODUCT(--(AD22:AD31&lt;&gt;""),--(AE22:AE31&lt;&gt;""),AE22:AE31-AD22:AD31))</f>
        <v/>
      </c>
      <c r="AF32" s="218">
        <f>IF(COUNT(AE22:AE31,AF22:AF31)=0,"",SUMPRODUCT(--(AE22:AE31&lt;&gt;""),--(AF22:AF31&lt;&gt;""),AF22:AF31-AE22:AE31))</f>
        <v/>
      </c>
      <c r="AG32" s="218">
        <f>IF(COUNT(AF22:AF31,AG22:AG31)=0,"",SUMPRODUCT(--(AF22:AF31&lt;&gt;""),--(AG22:AG31&lt;&gt;""),AG22:AG31-AF22:AF31))</f>
        <v/>
      </c>
      <c r="AH32" s="218">
        <f>IF(COUNT(AG22:AG31,AH22:AH31)=0,"",SUMPRODUCT(--(AG22:AG31&lt;&gt;""),--(AH22:AH31&lt;&gt;""),AH22:AH31-AG22:AG31))</f>
        <v/>
      </c>
      <c r="AI32" s="218">
        <f>IF(COUNT(AH22:AH31,AI22:AI31)=0,"",SUMPRODUCT(--(AH22:AH31&lt;&gt;""),--(AI22:AI31&lt;&gt;""),AI22:AI31-AH22:AH31))</f>
        <v/>
      </c>
      <c r="AJ32" s="218">
        <f>IF(COUNT(AI22:AI31,AJ22:AJ31)=0,"",SUMPRODUCT(--(AI22:AI31&lt;&gt;""),--(AJ22:AJ31&lt;&gt;""),AJ22:AJ31-AI22:AI31))</f>
        <v/>
      </c>
      <c r="AK32" s="218">
        <f>IF(COUNT(AJ22:AJ31,AK22:AK31)=0,"",SUMPRODUCT(--(AJ22:AJ31&lt;&gt;""),--(AK22:AK31&lt;&gt;""),AK22:AK31-AJ22:AJ31))</f>
        <v/>
      </c>
      <c r="AL32" s="218">
        <f>IF(COUNT(AK22:AK31,AL22:AL31)=0,"",SUMPRODUCT(--(AK22:AK31&lt;&gt;""),--(AL22:AL31&lt;&gt;""),AL22:AL31-AK22:AK31))</f>
        <v/>
      </c>
      <c r="AM32" s="218">
        <f>IF(COUNT(AL22:AL31,AM22:AM31)=0,"",SUMPRODUCT(--(AL22:AL31&lt;&gt;""),--(AM22:AM31&lt;&gt;""),AM22:AM31-AL22:AL31))</f>
        <v/>
      </c>
      <c r="AN32" s="218">
        <f>IF(COUNT(AM22:AM31,AN22:AN31)=0,"",SUMPRODUCT(--(AM22:AM31&lt;&gt;""),--(AN22:AN31&lt;&gt;""),AN22:AN31-AM22:AM31))</f>
        <v/>
      </c>
      <c r="AO32" s="218">
        <f>IF(COUNT(AN22:AN31,AO22:AO31)=0,"",SUMPRODUCT(--(AN22:AN31&lt;&gt;""),--(AO22:AO31&lt;&gt;""),AO22:AO31-AN22:AN31))</f>
        <v/>
      </c>
      <c r="AP32" s="218">
        <f>IF(COUNT(AO22:AO31,AP22:AP31)=0,"",SUMPRODUCT(--(AO22:AO31&lt;&gt;""),--(AP22:AP31&lt;&gt;""),AP22:AP31-AO22:AO31))</f>
        <v/>
      </c>
      <c r="AQ32" s="218">
        <f>IF(COUNT(AP22:AP31,AQ22:AQ31)=0,"",SUMPRODUCT(--(AP22:AP31&lt;&gt;""),--(AQ22:AQ31&lt;&gt;""),AQ22:AQ31-AP22:AP31))</f>
        <v/>
      </c>
      <c r="AR32" s="218">
        <f>IF(COUNT(AQ22:AQ31,AR22:AR31)=0,"",SUMPRODUCT(--(AQ22:AQ31&lt;&gt;""),--(AR22:AR31&lt;&gt;""),AR22:AR31-AQ22:AQ31))</f>
        <v/>
      </c>
      <c r="AS32" s="218">
        <f>IF(COUNT(AR22:AR31,AS22:AS31)=0,"",SUMPRODUCT(--(AR22:AR31&lt;&gt;""),--(AS22:AS31&lt;&gt;""),AS22:AS31-AR22:AR31))</f>
        <v/>
      </c>
      <c r="AT32" s="218">
        <f>IF(COUNT(AS22:AS31,AT22:AT31)=0,"",SUMPRODUCT(--(AS22:AS31&lt;&gt;""),--(AT22:AT31&lt;&gt;""),AT22:AT31-AS22:AS31))</f>
        <v/>
      </c>
      <c r="AU32" s="218">
        <f>IF(COUNT(AT22:AT31,AU22:AU31)=0,"",SUMPRODUCT(--(AT22:AT31&lt;&gt;""),--(AU22:AU31&lt;&gt;""),AU22:AU31-AT22:AT31))</f>
        <v/>
      </c>
      <c r="AV32" s="218">
        <f>IF(COUNT(AU22:AU31,AV22:AV31)=0,"",SUMPRODUCT(--(AU22:AU31&lt;&gt;""),--(AV22:AV31&lt;&gt;""),AV22:AV31-AU22:AU31))</f>
        <v/>
      </c>
      <c r="AW32" s="218">
        <f>IF(COUNT(AV22:AV31,AW22:AW31)=0,"",SUMPRODUCT(--(AV22:AV31&lt;&gt;""),--(AW22:AW31&lt;&gt;""),AW22:AW31-AV22:AV31))</f>
        <v/>
      </c>
      <c r="AX32" s="218">
        <f>IF(COUNT(AW22:AW31,AX22:AX31)=0,"",SUMPRODUCT(--(AW22:AW31&lt;&gt;""),--(AX22:AX31&lt;&gt;""),AX22:AX31-AW22:AW31))</f>
        <v/>
      </c>
      <c r="AY32" s="218">
        <f>IF(COUNT(AX22:AX31,AY22:AY31)=0,"",SUMPRODUCT(--(AX22:AX31&lt;&gt;""),--(AY22:AY31&lt;&gt;""),AY22:AY31-AX22:AX31))</f>
        <v/>
      </c>
      <c r="AZ32" s="218">
        <f>IF(COUNT(AY22:AY31,AZ22:AZ31)=0,"",SUMPRODUCT(--(AY22:AY31&lt;&gt;""),--(AZ22:AZ31&lt;&gt;""),AZ22:AZ31-AY22:AY31))</f>
        <v/>
      </c>
      <c r="BA32" s="218">
        <f>IF(COUNT(AZ22:AZ31,BA22:BA31)=0,"",SUMPRODUCT(--(AZ22:AZ31&lt;&gt;""),--(BA22:BA31&lt;&gt;""),BA22:BA31-AZ22:AZ31))</f>
        <v/>
      </c>
      <c r="BB32" s="218">
        <f>IF(COUNT(BA22:BA31,BB22:BB31)=0,"",SUMPRODUCT(--(BA22:BA31&lt;&gt;""),--(BB22:BB31&lt;&gt;""),BB22:BB31-BA22:BA31))</f>
        <v/>
      </c>
      <c r="BC32" s="218">
        <f>IF(COUNT(BB22:BB31,BC22:BC31)=0,"",SUMPRODUCT(--(BB22:BB31&lt;&gt;""),--(BC22:BC31&lt;&gt;""),BC22:BC31-BB22:BB31))</f>
        <v/>
      </c>
      <c r="BD32" s="218">
        <f>IF(COUNT(BC22:BC31,BD22:BD31)=0,"",SUMPRODUCT(--(BC22:BC31&lt;&gt;""),--(BD22:BD31&lt;&gt;""),BD22:BD31-BC22:BC31))</f>
        <v/>
      </c>
      <c r="BE32" s="218">
        <f>IF(COUNT(BD22:BD31,BE22:BE31)=0,"",SUMPRODUCT(--(BD22:BD31&lt;&gt;""),--(BE22:BE31&lt;&gt;""),BE22:BE31-BD22:BD31))</f>
        <v/>
      </c>
      <c r="BF32" s="218">
        <f>IF(COUNT(BE22:BE31,BF22:BF31)=0,"",SUMPRODUCT(--(BE22:BE31&lt;&gt;""),--(BF22:BF31&lt;&gt;""),BF22:BF31-BE22:BE31))</f>
        <v/>
      </c>
      <c r="BG32" s="218">
        <f>IF(COUNT(BF22:BF31,BG22:BG31)=0,"",SUMPRODUCT(--(BF22:BF31&lt;&gt;""),--(BG22:BG31&lt;&gt;""),BG22:BG31-BF22:BF31))</f>
        <v/>
      </c>
      <c r="BH32" s="218">
        <f>IF(COUNT(BG22:BG31,BH22:BH31)=0,"",SUMPRODUCT(--(BG22:BG31&lt;&gt;""),--(BH22:BH31&lt;&gt;""),BH22:BH31-BG22:BG31))</f>
        <v/>
      </c>
      <c r="BI32" s="218">
        <f>IF(COUNT(BH22:BH31,BI22:BI31)=0,"",SUMPRODUCT(--(BH22:BH31&lt;&gt;""),--(BI22:BI31&lt;&gt;""),BI22:BI31-BH22:BH31))</f>
        <v/>
      </c>
      <c r="BJ32" s="218">
        <f>IF(COUNT(BI22:BI31,BJ22:BJ31)=0,"",SUMPRODUCT(--(BI22:BI31&lt;&gt;""),--(BJ22:BJ31&lt;&gt;""),BJ22:BJ31-BI22:BI31))</f>
        <v/>
      </c>
      <c r="BK32" s="218">
        <f>IF(COUNT(BJ22:BJ31,BK22:BK31)=0,"",SUMPRODUCT(--(BJ22:BJ31&lt;&gt;""),--(BK22:BK31&lt;&gt;""),BK22:BK31-BJ22:BJ31))</f>
        <v/>
      </c>
      <c r="BL32" s="218">
        <f>IF(COUNT(BK22:BK31,BL22:BL31)=0,"",SUMPRODUCT(--(BK22:BK31&lt;&gt;""),--(BL22:BL31&lt;&gt;""),BL22:BL31-BK22:BK31))</f>
        <v/>
      </c>
      <c r="BM32" s="218">
        <f>IF(COUNT(BL22:BL31,BM22:BM31)=0,"",SUMPRODUCT(--(BL22:BL31&lt;&gt;""),--(BM22:BM31&lt;&gt;""),BM22:BM31-BL22:BL31))</f>
        <v/>
      </c>
      <c r="BN32" s="218">
        <f>IF(COUNT(BM22:BM31,BN22:BN31)=0,"",SUMPRODUCT(--(BM22:BM31&lt;&gt;""),--(BN22:BN31&lt;&gt;""),BN22:BN31-BM22:BM31))</f>
        <v/>
      </c>
      <c r="BO32" s="218">
        <f>IF(COUNT(BN22:BN31,BO22:BO31)=0,"",SUMPRODUCT(--(BN22:BN31&lt;&gt;""),--(BO22:BO31&lt;&gt;""),BO22:BO31-BN22:BN31))</f>
        <v/>
      </c>
      <c r="BP32" s="218">
        <f>IF(COUNT(BO22:BO31,BP22:BP31)=0,"",SUMPRODUCT(--(BO22:BO31&lt;&gt;""),--(BP22:BP31&lt;&gt;""),BP22:BP31-BO22:BO31))</f>
        <v/>
      </c>
      <c r="BQ32" s="218">
        <f>IF(COUNT(BP22:BP31,BQ22:BQ31)=0,"",SUMPRODUCT(--(BP22:BP31&lt;&gt;""),--(BQ22:BQ31&lt;&gt;""),BQ22:BQ31-BP22:BP31))</f>
        <v/>
      </c>
      <c r="BR32" s="218">
        <f>IF(COUNT(BQ22:BQ31,BR22:BR31)=0,"",SUMPRODUCT(--(BQ22:BQ31&lt;&gt;""),--(BR22:BR31&lt;&gt;""),BR22:BR31-BQ22:BQ31))</f>
        <v/>
      </c>
      <c r="BS32" s="218">
        <f>IF(COUNT(BR22:BR31,BS22:BS31)=0,"",SUMPRODUCT(--(BR22:BR31&lt;&gt;""),--(BS22:BS31&lt;&gt;""),BS22:BS31-BR22:BR31))</f>
        <v/>
      </c>
      <c r="BT32" s="218">
        <f>IF(COUNT(BS22:BS31,BT22:BT31)=0,"",SUMPRODUCT(--(BS22:BS31&lt;&gt;""),--(BT22:BT31&lt;&gt;""),BT22:BT31-BS22:BS31))</f>
        <v/>
      </c>
      <c r="BU32" s="218">
        <f>IF(COUNT(BT22:BT31,BU22:BU31)=0,"",SUMPRODUCT(--(BT22:BT31&lt;&gt;""),--(BU22:BU31&lt;&gt;""),BU22:BU31-BT22:BT31))</f>
        <v/>
      </c>
      <c r="BV32" s="218">
        <f>IF(COUNT(BU22:BU31,BV22:BV31)=0,"",SUMPRODUCT(--(BU22:BU31&lt;&gt;""),--(BV22:BV31&lt;&gt;""),BV22:BV31-BU22:BU31))</f>
        <v/>
      </c>
      <c r="BW32" s="218">
        <f>IF(COUNT(BV22:BV31,BW22:BW31)=0,"",SUMPRODUCT(--(BV22:BV31&lt;&gt;""),--(BW22:BW31&lt;&gt;""),BW22:BW31-BV22:BV31))</f>
        <v/>
      </c>
      <c r="BX32" s="218">
        <f>IF(COUNT(BW22:BW31,BX22:BX31)=0,"",SUMPRODUCT(--(BW22:BW31&lt;&gt;""),--(BX22:BX31&lt;&gt;""),BX22:BX31-BW22:BW31))</f>
        <v/>
      </c>
      <c r="BY32" s="218">
        <f>IF(COUNT(BX22:BX31,BY22:BY31)=0,"",SUMPRODUCT(--(BX22:BX31&lt;&gt;""),--(BY22:BY31&lt;&gt;""),BY22:BY31-BX22:BX31))</f>
        <v/>
      </c>
      <c r="BZ32" s="218">
        <f>IF(COUNT(BY22:BY31,BZ22:BZ31)=0,"",SUMPRODUCT(--(BY22:BY31&lt;&gt;""),--(BZ22:BZ31&lt;&gt;""),BZ22:BZ31-BY22:BY31))</f>
        <v/>
      </c>
      <c r="CA32" s="218">
        <f>IF(COUNT(BZ22:BZ31,CA22:CA31)=0,"",SUMPRODUCT(--(BZ22:BZ31&lt;&gt;""),--(CA22:CA31&lt;&gt;""),CA22:CA31-BZ22:BZ31))</f>
        <v/>
      </c>
      <c r="CB32" s="218">
        <f>IF(COUNT(CA22:CA31,CB22:CB31)=0,"",SUMPRODUCT(--(CA22:CA31&lt;&gt;""),--(CB22:CB31&lt;&gt;""),CB22:CB31-CA22:CA31))</f>
        <v/>
      </c>
      <c r="CC32" s="218">
        <f>IF(COUNT(CB22:CB31,CC22:CC31)=0,"",SUMPRODUCT(--(CB22:CB31&lt;&gt;""),--(CC22:CC31&lt;&gt;""),CC22:CC31-CB22:CB31))</f>
        <v/>
      </c>
      <c r="CD32" s="218">
        <f>IF(COUNT(CC22:CC31,CD22:CD31)=0,"",SUMPRODUCT(--(CC22:CC31&lt;&gt;""),--(CD22:CD31&lt;&gt;""),CD22:CD31-CC22:CC31))</f>
        <v/>
      </c>
      <c r="CE32" s="218">
        <f>IF(COUNT(CD22:CD31,CE22:CE31)=0,"",SUMPRODUCT(--(CD22:CD31&lt;&gt;""),--(CE22:CE31&lt;&gt;""),CE22:CE31-CD22:CD31))</f>
        <v/>
      </c>
      <c r="CF32" s="218">
        <f>IF(COUNT(CE22:CE31,CF22:CF31)=0,"",SUMPRODUCT(--(CE22:CE31&lt;&gt;""),--(CF22:CF31&lt;&gt;""),CF22:CF31-CE22:CE31))</f>
        <v/>
      </c>
      <c r="CG32" s="218">
        <f>IF(COUNT(CF22:CF31,CG22:CG31)=0,"",SUMPRODUCT(--(CF22:CF31&lt;&gt;""),--(CG22:CG31&lt;&gt;""),CG22:CG31-CF22:CF31))</f>
        <v/>
      </c>
      <c r="CH32" s="218">
        <f>IF(COUNT(CG22:CG31,CH22:CH31)=0,"",SUMPRODUCT(--(CG22:CG31&lt;&gt;""),--(CH22:CH31&lt;&gt;""),CH22:CH31-CG22:CG31))</f>
        <v/>
      </c>
      <c r="CI32" s="218">
        <f>IF(COUNT(CH22:CH31,CI22:CI31)=0,"",SUMPRODUCT(--(CH22:CH31&lt;&gt;""),--(CI22:CI31&lt;&gt;""),CI22:CI31-CH22:CH31))</f>
        <v/>
      </c>
      <c r="CJ32" s="218">
        <f>IF(COUNT(CI22:CI31,CJ22:CJ31)=0,"",SUMPRODUCT(--(CI22:CI31&lt;&gt;""),--(CJ22:CJ31&lt;&gt;""),CJ22:CJ31-CI22:CI31))</f>
        <v/>
      </c>
      <c r="CK32" s="218">
        <f>IF(COUNT(CJ22:CJ31,CK22:CK31)=0,"",SUMPRODUCT(--(CJ22:CJ31&lt;&gt;""),--(CK22:CK31&lt;&gt;""),CK22:CK31-CJ22:CJ31))</f>
        <v/>
      </c>
      <c r="CL32" s="218">
        <f>IF(COUNT(CK22:CK31,CL22:CL31)=0,"",SUMPRODUCT(--(CK22:CK31&lt;&gt;""),--(CL22:CL31&lt;&gt;""),CL22:CL31-CK22:CK31))</f>
        <v/>
      </c>
      <c r="CM32" s="218">
        <f>IF(COUNT(CL22:CL31,CM22:CM31)=0,"",SUMPRODUCT(--(CL22:CL31&lt;&gt;""),--(CM22:CM31&lt;&gt;""),CM22:CM31-CL22:CL31))</f>
        <v/>
      </c>
      <c r="CN32" s="218">
        <f>IF(COUNT(CM22:CM31,CN22:CN31)=0,"",SUMPRODUCT(--(CM22:CM31&lt;&gt;""),--(CN22:CN31&lt;&gt;""),CN22:CN31-CM22:CM31))</f>
        <v/>
      </c>
      <c r="CO32" s="218">
        <f>IF(COUNT(CN22:CN31,CO22:CO31)=0,"",SUMPRODUCT(--(CN22:CN31&lt;&gt;""),--(CO22:CO31&lt;&gt;""),CO22:CO31-CN22:CN31))</f>
        <v/>
      </c>
      <c r="CP32" s="218">
        <f>IF(COUNT(CO22:CO31,CP22:CP31)=0,"",SUMPRODUCT(--(CO22:CO31&lt;&gt;""),--(CP22:CP31&lt;&gt;""),CP22:CP31-CO22:CO31))</f>
        <v/>
      </c>
      <c r="CQ32" s="218">
        <f>IF(COUNT(CP22:CP31,CQ22:CQ31)=0,"",SUMPRODUCT(--(CP22:CP31&lt;&gt;""),--(CQ22:CQ31&lt;&gt;""),CQ22:CQ31-CP22:CP31))</f>
        <v/>
      </c>
      <c r="CR32" s="218">
        <f>IF(COUNT(CQ22:CQ31,CR22:CR31)=0,"",SUMPRODUCT(--(CQ22:CQ31&lt;&gt;""),--(CR22:CR31&lt;&gt;""),CR22:CR31-CQ22:CQ31))</f>
        <v/>
      </c>
      <c r="CS32" s="218">
        <f>IF(COUNT(CR22:CR31,CS22:CS31)=0,"",SUMPRODUCT(--(CR22:CR31&lt;&gt;""),--(CS22:CS31&lt;&gt;""),CS22:CS31-CR22:CR31))</f>
        <v/>
      </c>
      <c r="CT32" s="218">
        <f>IF(COUNT(CS22:CS31,CT22:CT31)=0,"",SUMPRODUCT(--(CS22:CS31&lt;&gt;""),--(CT22:CT31&lt;&gt;""),CT22:CT31-CS22:CS31))</f>
        <v/>
      </c>
      <c r="CU32" s="218">
        <f>IF(COUNT(CT22:CT31,CU22:CU31)=0,"",SUMPRODUCT(--(CT22:CT31&lt;&gt;""),--(CU22:CU31&lt;&gt;""),CU22:CU31-CT22:CT31))</f>
        <v/>
      </c>
      <c r="CV32" s="218">
        <f>IF(COUNT(CU22:CU31,CV22:CV31)=0,"",SUMPRODUCT(--(CU22:CU31&lt;&gt;""),--(CV22:CV31&lt;&gt;""),CV22:CV31-CU22:CU31))</f>
        <v/>
      </c>
      <c r="CW32" s="218">
        <f>IF(COUNT(CV22:CV31,CW22:CW31)=0,"",SUMPRODUCT(--(CV22:CV31&lt;&gt;""),--(CW22:CW31&lt;&gt;""),CW22:CW31-CV22:CV31))</f>
        <v/>
      </c>
      <c r="CX32" s="218">
        <f>IF(COUNT(CW22:CW31,CX22:CX31)=0,"",SUMPRODUCT(--(CW22:CW31&lt;&gt;""),--(CX22:CX31&lt;&gt;""),CX22:CX31-CW22:CW31))</f>
        <v/>
      </c>
      <c r="CY32" s="218">
        <f>IF(COUNT(CX22:CX31,CY22:CY31)=0,"",SUMPRODUCT(--(CX22:CX31&lt;&gt;""),--(CY22:CY31&lt;&gt;""),CY22:CY31-CX22:CX31))</f>
        <v/>
      </c>
      <c r="CZ32" s="218">
        <f>IF(COUNT(CY22:CY31,CZ22:CZ31)=0,"",SUMPRODUCT(--(CY22:CY31&lt;&gt;""),--(CZ22:CZ31&lt;&gt;""),CZ22:CZ31-CY22:CY31))</f>
        <v/>
      </c>
      <c r="DA32" s="218">
        <f>IF(COUNT(CZ22:CZ31,DA22:DA31)=0,"",SUMPRODUCT(--(CZ22:CZ31&lt;&gt;""),--(DA22:DA31&lt;&gt;""),DA22:DA31-CZ22:CZ31))</f>
        <v/>
      </c>
      <c r="DB32" s="218">
        <f>IF(COUNT(DA22:DA31,DB22:DB31)=0,"",SUMPRODUCT(--(DA22:DA31&lt;&gt;""),--(DB22:DB31&lt;&gt;""),DB22:DB31-DA22:DA31))</f>
        <v/>
      </c>
      <c r="DC32" s="218">
        <f>IF(COUNT(DB22:DB31,DC22:DC31)=0,"",SUMPRODUCT(--(DB22:DB31&lt;&gt;""),--(DC22:DC31&lt;&gt;""),DC22:DC31-DB22:DB31))</f>
        <v/>
      </c>
      <c r="DD32" s="218">
        <f>IF(COUNT(DC22:DC31,DD22:DD31)=0,"",SUMPRODUCT(--(DC22:DC31&lt;&gt;""),--(DD22:DD31&lt;&gt;""),DD22:DD31-DC22:DC31))</f>
        <v/>
      </c>
      <c r="DE32" s="218">
        <f>IF(COUNT(DD22:DD31,DE22:DE31)=0,"",SUMPRODUCT(--(DD22:DD31&lt;&gt;""),--(DE22:DE31&lt;&gt;""),DE22:DE31-DD22:DD31))</f>
        <v/>
      </c>
      <c r="DF32" s="218">
        <f>IF(COUNT(DE22:DE31,DF22:DF31)=0,"",SUMPRODUCT(--(DE22:DE31&lt;&gt;""),--(DF22:DF31&lt;&gt;""),DF22:DF31-DE22:DE31))</f>
        <v/>
      </c>
      <c r="DG32" s="218">
        <f>IF(COUNT(DF22:DF31,DG22:DG31)=0,"",SUMPRODUCT(--(DF22:DF31&lt;&gt;""),--(DG22:DG31&lt;&gt;""),DG22:DG31-DF22:DF31))</f>
        <v/>
      </c>
      <c r="DH32" s="218">
        <f>IF(COUNT(DG22:DG31,DH22:DH31)=0,"",SUMPRODUCT(--(DG22:DG31&lt;&gt;""),--(DH22:DH31&lt;&gt;""),DH22:DH31-DG22:DG31))</f>
        <v/>
      </c>
      <c r="DI32" s="218">
        <f>IF(COUNT(DH22:DH31,DI22:DI31)=0,"",SUMPRODUCT(--(DH22:DH31&lt;&gt;""),--(DI22:DI31&lt;&gt;""),DI22:DI31-DH22:DH31))</f>
        <v/>
      </c>
      <c r="DJ32" s="218">
        <f>IF(COUNT(DI22:DI31,DJ22:DJ31)=0,"",SUMPRODUCT(--(DI22:DI31&lt;&gt;""),--(DJ22:DJ31&lt;&gt;""),DJ22:DJ31-DI22:DI31))</f>
        <v/>
      </c>
      <c r="DK32" s="218">
        <f>IF(COUNT(DJ22:DJ31,DK22:DK31)=0,"",SUMPRODUCT(--(DJ22:DJ31&lt;&gt;""),--(DK22:DK31&lt;&gt;""),DK22:DK31-DJ22:DJ31))</f>
        <v/>
      </c>
      <c r="DL32" s="218">
        <f>IF(COUNT(DK22:DK31,DL22:DL31)=0,"",SUMPRODUCT(--(DK22:DK31&lt;&gt;""),--(DL22:DL31&lt;&gt;""),DL22:DL31-DK22:DK31))</f>
        <v/>
      </c>
      <c r="DM32" s="218">
        <f>IF(COUNT(DL22:DL31,DM22:DM31)=0,"",SUMPRODUCT(--(DL22:DL31&lt;&gt;""),--(DM22:DM31&lt;&gt;""),DM22:DM31-DL22:DL31))</f>
        <v/>
      </c>
      <c r="DN32" s="218">
        <f>IF(COUNT(DM22:DM31,DN22:DN31)=0,"",SUMPRODUCT(--(DM22:DM31&lt;&gt;""),--(DN22:DN31&lt;&gt;""),DN22:DN31-DM22:DM31))</f>
        <v/>
      </c>
      <c r="DO32" s="218">
        <f>IF(COUNT(DN22:DN31,DO22:DO31)=0,"",SUMPRODUCT(--(DN22:DN31&lt;&gt;""),--(DO22:DO31&lt;&gt;""),DO22:DO31-DN22:DN31))</f>
        <v/>
      </c>
      <c r="DP32" s="218">
        <f>IF(COUNT(DO22:DO31,DP22:DP31)=0,"",SUMPRODUCT(--(DO22:DO31&lt;&gt;""),--(DP22:DP31&lt;&gt;""),DP22:DP31-DO22:DO31))</f>
        <v/>
      </c>
      <c r="DQ32" s="218">
        <f>IF(COUNT(DP22:DP31,DQ22:DQ31)=0,"",SUMPRODUCT(--(DP22:DP31&lt;&gt;""),--(DQ22:DQ31&lt;&gt;""),DQ22:DQ31-DP22:DP31))</f>
        <v/>
      </c>
      <c r="DR32" s="218">
        <f>IF(COUNT(DQ22:DQ31,DR22:DR31)=0,"",SUMPRODUCT(--(DQ22:DQ31&lt;&gt;""),--(DR22:DR31&lt;&gt;""),DR22:DR31-DQ22:DQ31))</f>
        <v/>
      </c>
      <c r="DS32" s="218">
        <f>IF(COUNT(DR22:DR31,DS22:DS31)=0,"",SUMPRODUCT(--(DR22:DR31&lt;&gt;""),--(DS22:DS31&lt;&gt;""),DS22:DS31-DR22:DR31))</f>
        <v/>
      </c>
      <c r="DT32" s="218">
        <f>IF(COUNT(DS22:DS31,DT22:DT31)=0,"",SUMPRODUCT(--(DS22:DS31&lt;&gt;""),--(DT22:DT31&lt;&gt;""),DT22:DT31-DS22:DS31))</f>
        <v/>
      </c>
      <c r="DU32" s="218">
        <f>IF(COUNT(DT22:DT31,DU22:DU31)=0,"",SUMPRODUCT(--(DT22:DT31&lt;&gt;""),--(DU22:DU31&lt;&gt;""),DU22:DU31-DT22:DT31))</f>
        <v/>
      </c>
      <c r="DV32" s="218">
        <f>IF(COUNT(DU22:DU31,DV22:DV31)=0,"",SUMPRODUCT(--(DU22:DU31&lt;&gt;""),--(DV22:DV31&lt;&gt;""),DV22:DV31-DU22:DU31))</f>
        <v/>
      </c>
      <c r="DW32" s="218">
        <f>IF(COUNT(DV22:DV31,DW22:DW31)=0,"",SUMPRODUCT(--(DV22:DV31&lt;&gt;""),--(DW22:DW31&lt;&gt;""),DW22:DW31-DV22:DV31))</f>
        <v/>
      </c>
      <c r="DX32" s="218">
        <f>IF(COUNT(DW22:DW31,DX22:DX31)=0,"",SUMPRODUCT(--(DW22:DW31&lt;&gt;""),--(DX22:DX31&lt;&gt;""),DX22:DX31-DW22:DW31))</f>
        <v/>
      </c>
      <c r="DY32" s="218">
        <f>IF(COUNT(DX22:DX31,DY22:DY31)=0,"",SUMPRODUCT(--(DX22:DX31&lt;&gt;""),--(DY22:DY31&lt;&gt;""),DY22:DY31-DX22:DX31))</f>
        <v/>
      </c>
      <c r="DZ32" s="218">
        <f>IF(COUNT(DY22:DY31,DZ22:DZ31)=0,"",SUMPRODUCT(--(DY22:DY31&lt;&gt;""),--(DZ22:DZ31&lt;&gt;""),DZ22:DZ31-DY22:DY31))</f>
        <v/>
      </c>
      <c r="EA32" s="218">
        <f>IF(COUNT(DZ22:DZ31,EA22:EA31)=0,"",SUMPRODUCT(--(DZ22:DZ31&lt;&gt;""),--(EA22:EA31&lt;&gt;""),EA22:EA31-DZ22:DZ31))</f>
        <v/>
      </c>
      <c r="EB32" s="218">
        <f>IF(COUNT(EA22:EA31,EB22:EB31)=0,"",SUMPRODUCT(--(EA22:EA31&lt;&gt;""),--(EB22:EB31&lt;&gt;""),EB22:EB31-EA22:EA31))</f>
        <v/>
      </c>
      <c r="EC32" s="218">
        <f>IF(COUNT(EB22:EB31,EC22:EC31)=0,"",SUMPRODUCT(--(EB22:EB31&lt;&gt;""),--(EC22:EC31&lt;&gt;""),EC22:EC31-EB22:EB31))</f>
        <v/>
      </c>
      <c r="ED32" s="218">
        <f>IF(COUNT(EC22:EC31,ED22:ED31)=0,"",SUMPRODUCT(--(EC22:EC31&lt;&gt;""),--(ED22:ED31&lt;&gt;""),ED22:ED31-EC22:EC31))</f>
        <v/>
      </c>
      <c r="EE32" s="218">
        <f>IF(COUNT(ED22:ED31,EE22:EE31)=0,"",SUMPRODUCT(--(ED22:ED31&lt;&gt;""),--(EE22:EE31&lt;&gt;""),EE22:EE31-ED22:ED31))</f>
        <v/>
      </c>
      <c r="EF32" s="218">
        <f>IF(COUNT(EE22:EE31,EF22:EF31)=0,"",SUMPRODUCT(--(EE22:EE31&lt;&gt;""),--(EF22:EF31&lt;&gt;""),EF22:EF31-EE22:EE31))</f>
        <v/>
      </c>
      <c r="EG32" s="218">
        <f>IF(COUNT(EF22:EF31,EG22:EG31)=0,"",SUMPRODUCT(--(EF22:EF31&lt;&gt;""),--(EG22:EG31&lt;&gt;""),EG22:EG31-EF22:EF31))</f>
        <v/>
      </c>
      <c r="EH32" s="218">
        <f>IF(COUNT(EG22:EG31,EH22:EH31)=0,"",SUMPRODUCT(--(EG22:EG31&lt;&gt;""),--(EH22:EH31&lt;&gt;""),EH22:EH31-EG22:EG31))</f>
        <v/>
      </c>
      <c r="EI32" s="218">
        <f>IF(COUNT(EH22:EH31,EI22:EI31)=0,"",SUMPRODUCT(--(EH22:EH31&lt;&gt;""),--(EI22:EI31&lt;&gt;""),EI22:EI31-EH22:EH31))</f>
        <v/>
      </c>
      <c r="EJ32" s="218">
        <f>IF(COUNT(EI22:EI31,EJ22:EJ31)=0,"",SUMPRODUCT(--(EI22:EI31&lt;&gt;""),--(EJ22:EJ31&lt;&gt;""),EJ22:EJ31-EI22:EI31))</f>
        <v/>
      </c>
      <c r="EK32" s="218">
        <f>IF(COUNT(EJ22:EJ31,EK22:EK31)=0,"",SUMPRODUCT(--(EJ22:EJ31&lt;&gt;""),--(EK22:EK31&lt;&gt;""),EK22:EK31-EJ22:EJ31))</f>
        <v/>
      </c>
      <c r="EL32" s="218">
        <f>IF(COUNT(EK22:EK31,EL22:EL31)=0,"",SUMPRODUCT(--(EK22:EK31&lt;&gt;""),--(EL22:EL31&lt;&gt;""),EL22:EL31-EK22:EK31))</f>
        <v/>
      </c>
      <c r="EM32" s="218">
        <f>IF(COUNT(EL22:EL31,EM22:EM31)=0,"",SUMPRODUCT(--(EL22:EL31&lt;&gt;""),--(EM22:EM31&lt;&gt;""),EM22:EM31-EL22:EL31))</f>
        <v/>
      </c>
      <c r="EN32" s="218">
        <f>IF(COUNT(EM22:EM31,EN22:EN31)=0,"",SUMPRODUCT(--(EM22:EM31&lt;&gt;""),--(EN22:EN31&lt;&gt;""),EN22:EN31-EM22:EM31))</f>
        <v/>
      </c>
      <c r="EO32" s="218">
        <f>IF(COUNT(EN22:EN31,EO22:EO31)=0,"",SUMPRODUCT(--(EN22:EN31&lt;&gt;""),--(EO22:EO31&lt;&gt;""),EO22:EO31-EN22:EN31))</f>
        <v/>
      </c>
      <c r="EP32" s="218">
        <f>IF(COUNT(EO22:EO31,EP22:EP31)=0,"",SUMPRODUCT(--(EO22:EO31&lt;&gt;""),--(EP22:EP31&lt;&gt;""),EP22:EP31-EO22:EO31))</f>
        <v/>
      </c>
      <c r="EQ32" s="218">
        <f>IF(COUNT(EP22:EP31,EQ22:EQ31)=0,"",SUMPRODUCT(--(EP22:EP31&lt;&gt;""),--(EQ22:EQ31&lt;&gt;""),EQ22:EQ31-EP22:EP31))</f>
        <v/>
      </c>
      <c r="ER32" s="218">
        <f>IF(COUNT(EQ22:EQ31,ER22:ER31)=0,"",SUMPRODUCT(--(EQ22:EQ31&lt;&gt;""),--(ER22:ER31&lt;&gt;""),ER22:ER31-EQ22:EQ31))</f>
        <v/>
      </c>
      <c r="ES32" s="218">
        <f>IF(COUNT(ER22:ER31,ES22:ES31)=0,"",SUMPRODUCT(--(ER22:ER31&lt;&gt;""),--(ES22:ES31&lt;&gt;""),ES22:ES31-ER22:ER31))</f>
        <v/>
      </c>
      <c r="ET32" s="218">
        <f>IF(COUNT(ES22:ES31,ET22:ET31)=0,"",SUMPRODUCT(--(ES22:ES31&lt;&gt;""),--(ET22:ET31&lt;&gt;""),ET22:ET31-ES22:ES31))</f>
        <v/>
      </c>
      <c r="EU32" s="218">
        <f>IF(COUNT(ET22:ET31,EU22:EU31)=0,"",SUMPRODUCT(--(ET22:ET31&lt;&gt;""),--(EU22:EU31&lt;&gt;""),EU22:EU31-ET22:ET31))</f>
        <v/>
      </c>
      <c r="EV32" s="218">
        <f>IF(COUNT(EU22:EU31,EV22:EV31)=0,"",SUMPRODUCT(--(EU22:EU31&lt;&gt;""),--(EV22:EV31&lt;&gt;""),EV22:EV31-EU22:EU31))</f>
        <v/>
      </c>
      <c r="EW32" s="218">
        <f>IF(COUNT(EV22:EV31,EW22:EW31)=0,"",SUMPRODUCT(--(EV22:EV31&lt;&gt;""),--(EW22:EW31&lt;&gt;""),EW22:EW31-EV22:EV31))</f>
        <v/>
      </c>
      <c r="EX32" s="218">
        <f>IF(COUNT(EW22:EW31,EX22:EX31)=0,"",SUMPRODUCT(--(EW22:EW31&lt;&gt;""),--(EX22:EX31&lt;&gt;""),EX22:EX31-EW22:EW31))</f>
        <v/>
      </c>
      <c r="EY32" s="218">
        <f>IF(COUNT(EX22:EX31,EY22:EY31)=0,"",SUMPRODUCT(--(EX22:EX31&lt;&gt;""),--(EY22:EY31&lt;&gt;""),EY22:EY31-EX22:EX31))</f>
        <v/>
      </c>
      <c r="EZ32" s="218">
        <f>IF(COUNT(EY22:EY31,EZ22:EZ31)=0,"",SUMPRODUCT(--(EY22:EY31&lt;&gt;""),--(EZ22:EZ31&lt;&gt;""),EZ22:EZ31-EY22:EY31))</f>
        <v/>
      </c>
      <c r="FA32" s="218">
        <f>IF(COUNT(EZ22:EZ31,FA22:FA31)=0,"",SUMPRODUCT(--(EZ22:EZ31&lt;&gt;""),--(FA22:FA31&lt;&gt;""),FA22:FA31-EZ22:EZ31))</f>
        <v/>
      </c>
      <c r="FB32" s="218">
        <f>IF(COUNT(FA22:FA31,FB22:FB31)=0,"",SUMPRODUCT(--(FA22:FA31&lt;&gt;""),--(FB22:FB31&lt;&gt;""),FB22:FB31-FA22:FA31))</f>
        <v/>
      </c>
      <c r="FC32" s="218">
        <f>IF(COUNT(FB22:FB31,FC22:FC31)=0,"",SUMPRODUCT(--(FB22:FB31&lt;&gt;""),--(FC22:FC31&lt;&gt;""),FC22:FC31-FB22:FB31))</f>
        <v/>
      </c>
      <c r="FD32" s="218">
        <f>IF(COUNT(FC22:FC31,FD22:FD31)=0,"",SUMPRODUCT(--(FC22:FC31&lt;&gt;""),--(FD22:FD31&lt;&gt;""),FD22:FD31-FC22:FC31))</f>
        <v/>
      </c>
      <c r="FE32" s="218">
        <f>IF(COUNT(FD22:FD31,FE22:FE31)=0,"",SUMPRODUCT(--(FD22:FD31&lt;&gt;""),--(FE22:FE31&lt;&gt;""),FE22:FE31-FD22:FD31))</f>
        <v/>
      </c>
      <c r="FF32" s="218">
        <f>IF(COUNT(FE22:FE31,FF22:FF31)=0,"",SUMPRODUCT(--(FE22:FE31&lt;&gt;""),--(FF22:FF31&lt;&gt;""),FF22:FF31-FE22:FE31))</f>
        <v/>
      </c>
      <c r="FG32" s="218">
        <f>IF(COUNT(FF22:FF31,FG22:FG31)=0,"",SUMPRODUCT(--(FF22:FF31&lt;&gt;""),--(FG22:FG31&lt;&gt;""),FG22:FG31-FF22:FF31))</f>
        <v/>
      </c>
      <c r="FH32" s="218">
        <f>IF(COUNT(FG22:FG31,FH22:FH31)=0,"",SUMPRODUCT(--(FG22:FG31&lt;&gt;""),--(FH22:FH31&lt;&gt;""),FH22:FH31-FG22:FG31))</f>
        <v/>
      </c>
      <c r="FI32" s="218">
        <f>IF(COUNT(FH22:FH31,FI22:FI31)=0,"",SUMPRODUCT(--(FH22:FH31&lt;&gt;""),--(FI22:FI31&lt;&gt;""),FI22:FI31-FH22:FH31))</f>
        <v/>
      </c>
      <c r="FJ32" s="218">
        <f>IF(COUNT(FI22:FI31,FJ22:FJ31)=0,"",SUMPRODUCT(--(FI22:FI31&lt;&gt;""),--(FJ22:FJ31&lt;&gt;""),FJ22:FJ31-FI22:FI31))</f>
        <v/>
      </c>
      <c r="FK32" s="218">
        <f>IF(COUNT(FJ22:FJ31,FK22:FK31)=0,"",SUMPRODUCT(--(FJ22:FJ31&lt;&gt;""),--(FK22:FK31&lt;&gt;""),FK22:FK31-FJ22:FJ31))</f>
        <v/>
      </c>
      <c r="FL32" s="218">
        <f>IF(COUNT(FK22:FK31,FL22:FL31)=0,"",SUMPRODUCT(--(FK22:FK31&lt;&gt;""),--(FL22:FL31&lt;&gt;""),FL22:FL31-FK22:FK31))</f>
        <v/>
      </c>
      <c r="FM32" s="218">
        <f>IF(COUNT(FL22:FL31,FM22:FM31)=0,"",SUMPRODUCT(--(FL22:FL31&lt;&gt;""),--(FM22:FM31&lt;&gt;""),FM22:FM31-FL22:FL31))</f>
        <v/>
      </c>
      <c r="FN32" s="218">
        <f>IF(COUNT(FM22:FM31,FN22:FN31)=0,"",SUMPRODUCT(--(FM22:FM31&lt;&gt;""),--(FN22:FN31&lt;&gt;""),FN22:FN31-FM22:FM31))</f>
        <v/>
      </c>
      <c r="FO32" s="218">
        <f>IF(COUNT(FN22:FN31,FO22:FO31)=0,"",SUMPRODUCT(--(FN22:FN31&lt;&gt;""),--(FO22:FO31&lt;&gt;""),FO22:FO31-FN22:FN31))</f>
        <v/>
      </c>
      <c r="FP32" s="218">
        <f>IF(COUNT(FO22:FO31,FP22:FP31)=0,"",SUMPRODUCT(--(FO22:FO31&lt;&gt;""),--(FP22:FP31&lt;&gt;""),FP22:FP31-FO22:FO31))</f>
        <v/>
      </c>
      <c r="FQ32" s="218">
        <f>IF(COUNT(FP22:FP31,FQ22:FQ31)=0,"",SUMPRODUCT(--(FP22:FP31&lt;&gt;""),--(FQ22:FQ31&lt;&gt;""),FQ22:FQ31-FP22:FP31))</f>
        <v/>
      </c>
      <c r="FR32" s="218">
        <f>IF(COUNT(FQ22:FQ31,FR22:FR31)=0,"",SUMPRODUCT(--(FQ22:FQ31&lt;&gt;""),--(FR22:FR31&lt;&gt;""),FR22:FR31-FQ22:FQ31))</f>
        <v/>
      </c>
      <c r="FS32" s="218">
        <f>IF(COUNT(FR22:FR31,FS22:FS31)=0,"",SUMPRODUCT(--(FR22:FR31&lt;&gt;""),--(FS22:FS31&lt;&gt;""),FS22:FS31-FR22:FR31))</f>
        <v/>
      </c>
      <c r="FT32" s="218">
        <f>IF(COUNT(FS22:FS31,FT22:FT31)=0,"",SUMPRODUCT(--(FS22:FS31&lt;&gt;""),--(FT22:FT31&lt;&gt;""),FT22:FT31-FS22:FS31))</f>
        <v/>
      </c>
      <c r="FU32" s="218">
        <f>IF(COUNT(FT22:FT31,FU22:FU31)=0,"",SUMPRODUCT(--(FT22:FT31&lt;&gt;""),--(FU22:FU31&lt;&gt;""),FU22:FU31-FT22:FT31))</f>
        <v/>
      </c>
      <c r="FV32" s="218">
        <f>IF(COUNT(FU22:FU31,FV22:FV31)=0,"",SUMPRODUCT(--(FU22:FU31&lt;&gt;""),--(FV22:FV31&lt;&gt;""),FV22:FV31-FU22:FU31))</f>
        <v/>
      </c>
      <c r="FW32" s="218">
        <f>IF(COUNT(FV22:FV31,FW22:FW31)=0,"",SUMPRODUCT(--(FV22:FV31&lt;&gt;""),--(FW22:FW31&lt;&gt;""),FW22:FW31-FV22:FV31))</f>
        <v/>
      </c>
      <c r="FX32" s="218">
        <f>IF(COUNT(FW22:FW31,FX22:FX31)=0,"",SUMPRODUCT(--(FW22:FW31&lt;&gt;""),--(FX22:FX31&lt;&gt;""),FX22:FX31-FW22:FW31))</f>
        <v/>
      </c>
      <c r="FY32" s="218">
        <f>IF(COUNT(FX22:FX31,FY22:FY31)=0,"",SUMPRODUCT(--(FX22:FX31&lt;&gt;""),--(FY22:FY31&lt;&gt;""),FY22:FY31-FX22:FX31))</f>
        <v/>
      </c>
      <c r="FZ32" s="218">
        <f>IF(COUNT(FY22:FY31,FZ22:FZ31)=0,"",SUMPRODUCT(--(FY22:FY31&lt;&gt;""),--(FZ22:FZ31&lt;&gt;""),FZ22:FZ31-FY22:FY31))</f>
        <v/>
      </c>
      <c r="GA32" s="218">
        <f>IF(COUNT(FZ22:FZ31,GA22:GA31)=0,"",SUMPRODUCT(--(FZ22:FZ31&lt;&gt;""),--(GA22:GA31&lt;&gt;""),GA22:GA31-FZ22:FZ31))</f>
        <v/>
      </c>
      <c r="GB32" s="218">
        <f>IF(COUNT(GA22:GA31,GB22:GB31)=0,"",SUMPRODUCT(--(GA22:GA31&lt;&gt;""),--(GB22:GB31&lt;&gt;""),GB22:GB31-GA22:GA31))</f>
        <v/>
      </c>
      <c r="GC32" s="218">
        <f>IF(COUNT(GB22:GB31,GC22:GC31)=0,"",SUMPRODUCT(--(GB22:GB31&lt;&gt;""),--(GC22:GC31&lt;&gt;""),GC22:GC31-GB22:GB31))</f>
        <v/>
      </c>
      <c r="GD32" s="218">
        <f>IF(COUNT(GC22:GC31,GD22:GD31)=0,"",SUMPRODUCT(--(GC22:GC31&lt;&gt;""),--(GD22:GD31&lt;&gt;""),GD22:GD31-GC22:GC31))</f>
        <v/>
      </c>
      <c r="GE32" s="218">
        <f>IF(COUNT(GD22:GD31,GE22:GE31)=0,"",SUMPRODUCT(--(GD22:GD31&lt;&gt;""),--(GE22:GE31&lt;&gt;""),GE22:GE31-GD22:GD31))</f>
        <v/>
      </c>
      <c r="GF32" s="218">
        <f>IF(COUNT(GE22:GE31,GF22:GF31)=0,"",SUMPRODUCT(--(GE22:GE31&lt;&gt;""),--(GF22:GF31&lt;&gt;""),GF22:GF31-GE22:GE31))</f>
        <v/>
      </c>
      <c r="GG32" s="218">
        <f>IF(COUNT(GF22:GF31,GG22:GG31)=0,"",SUMPRODUCT(--(GF22:GF31&lt;&gt;""),--(GG22:GG31&lt;&gt;""),GG22:GG31-GF22:GF31))</f>
        <v/>
      </c>
      <c r="GH32" s="218">
        <f>IF(COUNT(GG22:GG31,GH22:GH31)=0,"",SUMPRODUCT(--(GG22:GG31&lt;&gt;""),--(GH22:GH31&lt;&gt;""),GH22:GH31-GG22:GG31))</f>
        <v/>
      </c>
      <c r="GI32" s="218">
        <f>IF(COUNT(GH22:GH31,GI22:GI31)=0,"",SUMPRODUCT(--(GH22:GH31&lt;&gt;""),--(GI22:GI31&lt;&gt;""),GI22:GI31-GH22:GH31))</f>
        <v/>
      </c>
      <c r="GJ32" s="218">
        <f>IF(COUNT(GI22:GI31,GJ22:GJ31)=0,"",SUMPRODUCT(--(GI22:GI31&lt;&gt;""),--(GJ22:GJ31&lt;&gt;""),GJ22:GJ31-GI22:GI31))</f>
        <v/>
      </c>
      <c r="GK32" s="218">
        <f>IF(COUNT(GJ22:GJ31,GK22:GK31)=0,"",SUMPRODUCT(--(GJ22:GJ31&lt;&gt;""),--(GK22:GK31&lt;&gt;""),GK22:GK31-GJ22:GJ31))</f>
        <v/>
      </c>
      <c r="GL32" s="218">
        <f>IF(COUNT(GK22:GK31,GL22:GL31)=0,"",SUMPRODUCT(--(GK22:GK31&lt;&gt;""),--(GL22:GL31&lt;&gt;""),GL22:GL31-GK22:GK31))</f>
        <v/>
      </c>
      <c r="GM32" s="218">
        <f>IF(COUNT(GL22:GL31,GM22:GM31)=0,"",SUMPRODUCT(--(GL22:GL31&lt;&gt;""),--(GM22:GM31&lt;&gt;""),GM22:GM31-GL22:GL31))</f>
        <v/>
      </c>
      <c r="GN32" s="218">
        <f>IF(COUNT(GM22:GM31,GN22:GN31)=0,"",SUMPRODUCT(--(GM22:GM31&lt;&gt;""),--(GN22:GN31&lt;&gt;""),GN22:GN31-GM22:GM31))</f>
        <v/>
      </c>
      <c r="GO32" s="218">
        <f>IF(COUNT(GN22:GN31,GO22:GO31)=0,"",SUMPRODUCT(--(GN22:GN31&lt;&gt;""),--(GO22:GO31&lt;&gt;""),GO22:GO31-GN22:GN31))</f>
        <v/>
      </c>
      <c r="GP32" s="218">
        <f>IF(COUNT(GO22:GO31,GP22:GP31)=0,"",SUMPRODUCT(--(GO22:GO31&lt;&gt;""),--(GP22:GP31&lt;&gt;""),GP22:GP31-GO22:GO31))</f>
        <v/>
      </c>
      <c r="GQ32" s="218">
        <f>IF(COUNT(GP22:GP31,GQ22:GQ31)=0,"",SUMPRODUCT(--(GP22:GP31&lt;&gt;""),--(GQ22:GQ31&lt;&gt;""),GQ22:GQ31-GP22:GP31))</f>
        <v/>
      </c>
      <c r="GR32" s="218">
        <f>IF(COUNT(GQ22:GQ31,GR22:GR31)=0,"",SUMPRODUCT(--(GQ22:GQ31&lt;&gt;""),--(GR22:GR31&lt;&gt;""),GR22:GR31-GQ22:GQ31))</f>
        <v/>
      </c>
      <c r="GS32" s="218">
        <f>IF(COUNT(GR22:GR31,GS22:GS31)=0,"",SUMPRODUCT(--(GR22:GR31&lt;&gt;""),--(GS22:GS31&lt;&gt;""),GS22:GS31-GR22:GR31))</f>
        <v/>
      </c>
      <c r="GT32" s="218">
        <f>IF(COUNT(GS22:GS31,GT22:GT31)=0,"",SUMPRODUCT(--(GS22:GS31&lt;&gt;""),--(GT22:GT31&lt;&gt;""),GT22:GT31-GS22:GS31))</f>
        <v/>
      </c>
      <c r="GU32" s="218">
        <f>IF(COUNT(GT22:GT31,GU22:GU31)=0,"",SUMPRODUCT(--(GT22:GT31&lt;&gt;""),--(GU22:GU31&lt;&gt;""),GU22:GU31-GT22:GT31))</f>
        <v/>
      </c>
      <c r="GV32" s="218">
        <f>IF(COUNT(GU22:GU31,GV22:GV31)=0,"",SUMPRODUCT(--(GU22:GU31&lt;&gt;""),--(GV22:GV31&lt;&gt;""),GV22:GV31-GU22:GU31))</f>
        <v/>
      </c>
      <c r="GW32" s="218">
        <f>IF(COUNT(GV22:GV31,GW22:GW31)=0,"",SUMPRODUCT(--(GV22:GV31&lt;&gt;""),--(GW22:GW31&lt;&gt;""),GW22:GW31-GV22:GV31))</f>
        <v/>
      </c>
      <c r="GX32" s="218">
        <f>IF(COUNT(GW22:GW31,GX22:GX31)=0,"",SUMPRODUCT(--(GW22:GW31&lt;&gt;""),--(GX22:GX31&lt;&gt;""),GX22:GX31-GW22:GW31))</f>
        <v/>
      </c>
      <c r="GY32" s="218">
        <f>IF(COUNT(GX22:GX31,GY22:GY31)=0,"",SUMPRODUCT(--(GX22:GX31&lt;&gt;""),--(GY22:GY31&lt;&gt;""),GY22:GY31-GX22:GX31))</f>
        <v/>
      </c>
      <c r="GZ32" s="218">
        <f>IF(COUNT(GY22:GY31,GZ22:GZ31)=0,"",SUMPRODUCT(--(GY22:GY31&lt;&gt;""),--(GZ22:GZ31&lt;&gt;""),GZ22:GZ31-GY22:GY31))</f>
        <v/>
      </c>
      <c r="HA32" s="218">
        <f>IF(COUNT(GZ22:GZ31,HA22:HA31)=0,"",SUMPRODUCT(--(GZ22:GZ31&lt;&gt;""),--(HA22:HA31&lt;&gt;""),HA22:HA31-GZ22:GZ31))</f>
        <v/>
      </c>
      <c r="HB32" s="218">
        <f>IF(COUNT(HA22:HA31,HB22:HB31)=0,"",SUMPRODUCT(--(HA22:HA31&lt;&gt;""),--(HB22:HB31&lt;&gt;""),HB22:HB31-HA22:HA31))</f>
        <v/>
      </c>
      <c r="HC32" s="218">
        <f>IF(COUNT(HB22:HB31,HC22:HC31)=0,"",SUMPRODUCT(--(HB22:HB31&lt;&gt;""),--(HC22:HC31&lt;&gt;""),HC22:HC31-HB22:HB31))</f>
        <v/>
      </c>
      <c r="HD32" s="218">
        <f>IF(COUNT(HC22:HC31,HD22:HD31)=0,"",SUMPRODUCT(--(HC22:HC31&lt;&gt;""),--(HD22:HD31&lt;&gt;""),HD22:HD31-HC22:HC31))</f>
        <v/>
      </c>
      <c r="HE32" s="218">
        <f>IF(COUNT(HD22:HD31,HE22:HE31)=0,"",SUMPRODUCT(--(HD22:HD31&lt;&gt;""),--(HE22:HE31&lt;&gt;""),HE22:HE31-HD22:HD31))</f>
        <v/>
      </c>
      <c r="HF32" s="218">
        <f>IF(COUNT(HE22:HE31,HF22:HF31)=0,"",SUMPRODUCT(--(HE22:HE31&lt;&gt;""),--(HF22:HF31&lt;&gt;""),HF22:HF31-HE22:HE31))</f>
        <v/>
      </c>
      <c r="HG32" s="218">
        <f>IF(COUNT(HF22:HF31,HG22:HG31)=0,"",SUMPRODUCT(--(HF22:HF31&lt;&gt;""),--(HG22:HG31&lt;&gt;""),HG22:HG31-HF22:HF31))</f>
        <v/>
      </c>
      <c r="HH32" s="218">
        <f>IF(COUNT(HG22:HG31,HH22:HH31)=0,"",SUMPRODUCT(--(HG22:HG31&lt;&gt;""),--(HH22:HH31&lt;&gt;""),HH22:HH31-HG22:HG31))</f>
        <v/>
      </c>
      <c r="HI32" s="218">
        <f>IF(COUNT(HH22:HH31,HI22:HI31)=0,"",SUMPRODUCT(--(HH22:HH31&lt;&gt;""),--(HI22:HI31&lt;&gt;""),HI22:HI31-HH22:HH31))</f>
        <v/>
      </c>
      <c r="HJ32" s="218">
        <f>IF(COUNT(HI22:HI31,HJ22:HJ31)=0,"",SUMPRODUCT(--(HI22:HI31&lt;&gt;""),--(HJ22:HJ31&lt;&gt;""),HJ22:HJ31-HI22:HI31))</f>
        <v/>
      </c>
      <c r="HK32" s="218">
        <f>IF(COUNT(HJ22:HJ31,HK22:HK31)=0,"",SUMPRODUCT(--(HJ22:HJ31&lt;&gt;""),--(HK22:HK31&lt;&gt;""),HK22:HK31-HJ22:HJ31))</f>
        <v/>
      </c>
      <c r="HL32" s="218">
        <f>IF(COUNT(HK22:HK31,HL22:HL31)=0,"",SUMPRODUCT(--(HK22:HK31&lt;&gt;""),--(HL22:HL31&lt;&gt;""),HL22:HL31-HK22:HK31))</f>
        <v/>
      </c>
      <c r="HM32" s="218">
        <f>IF(COUNT(HL22:HL31,HM22:HM31)=0,"",SUMPRODUCT(--(HL22:HL31&lt;&gt;""),--(HM22:HM31&lt;&gt;""),HM22:HM31-HL22:HL31))</f>
        <v/>
      </c>
      <c r="HN32" s="218">
        <f>IF(COUNT(HM22:HM31,HN22:HN31)=0,"",SUMPRODUCT(--(HM22:HM31&lt;&gt;""),--(HN22:HN31&lt;&gt;""),HN22:HN31-HM22:HM31))</f>
        <v/>
      </c>
      <c r="HO32" s="218">
        <f>IF(COUNT(HN22:HN31,HO22:HO31)=0,"",SUMPRODUCT(--(HN22:HN31&lt;&gt;""),--(HO22:HO31&lt;&gt;""),HO22:HO31-HN22:HN31))</f>
        <v/>
      </c>
      <c r="HP32" s="218">
        <f>IF(COUNT(HO22:HO31,HP22:HP31)=0,"",SUMPRODUCT(--(HO22:HO31&lt;&gt;""),--(HP22:HP31&lt;&gt;""),HP22:HP31-HO22:HO31))</f>
        <v/>
      </c>
      <c r="HQ32" s="218">
        <f>IF(COUNT(HP22:HP31,HQ22:HQ31)=0,"",SUMPRODUCT(--(HP22:HP31&lt;&gt;""),--(HQ22:HQ31&lt;&gt;""),HQ22:HQ31-HP22:HP31))</f>
        <v/>
      </c>
      <c r="HR32" s="218">
        <f>IF(COUNT(HQ22:HQ31,HR22:HR31)=0,"",SUMPRODUCT(--(HQ22:HQ31&lt;&gt;""),--(HR22:HR31&lt;&gt;""),HR22:HR31-HQ22:HQ31))</f>
        <v/>
      </c>
      <c r="HS32" s="218">
        <f>IF(COUNT(HR22:HR31,HS22:HS31)=0,"",SUMPRODUCT(--(HR22:HR31&lt;&gt;""),--(HS22:HS31&lt;&gt;""),HS22:HS31-HR22:HR31))</f>
        <v/>
      </c>
      <c r="HT32" s="218">
        <f>IF(COUNT(HS22:HS31,HT22:HT31)=0,"",SUMPRODUCT(--(HS22:HS31&lt;&gt;""),--(HT22:HT31&lt;&gt;""),HT22:HT31-HS22:HS31))</f>
        <v/>
      </c>
      <c r="HU32" s="218">
        <f>IF(COUNT(HT22:HT31,HU22:HU31)=0,"",SUMPRODUCT(--(HT22:HT31&lt;&gt;""),--(HU22:HU31&lt;&gt;""),HU22:HU31-HT22:HT31))</f>
        <v/>
      </c>
      <c r="HV32" s="218">
        <f>IF(COUNT(HU22:HU31,HV22:HV31)=0,"",SUMPRODUCT(--(HU22:HU31&lt;&gt;""),--(HV22:HV31&lt;&gt;""),HV22:HV31-HU22:HU31))</f>
        <v/>
      </c>
      <c r="HW32" s="218">
        <f>IF(COUNT(HV22:HV31,HW22:HW31)=0,"",SUMPRODUCT(--(HV22:HV31&lt;&gt;""),--(HW22:HW31&lt;&gt;""),HW22:HW31-HV22:HV31))</f>
        <v/>
      </c>
      <c r="HX32" s="218">
        <f>IF(COUNT(HW22:HW31,HX22:HX31)=0,"",SUMPRODUCT(--(HW22:HW31&lt;&gt;""),--(HX22:HX31&lt;&gt;""),HX22:HX31-HW22:HW31))</f>
        <v/>
      </c>
      <c r="HY32" s="218">
        <f>IF(COUNT(HX22:HX31,HY22:HY31)=0,"",SUMPRODUCT(--(HX22:HX31&lt;&gt;""),--(HY22:HY31&lt;&gt;""),HY22:HY31-HX22:HX31))</f>
        <v/>
      </c>
      <c r="HZ32" s="218">
        <f>IF(COUNT(HY22:HY31,HZ22:HZ31)=0,"",SUMPRODUCT(--(HY22:HY31&lt;&gt;""),--(HZ22:HZ31&lt;&gt;""),HZ22:HZ31-HY22:HY31))</f>
        <v/>
      </c>
      <c r="IA32" s="218">
        <f>IF(COUNT(HZ22:HZ31,IA22:IA31)=0,"",SUMPRODUCT(--(HZ22:HZ31&lt;&gt;""),--(IA22:IA31&lt;&gt;""),IA22:IA31-HZ22:HZ31))</f>
        <v/>
      </c>
      <c r="IB32" s="218">
        <f>IF(COUNT(IA22:IA31,IB22:IB31)=0,"",SUMPRODUCT(--(IA22:IA31&lt;&gt;""),--(IB22:IB31&lt;&gt;""),IB22:IB31-IA22:IA31))</f>
        <v/>
      </c>
      <c r="IC32" s="218">
        <f>IF(COUNT(IB22:IB31,IC22:IC31)=0,"",SUMPRODUCT(--(IB22:IB31&lt;&gt;""),--(IC22:IC31&lt;&gt;""),IC22:IC31-IB22:IB31))</f>
        <v/>
      </c>
      <c r="ID32" s="218">
        <f>IF(COUNT(IC22:IC31,ID22:ID31)=0,"",SUMPRODUCT(--(IC22:IC31&lt;&gt;""),--(ID22:ID31&lt;&gt;""),ID22:ID31-IC22:IC31))</f>
        <v/>
      </c>
      <c r="IE32" s="218">
        <f>IF(COUNT(ID22:ID31,IE22:IE31)=0,"",SUMPRODUCT(--(ID22:ID31&lt;&gt;""),--(IE22:IE31&lt;&gt;""),IE22:IE31-ID22:ID31))</f>
        <v/>
      </c>
      <c r="IF32" s="218">
        <f>IF(COUNT(IE22:IE31,IF22:IF31)=0,"",SUMPRODUCT(--(IE22:IE31&lt;&gt;""),--(IF22:IF31&lt;&gt;""),IF22:IF31-IE22:IE31))</f>
        <v/>
      </c>
      <c r="IG32" s="218">
        <f>IF(COUNT(IF22:IF31,IG22:IG31)=0,"",SUMPRODUCT(--(IF22:IF31&lt;&gt;""),--(IG22:IG31&lt;&gt;""),IG22:IG31-IF22:IF31))</f>
        <v/>
      </c>
      <c r="IH32" s="218">
        <f>IF(COUNT(IG22:IG31,IH22:IH31)=0,"",SUMPRODUCT(--(IG22:IG31&lt;&gt;""),--(IH22:IH31&lt;&gt;""),IH22:IH31-IG22:IG31))</f>
        <v/>
      </c>
      <c r="II32" s="218">
        <f>IF(COUNT(IH22:IH31,II22:II31)=0,"",SUMPRODUCT(--(IH22:IH31&lt;&gt;""),--(II22:II31&lt;&gt;""),II22:II31-IH22:IH31))</f>
        <v/>
      </c>
      <c r="IJ32" s="218">
        <f>IF(COUNT(II22:II31,IJ22:IJ31)=0,"",SUMPRODUCT(--(II22:II31&lt;&gt;""),--(IJ22:IJ31&lt;&gt;""),IJ22:IJ31-II22:II31))</f>
        <v/>
      </c>
      <c r="IK32" s="218">
        <f>IF(COUNT(IJ22:IJ31,IK22:IK31)=0,"",SUMPRODUCT(--(IJ22:IJ31&lt;&gt;""),--(IK22:IK31&lt;&gt;""),IK22:IK31-IJ22:IJ31))</f>
        <v/>
      </c>
      <c r="IL32" s="218">
        <f>IF(COUNT(IK22:IK31,IL22:IL31)=0,"",SUMPRODUCT(--(IK22:IK31&lt;&gt;""),--(IL22:IL31&lt;&gt;""),IL22:IL31-IK22:IK31))</f>
        <v/>
      </c>
      <c r="IM32" s="218">
        <f>IF(COUNT(IL22:IL31,IM22:IM31)=0,"",SUMPRODUCT(--(IL22:IL31&lt;&gt;""),--(IM22:IM31&lt;&gt;""),IM22:IM31-IL22:IL31))</f>
        <v/>
      </c>
      <c r="IN32" s="218">
        <f>IF(COUNT(IM22:IM31,IN22:IN31)=0,"",SUMPRODUCT(--(IM22:IM31&lt;&gt;""),--(IN22:IN31&lt;&gt;""),IN22:IN31-IM22:IM31))</f>
        <v/>
      </c>
      <c r="IO32" s="218">
        <f>IF(COUNT(IN22:IN31,IO22:IO31)=0,"",SUMPRODUCT(--(IN22:IN31&lt;&gt;""),--(IO22:IO31&lt;&gt;""),IO22:IO31-IN22:IN31))</f>
        <v/>
      </c>
      <c r="IP32" s="218">
        <f>IF(COUNT(IO22:IO31,IP22:IP31)=0,"",SUMPRODUCT(--(IO22:IO31&lt;&gt;""),--(IP22:IP31&lt;&gt;""),IP22:IP31-IO22:IO31))</f>
        <v/>
      </c>
      <c r="IQ32" s="218">
        <f>IF(COUNT(IP22:IP31,IQ22:IQ31)=0,"",SUMPRODUCT(--(IP22:IP31&lt;&gt;""),--(IQ22:IQ31&lt;&gt;""),IQ22:IQ31-IP22:IP31))</f>
        <v/>
      </c>
      <c r="IR32" s="218">
        <f>IF(COUNT(IQ22:IQ31,IR22:IR31)=0,"",SUMPRODUCT(--(IQ22:IQ31&lt;&gt;""),--(IR22:IR31&lt;&gt;""),IR22:IR31-IQ22:IQ31))</f>
        <v/>
      </c>
      <c r="IS32" s="218">
        <f>IF(COUNT(IR22:IR31,IS22:IS31)=0,"",SUMPRODUCT(--(IR22:IR31&lt;&gt;""),--(IS22:IS31&lt;&gt;""),IS22:IS31-IR22:IR31))</f>
        <v/>
      </c>
      <c r="IT32" s="218">
        <f>IF(COUNT(IS22:IS31,IT22:IT31)=0,"",SUMPRODUCT(--(IS22:IS31&lt;&gt;""),--(IT22:IT31&lt;&gt;""),IT22:IT31-IS22:IS31))</f>
        <v/>
      </c>
      <c r="IU32" s="218">
        <f>IF(COUNT(IT22:IT31,IU22:IU31)=0,"",SUMPRODUCT(--(IT22:IT31&lt;&gt;""),--(IU22:IU31&lt;&gt;""),IU22:IU31-IT22:IT31))</f>
        <v/>
      </c>
      <c r="IV32" s="218">
        <f>IF(COUNT(IU22:IU31,IV22:IV31)=0,"",SUMPRODUCT(--(IU22:IU31&lt;&gt;""),--(IV22:IV31&lt;&gt;""),IV22:IV31-IU22:IU31))</f>
        <v/>
      </c>
      <c r="IW32" s="218">
        <f>IF(COUNT(IV22:IV31,IW22:IW31)=0,"",SUMPRODUCT(--(IV22:IV31&lt;&gt;""),--(IW22:IW31&lt;&gt;""),IW22:IW31-IV22:IV31))</f>
        <v/>
      </c>
      <c r="IX32" s="218">
        <f>IF(COUNT(IW22:IW31,IX22:IX31)=0,"",SUMPRODUCT(--(IW22:IW31&lt;&gt;""),--(IX22:IX31&lt;&gt;""),IX22:IX31-IW22:IW31))</f>
        <v/>
      </c>
      <c r="IY32" s="218">
        <f>IF(COUNT(IX22:IX31,IY22:IY31)=0,"",SUMPRODUCT(--(IX22:IX31&lt;&gt;""),--(IY22:IY31&lt;&gt;""),IY22:IY31-IX22:IX31))</f>
        <v/>
      </c>
      <c r="IZ32" s="218">
        <f>IF(COUNT(IY22:IY31,IZ22:IZ31)=0,"",SUMPRODUCT(--(IY22:IY31&lt;&gt;""),--(IZ22:IZ31&lt;&gt;""),IZ22:IZ31-IY22:IY31))</f>
        <v/>
      </c>
      <c r="JA32" s="218">
        <f>IF(COUNT(IZ22:IZ31,JA22:JA31)=0,"",SUMPRODUCT(--(IZ22:IZ31&lt;&gt;""),--(JA22:JA31&lt;&gt;""),JA22:JA31-IZ22:IZ31))</f>
        <v/>
      </c>
      <c r="JB32" s="218">
        <f>IF(COUNT(JA22:JA31,JB22:JB31)=0,"",SUMPRODUCT(--(JA22:JA31&lt;&gt;""),--(JB22:JB31&lt;&gt;""),JB22:JB31-JA22:JA31))</f>
        <v/>
      </c>
      <c r="JC32" s="218">
        <f>IF(COUNT(JB22:JB31,JC22:JC31)=0,"",SUMPRODUCT(--(JB22:JB31&lt;&gt;""),--(JC22:JC31&lt;&gt;""),JC22:JC31-JB22:JB31))</f>
        <v/>
      </c>
      <c r="JD32" s="218">
        <f>IF(COUNT(JC22:JC31,JD22:JD31)=0,"",SUMPRODUCT(--(JC22:JC31&lt;&gt;""),--(JD22:JD31&lt;&gt;""),JD22:JD31-JC22:JC31))</f>
        <v/>
      </c>
      <c r="JE32" s="218">
        <f>IF(COUNT(JD22:JD31,JE22:JE31)=0,"",SUMPRODUCT(--(JD22:JD31&lt;&gt;""),--(JE22:JE31&lt;&gt;""),JE22:JE31-JD22:JD31))</f>
        <v/>
      </c>
      <c r="JF32" s="218">
        <f>IF(COUNT(JE22:JE31,JF22:JF31)=0,"",SUMPRODUCT(--(JE22:JE31&lt;&gt;""),--(JF22:JF31&lt;&gt;""),JF22:JF31-JE22:JE31))</f>
        <v/>
      </c>
      <c r="JG32" s="218">
        <f>IF(COUNT(JF22:JF31,JG22:JG31)=0,"",SUMPRODUCT(--(JF22:JF31&lt;&gt;""),--(JG22:JG31&lt;&gt;""),JG22:JG31-JF22:JF31))</f>
        <v/>
      </c>
      <c r="JH32" s="218">
        <f>IF(COUNT(JG22:JG31,JH22:JH31)=0,"",SUMPRODUCT(--(JG22:JG31&lt;&gt;""),--(JH22:JH31&lt;&gt;""),JH22:JH31-JG22:JG31))</f>
        <v/>
      </c>
      <c r="JI32" s="218">
        <f>IF(COUNT(JH22:JH31,JI22:JI31)=0,"",SUMPRODUCT(--(JH22:JH31&lt;&gt;""),--(JI22:JI31&lt;&gt;""),JI22:JI31-JH22:JH31))</f>
        <v/>
      </c>
      <c r="JJ32" s="218">
        <f>IF(COUNT(JI22:JI31,JJ22:JJ31)=0,"",SUMPRODUCT(--(JI22:JI31&lt;&gt;""),--(JJ22:JJ31&lt;&gt;""),JJ22:JJ31-JI22:JI31))</f>
        <v/>
      </c>
      <c r="JK32" s="218">
        <f>IF(COUNT(JJ22:JJ31,JK22:JK31)=0,"",SUMPRODUCT(--(JJ22:JJ31&lt;&gt;""),--(JK22:JK31&lt;&gt;""),JK22:JK31-JJ22:JJ31))</f>
        <v/>
      </c>
      <c r="JL32" s="218">
        <f>IF(COUNT(JK22:JK31,JL22:JL31)=0,"",SUMPRODUCT(--(JK22:JK31&lt;&gt;""),--(JL22:JL31&lt;&gt;""),JL22:JL31-JK22:JK31))</f>
        <v/>
      </c>
      <c r="JM32" s="218">
        <f>IF(COUNT(JL22:JL31,JM22:JM31)=0,"",SUMPRODUCT(--(JL22:JL31&lt;&gt;""),--(JM22:JM31&lt;&gt;""),JM22:JM31-JL22:JL31))</f>
        <v/>
      </c>
      <c r="JN32" s="218">
        <f>IF(COUNT(JM22:JM31,JN22:JN31)=0,"",SUMPRODUCT(--(JM22:JM31&lt;&gt;""),--(JN22:JN31&lt;&gt;""),JN22:JN31-JM22:JM31))</f>
        <v/>
      </c>
      <c r="JO32" s="218">
        <f>IF(COUNT(JN22:JN31,JO22:JO31)=0,"",SUMPRODUCT(--(JN22:JN31&lt;&gt;""),--(JO22:JO31&lt;&gt;""),JO22:JO31-JN22:JN31))</f>
        <v/>
      </c>
      <c r="JP32" s="218">
        <f>IF(COUNT(JO22:JO31,JP22:JP31)=0,"",SUMPRODUCT(--(JO22:JO31&lt;&gt;""),--(JP22:JP31&lt;&gt;""),JP22:JP31-JO22:JO31))</f>
        <v/>
      </c>
      <c r="JQ32" s="218">
        <f>IF(COUNT(JP22:JP31,JQ22:JQ31)=0,"",SUMPRODUCT(--(JP22:JP31&lt;&gt;""),--(JQ22:JQ31&lt;&gt;""),JQ22:JQ31-JP22:JP31))</f>
        <v/>
      </c>
      <c r="JR32" s="218">
        <f>IF(COUNT(JQ22:JQ31,JR22:JR31)=0,"",SUMPRODUCT(--(JQ22:JQ31&lt;&gt;""),--(JR22:JR31&lt;&gt;""),JR22:JR31-JQ22:JQ31))</f>
        <v/>
      </c>
      <c r="JS32" s="218">
        <f>IF(COUNT(JR22:JR31,JS22:JS31)=0,"",SUMPRODUCT(--(JR22:JR31&lt;&gt;""),--(JS22:JS31&lt;&gt;""),JS22:JS31-JR22:JR31))</f>
        <v/>
      </c>
      <c r="JT32" s="218">
        <f>IF(COUNT(JS22:JS31,JT22:JT31)=0,"",SUMPRODUCT(--(JS22:JS31&lt;&gt;""),--(JT22:JT31&lt;&gt;""),JT22:JT31-JS22:JS31))</f>
        <v/>
      </c>
      <c r="JU32" s="218">
        <f>IF(COUNT(JT22:JT31,JU22:JU31)=0,"",SUMPRODUCT(--(JT22:JT31&lt;&gt;""),--(JU22:JU31&lt;&gt;""),JU22:JU31-JT22:JT31))</f>
        <v/>
      </c>
      <c r="JV32" s="218">
        <f>IF(COUNT(JU22:JU31,JV22:JV31)=0,"",SUMPRODUCT(--(JU22:JU31&lt;&gt;""),--(JV22:JV31&lt;&gt;""),JV22:JV31-JU22:JU31))</f>
        <v/>
      </c>
      <c r="JW32" s="218">
        <f>IF(COUNT(JV22:JV31,JW22:JW31)=0,"",SUMPRODUCT(--(JV22:JV31&lt;&gt;""),--(JW22:JW31&lt;&gt;""),JW22:JW31-JV22:JV31))</f>
        <v/>
      </c>
      <c r="JX32" s="218">
        <f>IF(COUNT(JW22:JW31,JX22:JX31)=0,"",SUMPRODUCT(--(JW22:JW31&lt;&gt;""),--(JX22:JX31&lt;&gt;""),JX22:JX31-JW22:JW31))</f>
        <v/>
      </c>
      <c r="JY32" s="218">
        <f>IF(COUNT(JX22:JX31,JY22:JY31)=0,"",SUMPRODUCT(--(JX22:JX31&lt;&gt;""),--(JY22:JY31&lt;&gt;""),JY22:JY31-JX22:JX31))</f>
        <v/>
      </c>
      <c r="JZ32" s="218">
        <f>IF(COUNT(JY22:JY31,JZ22:JZ31)=0,"",SUMPRODUCT(--(JY22:JY31&lt;&gt;""),--(JZ22:JZ31&lt;&gt;""),JZ22:JZ31-JY22:JY31))</f>
        <v/>
      </c>
      <c r="KA32" s="218">
        <f>IF(COUNT(JZ22:JZ31,KA22:KA31)=0,"",SUMPRODUCT(--(JZ22:JZ31&lt;&gt;""),--(KA22:KA31&lt;&gt;""),KA22:KA31-JZ22:JZ31))</f>
        <v/>
      </c>
      <c r="KB32" s="218">
        <f>IF(COUNT(KA22:KA31,KB22:KB31)=0,"",SUMPRODUCT(--(KA22:KA31&lt;&gt;""),--(KB22:KB31&lt;&gt;""),KB22:KB31-KA22:KA31))</f>
        <v/>
      </c>
      <c r="KC32" s="218">
        <f>IF(COUNT(KB22:KB31,KC22:KC31)=0,"",SUMPRODUCT(--(KB22:KB31&lt;&gt;""),--(KC22:KC31&lt;&gt;""),KC22:KC31-KB22:KB31))</f>
        <v/>
      </c>
      <c r="KD32" s="218">
        <f>IF(COUNT(KC22:KC31,KD22:KD31)=0,"",SUMPRODUCT(--(KC22:KC31&lt;&gt;""),--(KD22:KD31&lt;&gt;""),KD22:KD31-KC22:KC31))</f>
        <v/>
      </c>
      <c r="KE32" s="218">
        <f>IF(COUNT(KD22:KD31,KE22:KE31)=0,"",SUMPRODUCT(--(KD22:KD31&lt;&gt;""),--(KE22:KE31&lt;&gt;""),KE22:KE31-KD22:KD31))</f>
        <v/>
      </c>
      <c r="KF32" s="218">
        <f>IF(COUNT(KE22:KE31,KF22:KF31)=0,"",SUMPRODUCT(--(KE22:KE31&lt;&gt;""),--(KF22:KF31&lt;&gt;""),KF22:KF31-KE22:KE31))</f>
        <v/>
      </c>
      <c r="KG32" s="218">
        <f>IF(COUNT(KF22:KF31,KG22:KG31)=0,"",SUMPRODUCT(--(KF22:KF31&lt;&gt;""),--(KG22:KG31&lt;&gt;""),KG22:KG31-KF22:KF31))</f>
        <v/>
      </c>
      <c r="KH32" s="218">
        <f>IF(COUNT(KG22:KG31,KH22:KH31)=0,"",SUMPRODUCT(--(KG22:KG31&lt;&gt;""),--(KH22:KH31&lt;&gt;""),KH22:KH31-KG22:KG31))</f>
        <v/>
      </c>
      <c r="KI32" s="218">
        <f>IF(COUNT(KH22:KH31,KI22:KI31)=0,"",SUMPRODUCT(--(KH22:KH31&lt;&gt;""),--(KI22:KI31&lt;&gt;""),KI22:KI31-KH22:KH31))</f>
        <v/>
      </c>
      <c r="KJ32" s="218">
        <f>IF(COUNT(KI22:KI31,KJ22:KJ31)=0,"",SUMPRODUCT(--(KI22:KI31&lt;&gt;""),--(KJ22:KJ31&lt;&gt;""),KJ22:KJ31-KI22:KI31))</f>
        <v/>
      </c>
      <c r="KK32" s="218">
        <f>IF(COUNT(KJ22:KJ31,KK22:KK31)=0,"",SUMPRODUCT(--(KJ22:KJ31&lt;&gt;""),--(KK22:KK31&lt;&gt;""),KK22:KK31-KJ22:KJ31))</f>
        <v/>
      </c>
      <c r="KL32" s="218">
        <f>IF(COUNT(KK22:KK31,KL22:KL31)=0,"",SUMPRODUCT(--(KK22:KK31&lt;&gt;""),--(KL22:KL31&lt;&gt;""),KL22:KL31-KK22:KK31))</f>
        <v/>
      </c>
      <c r="KM32" s="218">
        <f>IF(COUNT(KL22:KL31,KM22:KM31)=0,"",SUMPRODUCT(--(KL22:KL31&lt;&gt;""),--(KM22:KM31&lt;&gt;""),KM22:KM31-KL22:KL31))</f>
        <v/>
      </c>
      <c r="KN32" s="218">
        <f>IF(COUNT(KM22:KM31,KN22:KN31)=0,"",SUMPRODUCT(--(KM22:KM31&lt;&gt;""),--(KN22:KN31&lt;&gt;""),KN22:KN31-KM22:KM31))</f>
        <v/>
      </c>
      <c r="KO32" s="218">
        <f>IF(COUNT(KN22:KN31,KO22:KO31)=0,"",SUMPRODUCT(--(KN22:KN31&lt;&gt;""),--(KO22:KO31&lt;&gt;""),KO22:KO31-KN22:KN31))</f>
        <v/>
      </c>
      <c r="KP32" s="218">
        <f>IF(COUNT(KO22:KO31,KP22:KP31)=0,"",SUMPRODUCT(--(KO22:KO31&lt;&gt;""),--(KP22:KP31&lt;&gt;""),KP22:KP31-KO22:KO31))</f>
        <v/>
      </c>
      <c r="KQ32" s="218">
        <f>IF(COUNT(KP22:KP31,KQ22:KQ31)=0,"",SUMPRODUCT(--(KP22:KP31&lt;&gt;""),--(KQ22:KQ31&lt;&gt;""),KQ22:KQ31-KP22:KP31))</f>
        <v/>
      </c>
      <c r="KR32" s="218">
        <f>IF(COUNT(KQ22:KQ31,KR22:KR31)=0,"",SUMPRODUCT(--(KQ22:KQ31&lt;&gt;""),--(KR22:KR31&lt;&gt;""),KR22:KR31-KQ22:KQ31))</f>
        <v/>
      </c>
      <c r="KS32" s="218">
        <f>IF(COUNT(KR22:KR31,KS22:KS31)=0,"",SUMPRODUCT(--(KR22:KR31&lt;&gt;""),--(KS22:KS31&lt;&gt;""),KS22:KS31-KR22:KR31))</f>
        <v/>
      </c>
      <c r="KT32" s="218">
        <f>IF(COUNT(KS22:KS31,KT22:KT31)=0,"",SUMPRODUCT(--(KS22:KS31&lt;&gt;""),--(KT22:KT31&lt;&gt;""),KT22:KT31-KS22:KS31))</f>
        <v/>
      </c>
      <c r="KU32" s="218">
        <f>IF(COUNT(KT22:KT31,KU22:KU31)=0,"",SUMPRODUCT(--(KT22:KT31&lt;&gt;""),--(KU22:KU31&lt;&gt;""),KU22:KU31-KT22:KT31))</f>
        <v/>
      </c>
      <c r="KV32" s="218">
        <f>IF(COUNT(KU22:KU31,KV22:KV31)=0,"",SUMPRODUCT(--(KU22:KU31&lt;&gt;""),--(KV22:KV31&lt;&gt;""),KV22:KV31-KU22:KU31))</f>
        <v/>
      </c>
      <c r="KW32" s="218">
        <f>IF(COUNT(KV22:KV31,KW22:KW31)=0,"",SUMPRODUCT(--(KV22:KV31&lt;&gt;""),--(KW22:KW31&lt;&gt;""),KW22:KW31-KV22:KV31))</f>
        <v/>
      </c>
      <c r="KX32" s="218">
        <f>IF(COUNT(KW22:KW31,KX22:KX31)=0,"",SUMPRODUCT(--(KW22:KW31&lt;&gt;""),--(KX22:KX31&lt;&gt;""),KX22:KX31-KW22:KW31))</f>
        <v/>
      </c>
      <c r="KY32" s="218">
        <f>IF(COUNT(KX22:KX31,KY22:KY31)=0,"",SUMPRODUCT(--(KX22:KX31&lt;&gt;""),--(KY22:KY31&lt;&gt;""),KY22:KY31-KX22:KX31))</f>
        <v/>
      </c>
      <c r="KZ32" s="218">
        <f>IF(COUNT(KY22:KY31,KZ22:KZ31)=0,"",SUMPRODUCT(--(KY22:KY31&lt;&gt;""),--(KZ22:KZ31&lt;&gt;""),KZ22:KZ31-KY22:KY31))</f>
        <v/>
      </c>
      <c r="LA32" s="218">
        <f>IF(COUNT(KZ22:KZ31,LA22:LA31)=0,"",SUMPRODUCT(--(KZ22:KZ31&lt;&gt;""),--(LA22:LA31&lt;&gt;""),LA22:LA31-KZ22:KZ31))</f>
        <v/>
      </c>
      <c r="LB32" s="218">
        <f>IF(COUNT(LA22:LA31,LB22:LB31)=0,"",SUMPRODUCT(--(LA22:LA31&lt;&gt;""),--(LB22:LB31&lt;&gt;""),LB22:LB31-LA22:LA31))</f>
        <v/>
      </c>
      <c r="LC32" s="218">
        <f>IF(COUNT(LB22:LB31,LC22:LC31)=0,"",SUMPRODUCT(--(LB22:LB31&lt;&gt;""),--(LC22:LC31&lt;&gt;""),LC22:LC31-LB22:LB31))</f>
        <v/>
      </c>
      <c r="LD32" s="218">
        <f>IF(COUNT(LC22:LC31,LD22:LD31)=0,"",SUMPRODUCT(--(LC22:LC31&lt;&gt;""),--(LD22:LD31&lt;&gt;""),LD22:LD31-LC22:LC31))</f>
        <v/>
      </c>
      <c r="LE32" s="218">
        <f>IF(COUNT(LD22:LD31,LE22:LE31)=0,"",SUMPRODUCT(--(LD22:LD31&lt;&gt;""),--(LE22:LE31&lt;&gt;""),LE22:LE31-LD22:LD31))</f>
        <v/>
      </c>
      <c r="LF32" s="218">
        <f>IF(COUNT(LE22:LE31,LF22:LF31)=0,"",SUMPRODUCT(--(LE22:LE31&lt;&gt;""),--(LF22:LF31&lt;&gt;""),LF22:LF31-LE22:LE31))</f>
        <v/>
      </c>
      <c r="LG32" s="218">
        <f>IF(COUNT(LF22:LF31,LG22:LG31)=0,"",SUMPRODUCT(--(LF22:LF31&lt;&gt;""),--(LG22:LG31&lt;&gt;""),LG22:LG31-LF22:LF31))</f>
        <v/>
      </c>
      <c r="LH32" s="218">
        <f>IF(COUNT(LG22:LG31,LH22:LH31)=0,"",SUMPRODUCT(--(LG22:LG31&lt;&gt;""),--(LH22:LH31&lt;&gt;""),LH22:LH31-LG22:LG31))</f>
        <v/>
      </c>
      <c r="LI32" s="218">
        <f>IF(COUNT(LH22:LH31,LI22:LI31)=0,"",SUMPRODUCT(--(LH22:LH31&lt;&gt;""),--(LI22:LI31&lt;&gt;""),LI22:LI31-LH22:LH31))</f>
        <v/>
      </c>
      <c r="LJ32" s="218">
        <f>IF(COUNT(LI22:LI31,LJ22:LJ31)=0,"",SUMPRODUCT(--(LI22:LI31&lt;&gt;""),--(LJ22:LJ31&lt;&gt;""),LJ22:LJ31-LI22:LI31))</f>
        <v/>
      </c>
      <c r="LK32" s="218">
        <f>IF(COUNT(LJ22:LJ31,LK22:LK31)=0,"",SUMPRODUCT(--(LJ22:LJ31&lt;&gt;""),--(LK22:LK31&lt;&gt;""),LK22:LK31-LJ22:LJ31))</f>
        <v/>
      </c>
      <c r="LL32" s="218">
        <f>IF(COUNT(LK22:LK31,LL22:LL31)=0,"",SUMPRODUCT(--(LK22:LK31&lt;&gt;""),--(LL22:LL31&lt;&gt;""),LL22:LL31-LK22:LK31))</f>
        <v/>
      </c>
      <c r="LM32" s="218">
        <f>IF(COUNT(LL22:LL31,LM22:LM31)=0,"",SUMPRODUCT(--(LL22:LL31&lt;&gt;""),--(LM22:LM31&lt;&gt;""),LM22:LM31-LL22:LL31))</f>
        <v/>
      </c>
      <c r="LN32" s="218">
        <f>IF(COUNT(LM22:LM31,LN22:LN31)=0,"",SUMPRODUCT(--(LM22:LM31&lt;&gt;""),--(LN22:LN31&lt;&gt;""),LN22:LN31-LM22:LM31))</f>
        <v/>
      </c>
      <c r="LO32" s="218">
        <f>IF(COUNT(LN22:LN31,LO22:LO31)=0,"",SUMPRODUCT(--(LN22:LN31&lt;&gt;""),--(LO22:LO31&lt;&gt;""),LO22:LO31-LN22:LN31))</f>
        <v/>
      </c>
      <c r="LP32" s="218">
        <f>IF(COUNT(LO22:LO31,LP22:LP31)=0,"",SUMPRODUCT(--(LO22:LO31&lt;&gt;""),--(LP22:LP31&lt;&gt;""),LP22:LP31-LO22:LO31))</f>
        <v/>
      </c>
      <c r="LQ32" s="218">
        <f>IF(COUNT(LP22:LP31,LQ22:LQ31)=0,"",SUMPRODUCT(--(LP22:LP31&lt;&gt;""),--(LQ22:LQ31&lt;&gt;""),LQ22:LQ31-LP22:LP31))</f>
        <v/>
      </c>
      <c r="LR32" s="218">
        <f>IF(COUNT(LQ22:LQ31,LR22:LR31)=0,"",SUMPRODUCT(--(LQ22:LQ31&lt;&gt;""),--(LR22:LR31&lt;&gt;""),LR22:LR31-LQ22:LQ31))</f>
        <v/>
      </c>
      <c r="LS32" s="218">
        <f>IF(COUNT(LR22:LR31,LS22:LS31)=0,"",SUMPRODUCT(--(LR22:LR31&lt;&gt;""),--(LS22:LS31&lt;&gt;""),LS22:LS31-LR22:LR31))</f>
        <v/>
      </c>
      <c r="LT32" s="218">
        <f>IF(COUNT(LS22:LS31,LT22:LT31)=0,"",SUMPRODUCT(--(LS22:LS31&lt;&gt;""),--(LT22:LT31&lt;&gt;""),LT22:LT31-LS22:LS31))</f>
        <v/>
      </c>
      <c r="LU32" s="218">
        <f>IF(COUNT(LT22:LT31,LU22:LU31)=0,"",SUMPRODUCT(--(LT22:LT31&lt;&gt;""),--(LU22:LU31&lt;&gt;""),LU22:LU31-LT22:LT31))</f>
        <v/>
      </c>
      <c r="LV32" s="218">
        <f>IF(COUNT(LU22:LU31,LV22:LV31)=0,"",SUMPRODUCT(--(LU22:LU31&lt;&gt;""),--(LV22:LV31&lt;&gt;""),LV22:LV31-LU22:LU31))</f>
        <v/>
      </c>
      <c r="LW32" s="218">
        <f>IF(COUNT(LV22:LV31,LW22:LW31)=0,"",SUMPRODUCT(--(LV22:LV31&lt;&gt;""),--(LW22:LW31&lt;&gt;""),LW22:LW31-LV22:LV31))</f>
        <v/>
      </c>
      <c r="LX32" s="218">
        <f>IF(COUNT(LW22:LW31,LX22:LX31)=0,"",SUMPRODUCT(--(LW22:LW31&lt;&gt;""),--(LX22:LX31&lt;&gt;""),LX22:LX31-LW22:LW31))</f>
        <v/>
      </c>
      <c r="LY32" s="218">
        <f>IF(COUNT(LX22:LX31,LY22:LY31)=0,"",SUMPRODUCT(--(LX22:LX31&lt;&gt;""),--(LY22:LY31&lt;&gt;""),LY22:LY31-LX22:LX31))</f>
        <v/>
      </c>
      <c r="LZ32" s="218">
        <f>IF(COUNT(LY22:LY31,LZ22:LZ31)=0,"",SUMPRODUCT(--(LY22:LY31&lt;&gt;""),--(LZ22:LZ31&lt;&gt;""),LZ22:LZ31-LY22:LY31))</f>
        <v/>
      </c>
      <c r="MA32" s="218">
        <f>IF(COUNT(LZ22:LZ31,MA22:MA31)=0,"",SUMPRODUCT(--(LZ22:LZ31&lt;&gt;""),--(MA22:MA31&lt;&gt;""),MA22:MA31-LZ22:LZ31))</f>
        <v/>
      </c>
      <c r="MB32" s="218">
        <f>IF(COUNT(MA22:MA31,MB22:MB31)=0,"",SUMPRODUCT(--(MA22:MA31&lt;&gt;""),--(MB22:MB31&lt;&gt;""),MB22:MB31-MA22:MA31))</f>
        <v/>
      </c>
      <c r="MC32" s="218">
        <f>IF(COUNT(MB22:MB31,MC22:MC31)=0,"",SUMPRODUCT(--(MB22:MB31&lt;&gt;""),--(MC22:MC31&lt;&gt;""),MC22:MC31-MB22:MB31))</f>
        <v/>
      </c>
      <c r="MD32" s="218">
        <f>IF(COUNT(MC22:MC31,MD22:MD31)=0,"",SUMPRODUCT(--(MC22:MC31&lt;&gt;""),--(MD22:MD31&lt;&gt;""),MD22:MD31-MC22:MC31))</f>
        <v/>
      </c>
      <c r="ME32" s="218">
        <f>IF(COUNT(MD22:MD31,ME22:ME31)=0,"",SUMPRODUCT(--(MD22:MD31&lt;&gt;""),--(ME22:ME31&lt;&gt;""),ME22:ME31-MD22:MD31))</f>
        <v/>
      </c>
      <c r="MF32" s="218">
        <f>IF(COUNT(ME22:ME31,MF22:MF31)=0,"",SUMPRODUCT(--(ME22:ME31&lt;&gt;""),--(MF22:MF31&lt;&gt;""),MF22:MF31-ME22:ME31))</f>
        <v/>
      </c>
      <c r="MG32" s="218">
        <f>IF(COUNT(MF22:MF31,MG22:MG31)=0,"",SUMPRODUCT(--(MF22:MF31&lt;&gt;""),--(MG22:MG31&lt;&gt;""),MG22:MG31-MF22:MF31))</f>
        <v/>
      </c>
      <c r="MH32" s="218">
        <f>IF(COUNT(MG22:MG31,MH22:MH31)=0,"",SUMPRODUCT(--(MG22:MG31&lt;&gt;""),--(MH22:MH31&lt;&gt;""),MH22:MH31-MG22:MG31))</f>
        <v/>
      </c>
      <c r="MI32" s="218">
        <f>IF(COUNT(MH22:MH31,MI22:MI31)=0,"",SUMPRODUCT(--(MH22:MH31&lt;&gt;""),--(MI22:MI31&lt;&gt;""),MI22:MI31-MH22:MH31))</f>
        <v/>
      </c>
      <c r="MJ32" s="218">
        <f>IF(COUNT(MI22:MI31,MJ22:MJ31)=0,"",SUMPRODUCT(--(MI22:MI31&lt;&gt;""),--(MJ22:MJ31&lt;&gt;""),MJ22:MJ31-MI22:MI31))</f>
        <v/>
      </c>
      <c r="MK32" s="218">
        <f>IF(COUNT(MJ22:MJ31,MK22:MK31)=0,"",SUMPRODUCT(--(MJ22:MJ31&lt;&gt;""),--(MK22:MK31&lt;&gt;""),MK22:MK31-MJ22:MJ31))</f>
        <v/>
      </c>
      <c r="ML32" s="218">
        <f>IF(COUNT(MK22:MK31,ML22:ML31)=0,"",SUMPRODUCT(--(MK22:MK31&lt;&gt;""),--(ML22:ML31&lt;&gt;""),ML22:ML31-MK22:MK31))</f>
        <v/>
      </c>
      <c r="MM32" s="218">
        <f>IF(COUNT(ML22:ML31,MM22:MM31)=0,"",SUMPRODUCT(--(ML22:ML31&lt;&gt;""),--(MM22:MM31&lt;&gt;""),MM22:MM31-ML22:ML31))</f>
        <v/>
      </c>
      <c r="MN32" s="218">
        <f>IF(COUNT(MM22:MM31,MN22:MN31)=0,"",SUMPRODUCT(--(MM22:MM31&lt;&gt;""),--(MN22:MN31&lt;&gt;""),MN22:MN31-MM22:MM31))</f>
        <v/>
      </c>
      <c r="MO32" s="218">
        <f>IF(COUNT(MN22:MN31,MO22:MO31)=0,"",SUMPRODUCT(--(MN22:MN31&lt;&gt;""),--(MO22:MO31&lt;&gt;""),MO22:MO31-MN22:MN31))</f>
        <v/>
      </c>
      <c r="MP32" s="218">
        <f>IF(COUNT(MO22:MO31,MP22:MP31)=0,"",SUMPRODUCT(--(MO22:MO31&lt;&gt;""),--(MP22:MP31&lt;&gt;""),MP22:MP31-MO22:MO31))</f>
        <v/>
      </c>
      <c r="MQ32" s="218">
        <f>IF(COUNT(MP22:MP31,MQ22:MQ31)=0,"",SUMPRODUCT(--(MP22:MP31&lt;&gt;""),--(MQ22:MQ31&lt;&gt;""),MQ22:MQ31-MP22:MP31))</f>
        <v/>
      </c>
      <c r="MR32" s="218">
        <f>IF(COUNT(MQ22:MQ31,MR22:MR31)=0,"",SUMPRODUCT(--(MQ22:MQ31&lt;&gt;""),--(MR22:MR31&lt;&gt;""),MR22:MR31-MQ22:MQ31))</f>
        <v/>
      </c>
      <c r="MS32" s="218">
        <f>IF(COUNT(MR22:MR31,MS22:MS31)=0,"",SUMPRODUCT(--(MR22:MR31&lt;&gt;""),--(MS22:MS31&lt;&gt;""),MS22:MS31-MR22:MR31))</f>
        <v/>
      </c>
      <c r="MT32" s="218">
        <f>IF(COUNT(MS22:MS31,MT22:MT31)=0,"",SUMPRODUCT(--(MS22:MS31&lt;&gt;""),--(MT22:MT31&lt;&gt;""),MT22:MT31-MS22:MS31))</f>
        <v/>
      </c>
      <c r="MU32" s="218">
        <f>IF(COUNT(MT22:MT31,MU22:MU31)=0,"",SUMPRODUCT(--(MT22:MT31&lt;&gt;""),--(MU22:MU31&lt;&gt;""),MU22:MU31-MT22:MT31))</f>
        <v/>
      </c>
      <c r="MV32" s="218">
        <f>IF(COUNT(MU22:MU31,MV22:MV31)=0,"",SUMPRODUCT(--(MU22:MU31&lt;&gt;""),--(MV22:MV31&lt;&gt;""),MV22:MV31-MU22:MU31))</f>
        <v/>
      </c>
      <c r="MW32" s="218">
        <f>IF(COUNT(MV22:MV31,MW22:MW31)=0,"",SUMPRODUCT(--(MV22:MV31&lt;&gt;""),--(MW22:MW31&lt;&gt;""),MW22:MW31-MV22:MV31))</f>
        <v/>
      </c>
      <c r="MX32" s="218">
        <f>IF(COUNT(MW22:MW31,MX22:MX31)=0,"",SUMPRODUCT(--(MW22:MW31&lt;&gt;""),--(MX22:MX31&lt;&gt;""),MX22:MX31-MW22:MW31))</f>
        <v/>
      </c>
      <c r="MY32" s="218">
        <f>IF(COUNT(MX22:MX31,MY22:MY31)=0,"",SUMPRODUCT(--(MX22:MX31&lt;&gt;""),--(MY22:MY31&lt;&gt;""),MY22:MY31-MX22:MX31))</f>
        <v/>
      </c>
      <c r="MZ32" s="218">
        <f>IF(COUNT(MY22:MY31,MZ22:MZ31)=0,"",SUMPRODUCT(--(MY22:MY31&lt;&gt;""),--(MZ22:MZ31&lt;&gt;""),MZ22:MZ31-MY22:MY31))</f>
        <v/>
      </c>
      <c r="NA32" s="218">
        <f>IF(COUNT(MZ22:MZ31,NA22:NA31)=0,"",SUMPRODUCT(--(MZ22:MZ31&lt;&gt;""),--(NA22:NA31&lt;&gt;""),NA22:NA31-MZ22:MZ31))</f>
        <v/>
      </c>
      <c r="NB32" s="218">
        <f>IF(COUNT(NA22:NA31,NB22:NB31)=0,"",SUMPRODUCT(--(NA22:NA31&lt;&gt;""),--(NB22:NB31&lt;&gt;""),NB22:NB31-NA22:NA31))</f>
        <v/>
      </c>
      <c r="NC32" s="219">
        <f>SUM(B32:NB32)</f>
        <v/>
      </c>
    </row>
    <row r="33" ht="54.75" customFormat="1" customHeight="1" s="223">
      <c r="A33" s="224" t="n"/>
      <c r="B33" s="225" t="n"/>
      <c r="C33" s="225" t="n"/>
      <c r="D33" s="225" t="n"/>
      <c r="E33" s="225" t="n"/>
      <c r="F33" s="225" t="n"/>
      <c r="G33" s="225" t="n"/>
      <c r="H33" s="225" t="n"/>
      <c r="I33" s="225" t="n"/>
      <c r="J33" s="225" t="n"/>
      <c r="K33" s="225" t="n"/>
      <c r="L33" s="225" t="n"/>
      <c r="M33" s="225" t="n"/>
      <c r="N33" s="225" t="n"/>
      <c r="O33" s="225" t="n"/>
      <c r="P33" s="225" t="n"/>
      <c r="Q33" s="225" t="n"/>
      <c r="R33" s="225" t="n"/>
      <c r="S33" s="225" t="n"/>
      <c r="T33" s="225" t="n"/>
      <c r="U33" s="225" t="n"/>
      <c r="V33" s="225" t="n"/>
      <c r="W33" s="225" t="n"/>
      <c r="X33" s="225" t="n"/>
      <c r="Y33" s="225" t="n"/>
      <c r="Z33" s="225" t="n"/>
      <c r="AA33" s="225" t="n"/>
      <c r="AB33" s="225" t="n"/>
      <c r="AC33" s="225" t="n"/>
      <c r="AD33" s="225" t="n"/>
      <c r="AE33" s="225" t="n"/>
      <c r="AF33" s="225" t="n"/>
      <c r="AG33" s="225" t="n"/>
      <c r="AH33" s="225" t="n"/>
      <c r="AI33" s="225" t="n"/>
      <c r="AJ33" s="225" t="n"/>
      <c r="AK33" s="225" t="n"/>
      <c r="AL33" s="225" t="n"/>
      <c r="AM33" s="225" t="n"/>
      <c r="AN33" s="225" t="n"/>
      <c r="AO33" s="225" t="n"/>
      <c r="AP33" s="225" t="n"/>
      <c r="AQ33" s="225" t="n"/>
      <c r="AR33" s="225" t="n"/>
      <c r="AS33" s="225" t="n"/>
      <c r="AT33" s="225" t="n"/>
      <c r="AU33" s="225" t="n"/>
      <c r="AV33" s="225" t="n"/>
      <c r="AW33" s="225" t="n"/>
      <c r="AX33" s="225" t="n"/>
      <c r="AY33" s="225" t="n"/>
      <c r="AZ33" s="225" t="n"/>
      <c r="BA33" s="225" t="n"/>
      <c r="BB33" s="225" t="n"/>
      <c r="BC33" s="225" t="n"/>
      <c r="BD33" s="225" t="n"/>
      <c r="BE33" s="225" t="n"/>
      <c r="BF33" s="225" t="n"/>
      <c r="BG33" s="225" t="n"/>
      <c r="BH33" s="225" t="n"/>
      <c r="BI33" s="225" t="n"/>
      <c r="BJ33" s="225" t="n"/>
      <c r="BK33" s="225" t="n"/>
      <c r="BL33" s="225" t="n"/>
      <c r="BM33" s="225" t="n"/>
      <c r="BN33" s="225" t="n"/>
      <c r="BO33" s="225" t="n"/>
      <c r="BP33" s="225" t="n"/>
      <c r="BQ33" s="225" t="n"/>
      <c r="BR33" s="225" t="n"/>
      <c r="BS33" s="225" t="n"/>
      <c r="BT33" s="225" t="n"/>
      <c r="BU33" s="225" t="n"/>
      <c r="BV33" s="225" t="n"/>
      <c r="BW33" s="225" t="n"/>
      <c r="BX33" s="225" t="n"/>
      <c r="BY33" s="225" t="n"/>
      <c r="BZ33" s="225" t="n"/>
      <c r="CA33" s="225" t="n"/>
      <c r="CB33" s="225" t="n"/>
      <c r="CC33" s="225" t="n"/>
      <c r="CD33" s="225" t="n"/>
      <c r="CE33" s="225" t="n"/>
      <c r="CF33" s="225" t="n"/>
      <c r="CG33" s="225" t="n"/>
      <c r="CH33" s="225" t="n"/>
      <c r="CI33" s="225" t="n"/>
      <c r="CJ33" s="225" t="n"/>
      <c r="CK33" s="225" t="n"/>
      <c r="CL33" s="225" t="n"/>
      <c r="CM33" s="225" t="n"/>
      <c r="CN33" s="225" t="n"/>
      <c r="CO33" s="225" t="n"/>
      <c r="CP33" s="225" t="n"/>
      <c r="CQ33" s="225" t="n"/>
      <c r="CR33" s="225" t="n"/>
      <c r="CS33" s="225" t="n"/>
      <c r="CT33" s="225" t="n"/>
      <c r="CU33" s="225" t="n"/>
      <c r="CV33" s="225" t="n"/>
      <c r="CW33" s="225" t="n"/>
      <c r="CX33" s="225" t="n"/>
      <c r="CY33" s="225" t="n"/>
      <c r="CZ33" s="225" t="n"/>
      <c r="DA33" s="225" t="n"/>
      <c r="DB33" s="225" t="n"/>
      <c r="DC33" s="225" t="n"/>
      <c r="DD33" s="225" t="n"/>
      <c r="DE33" s="225" t="n"/>
      <c r="DF33" s="225" t="n"/>
      <c r="DG33" s="225" t="n"/>
      <c r="DH33" s="225" t="n"/>
      <c r="DI33" s="225" t="n"/>
      <c r="DJ33" s="225" t="n"/>
      <c r="DK33" s="225" t="n"/>
      <c r="DL33" s="225" t="n"/>
      <c r="DM33" s="225" t="n"/>
      <c r="DN33" s="225" t="n"/>
      <c r="DO33" s="225" t="n"/>
      <c r="DP33" s="225" t="n"/>
      <c r="DQ33" s="225" t="n"/>
      <c r="DR33" s="225" t="n"/>
      <c r="DS33" s="225" t="n"/>
      <c r="DT33" s="225" t="n"/>
      <c r="DU33" s="225" t="n"/>
      <c r="DV33" s="225" t="n"/>
      <c r="DW33" s="225" t="n"/>
      <c r="DX33" s="225" t="n"/>
      <c r="DY33" s="225" t="n"/>
      <c r="DZ33" s="225" t="n"/>
      <c r="EA33" s="225" t="n"/>
      <c r="EB33" s="225" t="n"/>
      <c r="EC33" s="225" t="n"/>
      <c r="ED33" s="225" t="n"/>
      <c r="EE33" s="225" t="n"/>
      <c r="EF33" s="225" t="n"/>
      <c r="EG33" s="225" t="n"/>
      <c r="EH33" s="225" t="n"/>
      <c r="EI33" s="225" t="n"/>
      <c r="EJ33" s="225" t="n"/>
      <c r="EK33" s="225" t="n"/>
      <c r="EL33" s="225" t="n"/>
      <c r="EM33" s="225" t="n"/>
      <c r="EN33" s="225" t="n"/>
      <c r="EO33" s="225" t="n"/>
      <c r="EP33" s="225" t="n"/>
      <c r="EQ33" s="225" t="n"/>
      <c r="ER33" s="225" t="n"/>
      <c r="ES33" s="225" t="n"/>
      <c r="ET33" s="225" t="n"/>
      <c r="EU33" s="225" t="n"/>
      <c r="EV33" s="225" t="n"/>
      <c r="EW33" s="225" t="n"/>
      <c r="EX33" s="225" t="n"/>
      <c r="EY33" s="225" t="n"/>
      <c r="EZ33" s="225" t="n"/>
      <c r="FA33" s="225" t="n"/>
      <c r="FB33" s="225" t="n"/>
      <c r="FC33" s="225" t="n"/>
      <c r="FD33" s="225" t="n"/>
      <c r="FE33" s="225" t="n"/>
      <c r="FF33" s="225" t="n"/>
      <c r="FG33" s="225" t="n"/>
      <c r="FH33" s="225" t="n"/>
      <c r="FI33" s="225" t="n"/>
      <c r="FJ33" s="225" t="n"/>
      <c r="FK33" s="225" t="n"/>
      <c r="FL33" s="225" t="n"/>
      <c r="FM33" s="225" t="n"/>
      <c r="FN33" s="225" t="n"/>
      <c r="FO33" s="225" t="n"/>
      <c r="FP33" s="225" t="n"/>
      <c r="FQ33" s="225" t="n"/>
      <c r="FR33" s="225" t="n"/>
      <c r="FS33" s="225" t="n"/>
      <c r="FT33" s="225" t="n"/>
      <c r="FU33" s="225" t="n"/>
      <c r="FV33" s="225" t="n"/>
      <c r="FW33" s="225" t="n"/>
      <c r="FX33" s="225" t="n"/>
      <c r="FY33" s="225" t="n"/>
      <c r="FZ33" s="225" t="n"/>
      <c r="GA33" s="225" t="n"/>
      <c r="GB33" s="225" t="n"/>
      <c r="GC33" s="225" t="n"/>
      <c r="GD33" s="225" t="n"/>
      <c r="GE33" s="225" t="n"/>
      <c r="GF33" s="225" t="n"/>
      <c r="GG33" s="225" t="n"/>
      <c r="GH33" s="225" t="n"/>
      <c r="GI33" s="225" t="n"/>
      <c r="GJ33" s="225" t="n"/>
      <c r="GK33" s="225" t="n"/>
      <c r="GL33" s="225" t="n"/>
      <c r="GM33" s="225" t="n"/>
      <c r="GN33" s="225" t="n"/>
      <c r="GO33" s="225" t="n"/>
      <c r="GP33" s="225" t="n"/>
      <c r="GQ33" s="225" t="n"/>
      <c r="GR33" s="225" t="n"/>
      <c r="GS33" s="225" t="n"/>
      <c r="GT33" s="225" t="n"/>
      <c r="GU33" s="225" t="n"/>
      <c r="GV33" s="225" t="n"/>
      <c r="GW33" s="225" t="n"/>
      <c r="GX33" s="225" t="n"/>
      <c r="GY33" s="225" t="n"/>
      <c r="GZ33" s="225" t="n"/>
      <c r="HA33" s="225" t="n"/>
      <c r="HB33" s="225" t="n"/>
      <c r="HC33" s="225" t="n"/>
      <c r="HD33" s="225" t="n"/>
      <c r="HE33" s="225" t="n"/>
      <c r="HF33" s="225" t="n"/>
      <c r="HG33" s="225" t="n"/>
      <c r="HH33" s="225" t="n"/>
      <c r="HI33" s="225" t="n"/>
      <c r="HJ33" s="225" t="n"/>
      <c r="HK33" s="225" t="n"/>
      <c r="HL33" s="225" t="n"/>
      <c r="HM33" s="225" t="n"/>
      <c r="HN33" s="225" t="n"/>
      <c r="HO33" s="225" t="n"/>
      <c r="HP33" s="225" t="n"/>
      <c r="HQ33" s="225" t="n"/>
      <c r="HR33" s="225" t="n"/>
      <c r="HS33" s="225" t="n"/>
      <c r="HT33" s="225" t="n"/>
      <c r="HU33" s="225" t="n"/>
      <c r="HV33" s="225" t="n"/>
      <c r="HW33" s="225" t="n"/>
      <c r="HX33" s="225" t="n"/>
      <c r="HY33" s="225" t="n"/>
      <c r="HZ33" s="225" t="n"/>
      <c r="IA33" s="225" t="n"/>
      <c r="IB33" s="225" t="n"/>
      <c r="IC33" s="225" t="n"/>
      <c r="ID33" s="225" t="n"/>
      <c r="IE33" s="225" t="n"/>
      <c r="IF33" s="225" t="n"/>
      <c r="IG33" s="225" t="n"/>
      <c r="IH33" s="225" t="n"/>
      <c r="II33" s="225" t="n"/>
      <c r="IJ33" s="225" t="n"/>
      <c r="IK33" s="225" t="n"/>
      <c r="IL33" s="225" t="n"/>
      <c r="IM33" s="225" t="n"/>
      <c r="IN33" s="225" t="n"/>
      <c r="IO33" s="225" t="n"/>
      <c r="IP33" s="225" t="n"/>
      <c r="IQ33" s="225" t="n"/>
      <c r="IR33" s="225" t="n"/>
      <c r="IS33" s="225" t="n"/>
      <c r="IT33" s="225" t="n"/>
      <c r="IU33" s="225" t="n"/>
      <c r="IV33" s="225" t="n"/>
      <c r="IW33" s="225" t="n"/>
      <c r="IX33" s="225" t="n"/>
      <c r="IY33" s="225" t="n"/>
      <c r="IZ33" s="225" t="n"/>
      <c r="JA33" s="225" t="n"/>
      <c r="JB33" s="225" t="n"/>
      <c r="JC33" s="225" t="n"/>
      <c r="JD33" s="225" t="n"/>
      <c r="JE33" s="225" t="n"/>
      <c r="JF33" s="225" t="n"/>
      <c r="JG33" s="225" t="n"/>
      <c r="JH33" s="225" t="n"/>
      <c r="JI33" s="225" t="n"/>
      <c r="JJ33" s="225" t="n"/>
      <c r="JK33" s="225" t="n"/>
      <c r="JL33" s="225" t="n"/>
      <c r="JM33" s="225" t="n"/>
      <c r="JN33" s="225" t="n"/>
      <c r="JO33" s="225" t="n"/>
      <c r="JP33" s="225" t="n"/>
      <c r="JQ33" s="225" t="n"/>
      <c r="JR33" s="225" t="n"/>
      <c r="JS33" s="225" t="n"/>
      <c r="JT33" s="225" t="n"/>
      <c r="JU33" s="225" t="n"/>
      <c r="JV33" s="225" t="n"/>
      <c r="JW33" s="225" t="n"/>
      <c r="JX33" s="225" t="n"/>
      <c r="JY33" s="225" t="n"/>
      <c r="JZ33" s="225" t="n"/>
      <c r="KA33" s="225" t="n"/>
      <c r="KB33" s="225" t="n"/>
      <c r="KC33" s="225" t="n"/>
      <c r="KD33" s="225" t="n"/>
      <c r="KE33" s="225" t="n"/>
      <c r="KF33" s="225" t="n"/>
      <c r="KG33" s="225" t="n"/>
      <c r="KH33" s="225" t="n"/>
      <c r="KI33" s="225" t="n"/>
      <c r="KJ33" s="225" t="n"/>
      <c r="KK33" s="225" t="n"/>
      <c r="KL33" s="225" t="n"/>
      <c r="KM33" s="225" t="n"/>
      <c r="KN33" s="225" t="n"/>
      <c r="KO33" s="225" t="n"/>
      <c r="KP33" s="225" t="n"/>
      <c r="KQ33" s="225" t="n"/>
      <c r="KR33" s="225" t="n"/>
      <c r="KS33" s="225" t="n"/>
      <c r="KT33" s="225" t="n"/>
      <c r="KU33" s="225" t="n"/>
      <c r="KV33" s="225" t="n"/>
      <c r="KW33" s="225" t="n"/>
      <c r="KX33" s="225" t="n"/>
      <c r="KY33" s="225" t="n"/>
      <c r="KZ33" s="225" t="n"/>
      <c r="LA33" s="225" t="n"/>
      <c r="LB33" s="225" t="n"/>
      <c r="LC33" s="225" t="n"/>
      <c r="LD33" s="225" t="n"/>
      <c r="LE33" s="225" t="n"/>
      <c r="LF33" s="225" t="n"/>
      <c r="LG33" s="225" t="n"/>
      <c r="LH33" s="225" t="n"/>
      <c r="LI33" s="225" t="n"/>
      <c r="LJ33" s="225" t="n"/>
      <c r="LK33" s="225" t="n"/>
      <c r="LL33" s="225" t="n"/>
      <c r="LM33" s="225" t="n"/>
      <c r="LN33" s="225" t="n"/>
      <c r="LO33" s="225" t="n"/>
      <c r="LP33" s="225" t="n"/>
      <c r="LQ33" s="225" t="n"/>
      <c r="LR33" s="225" t="n"/>
      <c r="LS33" s="225" t="n"/>
      <c r="LT33" s="225" t="n"/>
      <c r="LU33" s="225" t="n"/>
      <c r="LV33" s="225" t="n"/>
      <c r="LW33" s="225" t="n"/>
      <c r="LX33" s="225" t="n"/>
      <c r="LY33" s="225" t="n"/>
      <c r="LZ33" s="225" t="n"/>
      <c r="MA33" s="225" t="n"/>
      <c r="MB33" s="225" t="n"/>
      <c r="MC33" s="225" t="n"/>
      <c r="MD33" s="225" t="n"/>
      <c r="ME33" s="225" t="n"/>
      <c r="MF33" s="225" t="n"/>
      <c r="MG33" s="225" t="n"/>
      <c r="MH33" s="225" t="n"/>
      <c r="MI33" s="225" t="n"/>
      <c r="MJ33" s="225" t="n"/>
      <c r="MK33" s="225" t="n"/>
      <c r="ML33" s="225" t="n"/>
      <c r="MM33" s="225" t="n"/>
      <c r="MN33" s="225" t="n"/>
      <c r="MO33" s="225" t="n"/>
      <c r="MP33" s="225" t="n"/>
      <c r="MQ33" s="225" t="n"/>
      <c r="MR33" s="225" t="n"/>
      <c r="MS33" s="225" t="n"/>
      <c r="MT33" s="225" t="n"/>
      <c r="MU33" s="225" t="n"/>
      <c r="MV33" s="225" t="n"/>
      <c r="MW33" s="225" t="n"/>
      <c r="MX33" s="225" t="n"/>
      <c r="MY33" s="225" t="n"/>
      <c r="MZ33" s="225" t="n"/>
      <c r="NA33" s="225" t="n"/>
      <c r="NB33" s="225" t="n"/>
      <c r="NC33" s="225" t="n"/>
    </row>
    <row r="34" ht="30" customHeight="1" s="166">
      <c r="A34" s="220" t="inlineStr">
        <is>
          <t>GAS / LPG — METER READINGS</t>
        </is>
      </c>
    </row>
    <row r="35" ht="14.25" customHeight="1" s="166">
      <c r="A35" s="221" t="inlineStr">
        <is>
          <t>Daily meter readings by area | Enter cumulative opening/closing meter readings only</t>
        </is>
      </c>
      <c r="B35" s="222" t="n"/>
      <c r="C35" s="222" t="n"/>
      <c r="D35" s="222" t="n"/>
      <c r="E35" s="222" t="n"/>
      <c r="F35" s="222" t="n"/>
      <c r="G35" s="222" t="n"/>
      <c r="H35" s="222" t="n"/>
      <c r="I35" s="222" t="n"/>
      <c r="J35" s="222" t="n"/>
      <c r="K35" s="222" t="n"/>
      <c r="L35" s="222" t="n"/>
    </row>
    <row r="36" ht="55.5" customHeight="1" s="166">
      <c r="A36" s="211" t="inlineStr">
        <is>
          <t>Meter / Area</t>
        </is>
      </c>
      <c r="B36" s="212" t="n">
        <v>46296</v>
      </c>
      <c r="C36" s="212" t="n">
        <v>46297</v>
      </c>
      <c r="D36" s="212" t="n">
        <v>46298</v>
      </c>
      <c r="E36" s="212" t="n">
        <v>46299</v>
      </c>
      <c r="F36" s="212" t="n">
        <v>46300</v>
      </c>
      <c r="G36" s="212" t="n">
        <v>46301</v>
      </c>
      <c r="H36" s="212" t="n">
        <v>46302</v>
      </c>
      <c r="I36" s="212" t="n">
        <v>46303</v>
      </c>
      <c r="J36" s="212" t="n">
        <v>46304</v>
      </c>
      <c r="K36" s="212" t="n">
        <v>46305</v>
      </c>
      <c r="L36" s="212" t="n">
        <v>46306</v>
      </c>
      <c r="M36" s="212" t="n">
        <v>46307</v>
      </c>
      <c r="N36" s="212" t="n">
        <v>46308</v>
      </c>
      <c r="O36" s="212" t="n">
        <v>46309</v>
      </c>
      <c r="P36" s="212" t="n">
        <v>46310</v>
      </c>
      <c r="Q36" s="212" t="n">
        <v>46311</v>
      </c>
      <c r="R36" s="212" t="n">
        <v>46312</v>
      </c>
      <c r="S36" s="212" t="n">
        <v>46313</v>
      </c>
      <c r="T36" s="212" t="n">
        <v>46314</v>
      </c>
      <c r="U36" s="212" t="n">
        <v>46315</v>
      </c>
      <c r="V36" s="212" t="n">
        <v>46316</v>
      </c>
      <c r="W36" s="212" t="n">
        <v>46317</v>
      </c>
      <c r="X36" s="212" t="n">
        <v>46318</v>
      </c>
      <c r="Y36" s="212" t="n">
        <v>46319</v>
      </c>
      <c r="Z36" s="212" t="n">
        <v>46320</v>
      </c>
      <c r="AA36" s="212" t="n">
        <v>46321</v>
      </c>
      <c r="AB36" s="212" t="n">
        <v>46322</v>
      </c>
      <c r="AC36" s="212" t="n">
        <v>46323</v>
      </c>
      <c r="AD36" s="212" t="n">
        <v>46324</v>
      </c>
      <c r="AE36" s="212" t="n">
        <v>46325</v>
      </c>
      <c r="AF36" s="212" t="n">
        <v>46326</v>
      </c>
      <c r="AG36" s="212" t="n">
        <v>46327</v>
      </c>
      <c r="AH36" s="212" t="n">
        <v>46328</v>
      </c>
      <c r="AI36" s="212" t="n">
        <v>46329</v>
      </c>
      <c r="AJ36" s="212" t="n">
        <v>46330</v>
      </c>
      <c r="AK36" s="212" t="n">
        <v>46331</v>
      </c>
      <c r="AL36" s="212" t="n">
        <v>46332</v>
      </c>
      <c r="AM36" s="212" t="n">
        <v>46333</v>
      </c>
      <c r="AN36" s="212" t="n">
        <v>46334</v>
      </c>
      <c r="AO36" s="212" t="n">
        <v>46335</v>
      </c>
      <c r="AP36" s="212" t="n">
        <v>46336</v>
      </c>
      <c r="AQ36" s="212" t="n">
        <v>46337</v>
      </c>
      <c r="AR36" s="212" t="n">
        <v>46338</v>
      </c>
      <c r="AS36" s="212" t="n">
        <v>46339</v>
      </c>
      <c r="AT36" s="212" t="n">
        <v>46340</v>
      </c>
      <c r="AU36" s="212" t="n">
        <v>46341</v>
      </c>
      <c r="AV36" s="212" t="n">
        <v>46342</v>
      </c>
      <c r="AW36" s="212" t="n">
        <v>46343</v>
      </c>
      <c r="AX36" s="212" t="n">
        <v>46344</v>
      </c>
      <c r="AY36" s="212" t="n">
        <v>46345</v>
      </c>
      <c r="AZ36" s="212" t="n">
        <v>46346</v>
      </c>
      <c r="BA36" s="212" t="n">
        <v>46347</v>
      </c>
      <c r="BB36" s="212" t="n">
        <v>46348</v>
      </c>
      <c r="BC36" s="212" t="n">
        <v>46349</v>
      </c>
      <c r="BD36" s="212" t="n">
        <v>46350</v>
      </c>
      <c r="BE36" s="212" t="n">
        <v>46351</v>
      </c>
      <c r="BF36" s="212" t="n">
        <v>46352</v>
      </c>
      <c r="BG36" s="212" t="n">
        <v>46353</v>
      </c>
      <c r="BH36" s="212" t="n">
        <v>46354</v>
      </c>
      <c r="BI36" s="212" t="n">
        <v>46355</v>
      </c>
      <c r="BJ36" s="212" t="n">
        <v>46356</v>
      </c>
      <c r="BK36" s="212" t="n">
        <v>46357</v>
      </c>
      <c r="BL36" s="212" t="n">
        <v>46358</v>
      </c>
      <c r="BM36" s="212" t="n">
        <v>46359</v>
      </c>
      <c r="BN36" s="212" t="n">
        <v>46360</v>
      </c>
      <c r="BO36" s="212" t="n">
        <v>46361</v>
      </c>
      <c r="BP36" s="212" t="n">
        <v>46362</v>
      </c>
      <c r="BQ36" s="212" t="n">
        <v>46363</v>
      </c>
      <c r="BR36" s="212" t="n">
        <v>46364</v>
      </c>
      <c r="BS36" s="212" t="n">
        <v>46365</v>
      </c>
      <c r="BT36" s="212" t="n">
        <v>46366</v>
      </c>
      <c r="BU36" s="212" t="n">
        <v>46367</v>
      </c>
      <c r="BV36" s="212" t="n">
        <v>46368</v>
      </c>
      <c r="BW36" s="212" t="n">
        <v>46369</v>
      </c>
      <c r="BX36" s="212" t="n">
        <v>46370</v>
      </c>
      <c r="BY36" s="212" t="n">
        <v>46371</v>
      </c>
      <c r="BZ36" s="212" t="n">
        <v>46372</v>
      </c>
      <c r="CA36" s="212" t="n">
        <v>46373</v>
      </c>
      <c r="CB36" s="212" t="n">
        <v>46374</v>
      </c>
      <c r="CC36" s="212" t="n">
        <v>46375</v>
      </c>
      <c r="CD36" s="212" t="n">
        <v>46376</v>
      </c>
      <c r="CE36" s="212" t="n">
        <v>46377</v>
      </c>
      <c r="CF36" s="212" t="n">
        <v>46378</v>
      </c>
      <c r="CG36" s="212" t="n">
        <v>46379</v>
      </c>
      <c r="CH36" s="212" t="n">
        <v>46380</v>
      </c>
      <c r="CI36" s="212" t="n">
        <v>46381</v>
      </c>
      <c r="CJ36" s="212" t="n">
        <v>46382</v>
      </c>
      <c r="CK36" s="212" t="n">
        <v>46383</v>
      </c>
      <c r="CL36" s="212" t="n">
        <v>46384</v>
      </c>
      <c r="CM36" s="212" t="n">
        <v>46385</v>
      </c>
      <c r="CN36" s="212" t="n">
        <v>46386</v>
      </c>
      <c r="CO36" s="212" t="n">
        <v>46387</v>
      </c>
      <c r="CP36" s="212" t="n">
        <v>46388</v>
      </c>
      <c r="CQ36" s="212" t="n">
        <v>46389</v>
      </c>
      <c r="CR36" s="212" t="n">
        <v>46390</v>
      </c>
      <c r="CS36" s="212" t="n">
        <v>46391</v>
      </c>
      <c r="CT36" s="212" t="n">
        <v>46392</v>
      </c>
      <c r="CU36" s="212" t="n">
        <v>46393</v>
      </c>
      <c r="CV36" s="212" t="n">
        <v>46394</v>
      </c>
      <c r="CW36" s="212" t="n">
        <v>46395</v>
      </c>
      <c r="CX36" s="212" t="n">
        <v>46396</v>
      </c>
      <c r="CY36" s="212" t="n">
        <v>46397</v>
      </c>
      <c r="CZ36" s="212" t="n">
        <v>46398</v>
      </c>
      <c r="DA36" s="212" t="n">
        <v>46399</v>
      </c>
      <c r="DB36" s="212" t="n">
        <v>46400</v>
      </c>
      <c r="DC36" s="212" t="n">
        <v>46401</v>
      </c>
      <c r="DD36" s="212" t="n">
        <v>46402</v>
      </c>
      <c r="DE36" s="212" t="n">
        <v>46403</v>
      </c>
      <c r="DF36" s="212" t="n">
        <v>46404</v>
      </c>
      <c r="DG36" s="212" t="n">
        <v>46405</v>
      </c>
      <c r="DH36" s="212" t="n">
        <v>46406</v>
      </c>
      <c r="DI36" s="212" t="n">
        <v>46407</v>
      </c>
      <c r="DJ36" s="212" t="n">
        <v>46408</v>
      </c>
      <c r="DK36" s="212" t="n">
        <v>46409</v>
      </c>
      <c r="DL36" s="212" t="n">
        <v>46410</v>
      </c>
      <c r="DM36" s="212" t="n">
        <v>46411</v>
      </c>
      <c r="DN36" s="212" t="n">
        <v>46412</v>
      </c>
      <c r="DO36" s="212" t="n">
        <v>46413</v>
      </c>
      <c r="DP36" s="212" t="n">
        <v>46414</v>
      </c>
      <c r="DQ36" s="212" t="n">
        <v>46415</v>
      </c>
      <c r="DR36" s="212" t="n">
        <v>46416</v>
      </c>
      <c r="DS36" s="212" t="n">
        <v>46417</v>
      </c>
      <c r="DT36" s="212" t="n">
        <v>46418</v>
      </c>
      <c r="DU36" s="212" t="n">
        <v>46419</v>
      </c>
      <c r="DV36" s="212" t="n">
        <v>46420</v>
      </c>
      <c r="DW36" s="212" t="n">
        <v>46421</v>
      </c>
      <c r="DX36" s="212" t="n">
        <v>46422</v>
      </c>
      <c r="DY36" s="212" t="n">
        <v>46423</v>
      </c>
      <c r="DZ36" s="212" t="n">
        <v>46424</v>
      </c>
      <c r="EA36" s="212" t="n">
        <v>46425</v>
      </c>
      <c r="EB36" s="212" t="n">
        <v>46426</v>
      </c>
      <c r="EC36" s="212" t="n">
        <v>46427</v>
      </c>
      <c r="ED36" s="212" t="n">
        <v>46428</v>
      </c>
      <c r="EE36" s="212" t="n">
        <v>46429</v>
      </c>
      <c r="EF36" s="212" t="n">
        <v>46430</v>
      </c>
      <c r="EG36" s="212" t="n">
        <v>46431</v>
      </c>
      <c r="EH36" s="212" t="n">
        <v>46432</v>
      </c>
      <c r="EI36" s="212" t="n">
        <v>46433</v>
      </c>
      <c r="EJ36" s="212" t="n">
        <v>46434</v>
      </c>
      <c r="EK36" s="212" t="n">
        <v>46435</v>
      </c>
      <c r="EL36" s="212" t="n">
        <v>46436</v>
      </c>
      <c r="EM36" s="212" t="n">
        <v>46437</v>
      </c>
      <c r="EN36" s="212" t="n">
        <v>46438</v>
      </c>
      <c r="EO36" s="212" t="n">
        <v>46439</v>
      </c>
      <c r="EP36" s="212" t="n">
        <v>46440</v>
      </c>
      <c r="EQ36" s="212" t="n">
        <v>46441</v>
      </c>
      <c r="ER36" s="212" t="n">
        <v>46442</v>
      </c>
      <c r="ES36" s="212" t="n">
        <v>46443</v>
      </c>
      <c r="ET36" s="212" t="n">
        <v>46444</v>
      </c>
      <c r="EU36" s="212" t="n">
        <v>46445</v>
      </c>
      <c r="EV36" s="212" t="n">
        <v>46446</v>
      </c>
      <c r="EW36" s="212" t="n">
        <v>46447</v>
      </c>
      <c r="EX36" s="212" t="n">
        <v>46448</v>
      </c>
      <c r="EY36" s="212" t="n">
        <v>46449</v>
      </c>
      <c r="EZ36" s="212" t="n">
        <v>46450</v>
      </c>
      <c r="FA36" s="212" t="n">
        <v>46451</v>
      </c>
      <c r="FB36" s="212" t="n">
        <v>46452</v>
      </c>
      <c r="FC36" s="212" t="n">
        <v>46453</v>
      </c>
      <c r="FD36" s="212" t="n">
        <v>46454</v>
      </c>
      <c r="FE36" s="212" t="n">
        <v>46455</v>
      </c>
      <c r="FF36" s="212" t="n">
        <v>46456</v>
      </c>
      <c r="FG36" s="212" t="n">
        <v>46457</v>
      </c>
      <c r="FH36" s="212" t="n">
        <v>46458</v>
      </c>
      <c r="FI36" s="212" t="n">
        <v>46459</v>
      </c>
      <c r="FJ36" s="212" t="n">
        <v>46460</v>
      </c>
      <c r="FK36" s="212" t="n">
        <v>46461</v>
      </c>
      <c r="FL36" s="212" t="n">
        <v>46462</v>
      </c>
      <c r="FM36" s="212" t="n">
        <v>46463</v>
      </c>
      <c r="FN36" s="212" t="n">
        <v>46464</v>
      </c>
      <c r="FO36" s="212" t="n">
        <v>46465</v>
      </c>
      <c r="FP36" s="212" t="n">
        <v>46466</v>
      </c>
      <c r="FQ36" s="212" t="n">
        <v>46467</v>
      </c>
      <c r="FR36" s="212" t="n">
        <v>46468</v>
      </c>
      <c r="FS36" s="212" t="n">
        <v>46469</v>
      </c>
      <c r="FT36" s="212" t="n">
        <v>46470</v>
      </c>
      <c r="FU36" s="212" t="n">
        <v>46471</v>
      </c>
      <c r="FV36" s="212" t="n">
        <v>46472</v>
      </c>
      <c r="FW36" s="212" t="n">
        <v>46473</v>
      </c>
      <c r="FX36" s="212" t="n">
        <v>46474</v>
      </c>
      <c r="FY36" s="212" t="n">
        <v>46475</v>
      </c>
      <c r="FZ36" s="212" t="n">
        <v>46476</v>
      </c>
      <c r="GA36" s="212" t="n">
        <v>46477</v>
      </c>
      <c r="GB36" s="212" t="n">
        <v>46478</v>
      </c>
      <c r="GC36" s="212" t="n">
        <v>46479</v>
      </c>
      <c r="GD36" s="212" t="n">
        <v>46480</v>
      </c>
      <c r="GE36" s="212" t="n">
        <v>46481</v>
      </c>
      <c r="GF36" s="212" t="n">
        <v>46482</v>
      </c>
      <c r="GG36" s="212" t="n">
        <v>46483</v>
      </c>
      <c r="GH36" s="212" t="n">
        <v>46484</v>
      </c>
      <c r="GI36" s="212" t="n">
        <v>46485</v>
      </c>
      <c r="GJ36" s="212" t="n">
        <v>46486</v>
      </c>
      <c r="GK36" s="212" t="n">
        <v>46487</v>
      </c>
      <c r="GL36" s="212" t="n">
        <v>46488</v>
      </c>
      <c r="GM36" s="212" t="n">
        <v>46489</v>
      </c>
      <c r="GN36" s="212" t="n">
        <v>46490</v>
      </c>
      <c r="GO36" s="212" t="n">
        <v>46491</v>
      </c>
      <c r="GP36" s="212" t="n">
        <v>46492</v>
      </c>
      <c r="GQ36" s="212" t="n">
        <v>46493</v>
      </c>
      <c r="GR36" s="212" t="n">
        <v>46494</v>
      </c>
      <c r="GS36" s="212" t="n">
        <v>46495</v>
      </c>
      <c r="GT36" s="212" t="n">
        <v>46496</v>
      </c>
      <c r="GU36" s="212" t="n">
        <v>46497</v>
      </c>
      <c r="GV36" s="212" t="n">
        <v>46498</v>
      </c>
      <c r="GW36" s="212" t="n">
        <v>46499</v>
      </c>
      <c r="GX36" s="212" t="n">
        <v>46500</v>
      </c>
      <c r="GY36" s="212" t="n">
        <v>46501</v>
      </c>
      <c r="GZ36" s="212" t="n">
        <v>46502</v>
      </c>
      <c r="HA36" s="212" t="n">
        <v>46503</v>
      </c>
      <c r="HB36" s="212" t="n">
        <v>46504</v>
      </c>
      <c r="HC36" s="212" t="n">
        <v>46505</v>
      </c>
      <c r="HD36" s="212" t="n">
        <v>46506</v>
      </c>
      <c r="HE36" s="212" t="n">
        <v>46507</v>
      </c>
      <c r="HF36" s="212" t="n">
        <v>46508</v>
      </c>
      <c r="HG36" s="212" t="n">
        <v>46509</v>
      </c>
      <c r="HH36" s="212" t="n">
        <v>46510</v>
      </c>
      <c r="HI36" s="212" t="n">
        <v>46511</v>
      </c>
      <c r="HJ36" s="212" t="n">
        <v>46512</v>
      </c>
      <c r="HK36" s="212" t="n">
        <v>46513</v>
      </c>
      <c r="HL36" s="212" t="n">
        <v>46514</v>
      </c>
      <c r="HM36" s="212" t="n">
        <v>46515</v>
      </c>
      <c r="HN36" s="212" t="n">
        <v>46516</v>
      </c>
      <c r="HO36" s="212" t="n">
        <v>46517</v>
      </c>
      <c r="HP36" s="212" t="n">
        <v>46518</v>
      </c>
      <c r="HQ36" s="212" t="n">
        <v>46519</v>
      </c>
      <c r="HR36" s="212" t="n">
        <v>46520</v>
      </c>
      <c r="HS36" s="212" t="n">
        <v>46521</v>
      </c>
      <c r="HT36" s="212" t="n">
        <v>46522</v>
      </c>
      <c r="HU36" s="212" t="n">
        <v>46523</v>
      </c>
      <c r="HV36" s="212" t="n">
        <v>46524</v>
      </c>
      <c r="HW36" s="212" t="n">
        <v>46525</v>
      </c>
      <c r="HX36" s="212" t="n">
        <v>46526</v>
      </c>
      <c r="HY36" s="212" t="n">
        <v>46527</v>
      </c>
      <c r="HZ36" s="212" t="n">
        <v>46528</v>
      </c>
      <c r="IA36" s="212" t="n">
        <v>46529</v>
      </c>
      <c r="IB36" s="212" t="n">
        <v>46530</v>
      </c>
      <c r="IC36" s="212" t="n">
        <v>46531</v>
      </c>
      <c r="ID36" s="212" t="n">
        <v>46532</v>
      </c>
      <c r="IE36" s="212" t="n">
        <v>46533</v>
      </c>
      <c r="IF36" s="212" t="n">
        <v>46534</v>
      </c>
      <c r="IG36" s="212" t="n">
        <v>46535</v>
      </c>
      <c r="IH36" s="212" t="n">
        <v>46536</v>
      </c>
      <c r="II36" s="212" t="n">
        <v>46537</v>
      </c>
      <c r="IJ36" s="212" t="n">
        <v>46538</v>
      </c>
      <c r="IK36" s="212" t="n">
        <v>46539</v>
      </c>
      <c r="IL36" s="212" t="n">
        <v>46540</v>
      </c>
      <c r="IM36" s="212" t="n">
        <v>46541</v>
      </c>
      <c r="IN36" s="212" t="n">
        <v>46542</v>
      </c>
      <c r="IO36" s="212" t="n">
        <v>46543</v>
      </c>
      <c r="IP36" s="212" t="n">
        <v>46544</v>
      </c>
      <c r="IQ36" s="212" t="n">
        <v>46545</v>
      </c>
      <c r="IR36" s="212" t="n">
        <v>46546</v>
      </c>
      <c r="IS36" s="212" t="n">
        <v>46547</v>
      </c>
      <c r="IT36" s="212" t="n">
        <v>46548</v>
      </c>
      <c r="IU36" s="212" t="n">
        <v>46549</v>
      </c>
      <c r="IV36" s="212" t="n">
        <v>46550</v>
      </c>
      <c r="IW36" s="212" t="n">
        <v>46551</v>
      </c>
      <c r="IX36" s="212" t="n">
        <v>46552</v>
      </c>
      <c r="IY36" s="212" t="n">
        <v>46553</v>
      </c>
      <c r="IZ36" s="212" t="n">
        <v>46554</v>
      </c>
      <c r="JA36" s="212" t="n">
        <v>46555</v>
      </c>
      <c r="JB36" s="212" t="n">
        <v>46556</v>
      </c>
      <c r="JC36" s="212" t="n">
        <v>46557</v>
      </c>
      <c r="JD36" s="212" t="n">
        <v>46558</v>
      </c>
      <c r="JE36" s="212" t="n">
        <v>46559</v>
      </c>
      <c r="JF36" s="212" t="n">
        <v>46560</v>
      </c>
      <c r="JG36" s="212" t="n">
        <v>46561</v>
      </c>
      <c r="JH36" s="212" t="n">
        <v>46562</v>
      </c>
      <c r="JI36" s="212" t="n">
        <v>46563</v>
      </c>
      <c r="JJ36" s="212" t="n">
        <v>46564</v>
      </c>
      <c r="JK36" s="212" t="n">
        <v>46565</v>
      </c>
      <c r="JL36" s="212" t="n">
        <v>46566</v>
      </c>
      <c r="JM36" s="212" t="n">
        <v>46567</v>
      </c>
      <c r="JN36" s="212" t="n">
        <v>46568</v>
      </c>
      <c r="JO36" s="212" t="n">
        <v>46569</v>
      </c>
      <c r="JP36" s="212" t="n">
        <v>46570</v>
      </c>
      <c r="JQ36" s="212" t="n">
        <v>46571</v>
      </c>
      <c r="JR36" s="212" t="n">
        <v>46572</v>
      </c>
      <c r="JS36" s="212" t="n">
        <v>46573</v>
      </c>
      <c r="JT36" s="212" t="n">
        <v>46574</v>
      </c>
      <c r="JU36" s="212" t="n">
        <v>46575</v>
      </c>
      <c r="JV36" s="212" t="n">
        <v>46576</v>
      </c>
      <c r="JW36" s="212" t="n">
        <v>46577</v>
      </c>
      <c r="JX36" s="212" t="n">
        <v>46578</v>
      </c>
      <c r="JY36" s="212" t="n">
        <v>46579</v>
      </c>
      <c r="JZ36" s="212" t="n">
        <v>46580</v>
      </c>
      <c r="KA36" s="212" t="n">
        <v>46581</v>
      </c>
      <c r="KB36" s="212" t="n">
        <v>46582</v>
      </c>
      <c r="KC36" s="212" t="n">
        <v>46583</v>
      </c>
      <c r="KD36" s="212" t="n">
        <v>46584</v>
      </c>
      <c r="KE36" s="212" t="n">
        <v>46585</v>
      </c>
      <c r="KF36" s="212" t="n">
        <v>46586</v>
      </c>
      <c r="KG36" s="212" t="n">
        <v>46587</v>
      </c>
      <c r="KH36" s="212" t="n">
        <v>46588</v>
      </c>
      <c r="KI36" s="212" t="n">
        <v>46589</v>
      </c>
      <c r="KJ36" s="212" t="n">
        <v>46590</v>
      </c>
      <c r="KK36" s="212" t="n">
        <v>46591</v>
      </c>
      <c r="KL36" s="212" t="n">
        <v>46592</v>
      </c>
      <c r="KM36" s="212" t="n">
        <v>46593</v>
      </c>
      <c r="KN36" s="212" t="n">
        <v>46594</v>
      </c>
      <c r="KO36" s="212" t="n">
        <v>46595</v>
      </c>
      <c r="KP36" s="212" t="n">
        <v>46596</v>
      </c>
      <c r="KQ36" s="212" t="n">
        <v>46597</v>
      </c>
      <c r="KR36" s="212" t="n">
        <v>46598</v>
      </c>
      <c r="KS36" s="212" t="n">
        <v>46599</v>
      </c>
      <c r="KT36" s="212" t="n">
        <v>46600</v>
      </c>
      <c r="KU36" s="212" t="n">
        <v>46601</v>
      </c>
      <c r="KV36" s="212" t="n">
        <v>46602</v>
      </c>
      <c r="KW36" s="212" t="n">
        <v>46603</v>
      </c>
      <c r="KX36" s="212" t="n">
        <v>46604</v>
      </c>
      <c r="KY36" s="212" t="n">
        <v>46605</v>
      </c>
      <c r="KZ36" s="212" t="n">
        <v>46606</v>
      </c>
      <c r="LA36" s="212" t="n">
        <v>46607</v>
      </c>
      <c r="LB36" s="212" t="n">
        <v>46608</v>
      </c>
      <c r="LC36" s="212" t="n">
        <v>46609</v>
      </c>
      <c r="LD36" s="212" t="n">
        <v>46610</v>
      </c>
      <c r="LE36" s="212" t="n">
        <v>46611</v>
      </c>
      <c r="LF36" s="212" t="n">
        <v>46612</v>
      </c>
      <c r="LG36" s="212" t="n">
        <v>46613</v>
      </c>
      <c r="LH36" s="212" t="n">
        <v>46614</v>
      </c>
      <c r="LI36" s="212" t="n">
        <v>46615</v>
      </c>
      <c r="LJ36" s="212" t="n">
        <v>46616</v>
      </c>
      <c r="LK36" s="212" t="n">
        <v>46617</v>
      </c>
      <c r="LL36" s="212" t="n">
        <v>46618</v>
      </c>
      <c r="LM36" s="212" t="n">
        <v>46619</v>
      </c>
      <c r="LN36" s="212" t="n">
        <v>46620</v>
      </c>
      <c r="LO36" s="212" t="n">
        <v>46621</v>
      </c>
      <c r="LP36" s="212" t="n">
        <v>46622</v>
      </c>
      <c r="LQ36" s="212" t="n">
        <v>46623</v>
      </c>
      <c r="LR36" s="212" t="n">
        <v>46624</v>
      </c>
      <c r="LS36" s="212" t="n">
        <v>46625</v>
      </c>
      <c r="LT36" s="212" t="n">
        <v>46626</v>
      </c>
      <c r="LU36" s="212" t="n">
        <v>46627</v>
      </c>
      <c r="LV36" s="212" t="n">
        <v>46628</v>
      </c>
      <c r="LW36" s="212" t="n">
        <v>46629</v>
      </c>
      <c r="LX36" s="212" t="n">
        <v>46630</v>
      </c>
      <c r="LY36" s="212" t="n">
        <v>46631</v>
      </c>
      <c r="LZ36" s="212" t="n">
        <v>46632</v>
      </c>
      <c r="MA36" s="212" t="n">
        <v>46633</v>
      </c>
      <c r="MB36" s="212" t="n">
        <v>46634</v>
      </c>
      <c r="MC36" s="212" t="n">
        <v>46635</v>
      </c>
      <c r="MD36" s="212" t="n">
        <v>46636</v>
      </c>
      <c r="ME36" s="212" t="n">
        <v>46637</v>
      </c>
      <c r="MF36" s="212" t="n">
        <v>46638</v>
      </c>
      <c r="MG36" s="212" t="n">
        <v>46639</v>
      </c>
      <c r="MH36" s="212" t="n">
        <v>46640</v>
      </c>
      <c r="MI36" s="212" t="n">
        <v>46641</v>
      </c>
      <c r="MJ36" s="212" t="n">
        <v>46642</v>
      </c>
      <c r="MK36" s="212" t="n">
        <v>46643</v>
      </c>
      <c r="ML36" s="212" t="n">
        <v>46644</v>
      </c>
      <c r="MM36" s="212" t="n">
        <v>46645</v>
      </c>
      <c r="MN36" s="212" t="n">
        <v>46646</v>
      </c>
      <c r="MO36" s="212" t="n">
        <v>46647</v>
      </c>
      <c r="MP36" s="212" t="n">
        <v>46648</v>
      </c>
      <c r="MQ36" s="212" t="n">
        <v>46649</v>
      </c>
      <c r="MR36" s="212" t="n">
        <v>46650</v>
      </c>
      <c r="MS36" s="212" t="n">
        <v>46651</v>
      </c>
      <c r="MT36" s="212" t="n">
        <v>46652</v>
      </c>
      <c r="MU36" s="212" t="n">
        <v>46653</v>
      </c>
      <c r="MV36" s="212" t="n">
        <v>46654</v>
      </c>
      <c r="MW36" s="212" t="n">
        <v>46655</v>
      </c>
      <c r="MX36" s="212" t="n">
        <v>46656</v>
      </c>
      <c r="MY36" s="212" t="n">
        <v>46657</v>
      </c>
      <c r="MZ36" s="212" t="n">
        <v>46658</v>
      </c>
      <c r="NA36" s="212" t="n">
        <v>46659</v>
      </c>
      <c r="NB36" s="212" t="n">
        <v>46660</v>
      </c>
      <c r="NC36" s="213" t="inlineStr">
        <is>
          <t>Annual Total</t>
        </is>
      </c>
    </row>
    <row r="37" ht="21" customHeight="1" s="166">
      <c r="A37" s="226" t="inlineStr">
        <is>
          <t>LPG Main Gas Meter</t>
        </is>
      </c>
      <c r="B37" s="215" t="n"/>
      <c r="C37" s="215" t="n"/>
      <c r="D37" s="215" t="n"/>
      <c r="E37" s="215" t="n"/>
      <c r="F37" s="215" t="n"/>
      <c r="G37" s="215" t="n"/>
      <c r="H37" s="215" t="n"/>
      <c r="I37" s="215" t="n"/>
      <c r="J37" s="215" t="n"/>
      <c r="K37" s="215" t="n"/>
      <c r="L37" s="215" t="n"/>
      <c r="M37" s="215" t="n"/>
      <c r="N37" s="215" t="n"/>
      <c r="O37" s="215" t="n"/>
      <c r="P37" s="215" t="n"/>
      <c r="Q37" s="215" t="n"/>
      <c r="R37" s="215" t="n"/>
      <c r="S37" s="215" t="n"/>
      <c r="T37" s="215" t="n"/>
      <c r="U37" s="215" t="n"/>
      <c r="V37" s="215" t="n"/>
      <c r="W37" s="215" t="n"/>
      <c r="X37" s="215" t="n"/>
      <c r="Y37" s="215" t="n"/>
      <c r="Z37" s="215" t="n"/>
      <c r="AA37" s="215" t="n"/>
      <c r="AB37" s="215" t="n"/>
      <c r="AC37" s="215" t="n"/>
      <c r="AD37" s="215" t="n"/>
      <c r="AE37" s="215" t="n"/>
      <c r="AF37" s="215" t="n"/>
      <c r="AG37" s="215" t="n"/>
      <c r="AH37" s="215" t="n"/>
      <c r="AI37" s="215" t="n"/>
      <c r="AJ37" s="215" t="n"/>
      <c r="AK37" s="215" t="n"/>
      <c r="AL37" s="215" t="n"/>
      <c r="AM37" s="215" t="n"/>
      <c r="AN37" s="215" t="n"/>
      <c r="AO37" s="215" t="n"/>
      <c r="AP37" s="215" t="n"/>
      <c r="AQ37" s="215" t="n"/>
      <c r="AR37" s="215" t="n"/>
      <c r="AS37" s="215" t="n"/>
      <c r="AT37" s="215" t="n"/>
      <c r="AU37" s="215" t="n"/>
      <c r="AV37" s="215" t="n"/>
      <c r="AW37" s="215" t="n"/>
      <c r="AX37" s="215" t="n"/>
      <c r="AY37" s="215" t="n"/>
      <c r="AZ37" s="215" t="n"/>
      <c r="BA37" s="215" t="n"/>
      <c r="BB37" s="215" t="n"/>
      <c r="BC37" s="215" t="n"/>
      <c r="BD37" s="215" t="n"/>
      <c r="BE37" s="215" t="n"/>
      <c r="BF37" s="215" t="n"/>
      <c r="BG37" s="215" t="n"/>
      <c r="BH37" s="215" t="n"/>
      <c r="BI37" s="215" t="n"/>
      <c r="BJ37" s="215" t="n"/>
      <c r="BK37" s="215" t="n"/>
      <c r="BL37" s="215" t="n"/>
      <c r="BM37" s="215" t="n"/>
      <c r="BN37" s="215" t="n"/>
      <c r="BO37" s="215" t="n"/>
      <c r="BP37" s="215" t="n"/>
      <c r="BQ37" s="215" t="n"/>
      <c r="BR37" s="215" t="n"/>
      <c r="BS37" s="215" t="n"/>
      <c r="BT37" s="215" t="n"/>
      <c r="BU37" s="215" t="n"/>
      <c r="BV37" s="215" t="n"/>
      <c r="BW37" s="215" t="n"/>
      <c r="BX37" s="215" t="n"/>
      <c r="BY37" s="215" t="n"/>
      <c r="BZ37" s="215" t="n"/>
      <c r="CA37" s="215" t="n"/>
      <c r="CB37" s="215" t="n"/>
      <c r="CC37" s="215" t="n"/>
      <c r="CD37" s="215" t="n"/>
      <c r="CE37" s="215" t="n"/>
      <c r="CF37" s="215" t="n"/>
      <c r="CG37" s="215" t="n"/>
      <c r="CH37" s="215" t="n"/>
      <c r="CI37" s="215" t="n"/>
      <c r="CJ37" s="215" t="n"/>
      <c r="CK37" s="215" t="n"/>
      <c r="CL37" s="215" t="n"/>
      <c r="CM37" s="215" t="n"/>
      <c r="CN37" s="215" t="n"/>
      <c r="CO37" s="215" t="n"/>
      <c r="CP37" s="215" t="n"/>
      <c r="CQ37" s="215" t="n"/>
      <c r="CR37" s="215" t="n"/>
      <c r="CS37" s="215" t="n"/>
      <c r="CT37" s="215" t="n"/>
      <c r="CU37" s="215" t="n"/>
      <c r="CV37" s="215" t="n"/>
      <c r="CW37" s="215" t="n"/>
      <c r="CX37" s="215" t="n"/>
      <c r="CY37" s="215" t="n"/>
      <c r="CZ37" s="215" t="n"/>
      <c r="DA37" s="215" t="n"/>
      <c r="DB37" s="215" t="n"/>
      <c r="DC37" s="215" t="n"/>
      <c r="DD37" s="215" t="n"/>
      <c r="DE37" s="215" t="n"/>
      <c r="DF37" s="215" t="n"/>
      <c r="DG37" s="215" t="n"/>
      <c r="DH37" s="215" t="n"/>
      <c r="DI37" s="215" t="n"/>
      <c r="DJ37" s="215" t="n"/>
      <c r="DK37" s="215" t="n"/>
      <c r="DL37" s="215" t="n"/>
      <c r="DM37" s="215" t="n"/>
      <c r="DN37" s="215" t="n"/>
      <c r="DO37" s="215" t="n"/>
      <c r="DP37" s="215" t="n"/>
      <c r="DQ37" s="215" t="n"/>
      <c r="DR37" s="215" t="n"/>
      <c r="DS37" s="215" t="n"/>
      <c r="DT37" s="215" t="n"/>
      <c r="DU37" s="215" t="n"/>
      <c r="DV37" s="215" t="n"/>
      <c r="DW37" s="215" t="n"/>
      <c r="DX37" s="215" t="n"/>
      <c r="DY37" s="215" t="n"/>
      <c r="DZ37" s="215" t="n"/>
      <c r="EA37" s="215" t="n"/>
      <c r="EB37" s="215" t="n"/>
      <c r="EC37" s="215" t="n"/>
      <c r="ED37" s="215" t="n"/>
      <c r="EE37" s="215" t="n"/>
      <c r="EF37" s="215" t="n"/>
      <c r="EG37" s="215" t="n"/>
      <c r="EH37" s="215" t="n"/>
      <c r="EI37" s="215" t="n"/>
      <c r="EJ37" s="215" t="n"/>
      <c r="EK37" s="215" t="n"/>
      <c r="EL37" s="215" t="n"/>
      <c r="EM37" s="215" t="n"/>
      <c r="EN37" s="215" t="n"/>
      <c r="EO37" s="215" t="n"/>
      <c r="EP37" s="215" t="n"/>
      <c r="EQ37" s="215" t="n"/>
      <c r="ER37" s="215" t="n"/>
      <c r="ES37" s="215" t="n"/>
      <c r="ET37" s="215" t="n"/>
      <c r="EU37" s="215" t="n"/>
      <c r="EV37" s="215" t="n"/>
      <c r="EW37" s="215" t="n"/>
      <c r="EX37" s="215" t="n"/>
      <c r="EY37" s="215" t="n"/>
      <c r="EZ37" s="215" t="n"/>
      <c r="FA37" s="215" t="n"/>
      <c r="FB37" s="215" t="n"/>
      <c r="FC37" s="215" t="n"/>
      <c r="FD37" s="215" t="n"/>
      <c r="FE37" s="215" t="n"/>
      <c r="FF37" s="215" t="n"/>
      <c r="FG37" s="215" t="n"/>
      <c r="FH37" s="215" t="n"/>
      <c r="FI37" s="215" t="n"/>
      <c r="FJ37" s="215" t="n"/>
      <c r="FK37" s="215" t="n"/>
      <c r="FL37" s="215" t="n"/>
      <c r="FM37" s="215" t="n"/>
      <c r="FN37" s="215" t="n"/>
      <c r="FO37" s="215" t="n"/>
      <c r="FP37" s="215" t="n"/>
      <c r="FQ37" s="215" t="n"/>
      <c r="FR37" s="215" t="n"/>
      <c r="FS37" s="215" t="n"/>
      <c r="FT37" s="215" t="n"/>
      <c r="FU37" s="215" t="n"/>
      <c r="FV37" s="215" t="n"/>
      <c r="FW37" s="215" t="n"/>
      <c r="FX37" s="215" t="n"/>
      <c r="FY37" s="215" t="n"/>
      <c r="FZ37" s="215" t="n"/>
      <c r="GA37" s="215" t="n"/>
      <c r="GB37" s="215" t="n"/>
      <c r="GC37" s="215" t="n"/>
      <c r="GD37" s="215" t="n"/>
      <c r="GE37" s="215" t="n"/>
      <c r="GF37" s="215" t="n"/>
      <c r="GG37" s="215" t="n"/>
      <c r="GH37" s="215" t="n"/>
      <c r="GI37" s="215" t="n"/>
      <c r="GJ37" s="215" t="n"/>
      <c r="GK37" s="215" t="n"/>
      <c r="GL37" s="215" t="n"/>
      <c r="GM37" s="215" t="n"/>
      <c r="GN37" s="215" t="n"/>
      <c r="GO37" s="215" t="n"/>
      <c r="GP37" s="215" t="n"/>
      <c r="GQ37" s="215" t="n"/>
      <c r="GR37" s="215" t="n"/>
      <c r="GS37" s="215" t="n"/>
      <c r="GT37" s="215" t="n"/>
      <c r="GU37" s="215" t="n"/>
      <c r="GV37" s="215" t="n"/>
      <c r="GW37" s="215" t="n"/>
      <c r="GX37" s="215" t="n"/>
      <c r="GY37" s="215" t="n"/>
      <c r="GZ37" s="215" t="n"/>
      <c r="HA37" s="215" t="n"/>
      <c r="HB37" s="215" t="n"/>
      <c r="HC37" s="215" t="n"/>
      <c r="HD37" s="215" t="n"/>
      <c r="HE37" s="215" t="n"/>
      <c r="HF37" s="215" t="n"/>
      <c r="HG37" s="215" t="n"/>
      <c r="HH37" s="215" t="n"/>
      <c r="HI37" s="215" t="n"/>
      <c r="HJ37" s="215" t="n"/>
      <c r="HK37" s="215" t="n"/>
      <c r="HL37" s="215" t="n"/>
      <c r="HM37" s="215" t="n"/>
      <c r="HN37" s="215" t="n"/>
      <c r="HO37" s="215" t="n"/>
      <c r="HP37" s="215" t="n"/>
      <c r="HQ37" s="215" t="n"/>
      <c r="HR37" s="215" t="n"/>
      <c r="HS37" s="215" t="n"/>
      <c r="HT37" s="215" t="n"/>
      <c r="HU37" s="215" t="n"/>
      <c r="HV37" s="215" t="n"/>
      <c r="HW37" s="215" t="n"/>
      <c r="HX37" s="215" t="n"/>
      <c r="HY37" s="215" t="n"/>
      <c r="HZ37" s="215" t="n"/>
      <c r="IA37" s="215" t="n"/>
      <c r="IB37" s="215" t="n"/>
      <c r="IC37" s="215" t="n"/>
      <c r="ID37" s="215" t="n"/>
      <c r="IE37" s="215" t="n"/>
      <c r="IF37" s="215" t="n"/>
      <c r="IG37" s="215" t="n"/>
      <c r="IH37" s="215" t="n"/>
      <c r="II37" s="215" t="n"/>
      <c r="IJ37" s="215" t="n"/>
      <c r="IK37" s="215" t="n"/>
      <c r="IL37" s="215" t="n"/>
      <c r="IM37" s="215" t="n"/>
      <c r="IN37" s="215" t="n"/>
      <c r="IO37" s="215" t="n"/>
      <c r="IP37" s="215" t="n"/>
      <c r="IQ37" s="215" t="n"/>
      <c r="IR37" s="215" t="n"/>
      <c r="IS37" s="215" t="n"/>
      <c r="IT37" s="215" t="n"/>
      <c r="IU37" s="215" t="n"/>
      <c r="IV37" s="215" t="n"/>
      <c r="IW37" s="215" t="n"/>
      <c r="IX37" s="215" t="n"/>
      <c r="IY37" s="215" t="n"/>
      <c r="IZ37" s="215" t="n"/>
      <c r="JA37" s="215" t="n"/>
      <c r="JB37" s="215" t="n"/>
      <c r="JC37" s="215" t="n"/>
      <c r="JD37" s="215" t="n"/>
      <c r="JE37" s="215" t="n"/>
      <c r="JF37" s="215" t="n"/>
      <c r="JG37" s="215" t="n"/>
      <c r="JH37" s="215" t="n"/>
      <c r="JI37" s="215" t="n"/>
      <c r="JJ37" s="215" t="n"/>
      <c r="JK37" s="215" t="n"/>
      <c r="JL37" s="215" t="n"/>
      <c r="JM37" s="215" t="n"/>
      <c r="JN37" s="215" t="n"/>
      <c r="JO37" s="215" t="n"/>
      <c r="JP37" s="215" t="n"/>
      <c r="JQ37" s="215" t="n"/>
      <c r="JR37" s="215" t="n"/>
      <c r="JS37" s="215" t="n"/>
      <c r="JT37" s="215" t="n"/>
      <c r="JU37" s="215" t="n"/>
      <c r="JV37" s="215" t="n"/>
      <c r="JW37" s="215" t="n"/>
      <c r="JX37" s="215" t="n"/>
      <c r="JY37" s="215" t="n"/>
      <c r="JZ37" s="215" t="n"/>
      <c r="KA37" s="215" t="n"/>
      <c r="KB37" s="215" t="n"/>
      <c r="KC37" s="215" t="n"/>
      <c r="KD37" s="215" t="n"/>
      <c r="KE37" s="215" t="n"/>
      <c r="KF37" s="215" t="n"/>
      <c r="KG37" s="215" t="n"/>
      <c r="KH37" s="215" t="n"/>
      <c r="KI37" s="215" t="n"/>
      <c r="KJ37" s="215" t="n"/>
      <c r="KK37" s="215" t="n"/>
      <c r="KL37" s="215" t="n"/>
      <c r="KM37" s="215" t="n"/>
      <c r="KN37" s="215" t="n"/>
      <c r="KO37" s="215" t="n"/>
      <c r="KP37" s="215" t="n"/>
      <c r="KQ37" s="215" t="n"/>
      <c r="KR37" s="215" t="n"/>
      <c r="KS37" s="215" t="n"/>
      <c r="KT37" s="215" t="n"/>
      <c r="KU37" s="215" t="n"/>
      <c r="KV37" s="215" t="n"/>
      <c r="KW37" s="215" t="n"/>
      <c r="KX37" s="215" t="n"/>
      <c r="KY37" s="215" t="n"/>
      <c r="KZ37" s="215" t="n"/>
      <c r="LA37" s="215" t="n"/>
      <c r="LB37" s="215" t="n"/>
      <c r="LC37" s="215" t="n"/>
      <c r="LD37" s="215" t="n"/>
      <c r="LE37" s="215" t="n"/>
      <c r="LF37" s="215" t="n"/>
      <c r="LG37" s="215" t="n"/>
      <c r="LH37" s="215" t="n"/>
      <c r="LI37" s="215" t="n"/>
      <c r="LJ37" s="215" t="n"/>
      <c r="LK37" s="215" t="n"/>
      <c r="LL37" s="215" t="n"/>
      <c r="LM37" s="215" t="n"/>
      <c r="LN37" s="215" t="n"/>
      <c r="LO37" s="215" t="n"/>
      <c r="LP37" s="215" t="n"/>
      <c r="LQ37" s="215" t="n"/>
      <c r="LR37" s="215" t="n"/>
      <c r="LS37" s="215" t="n"/>
      <c r="LT37" s="215" t="n"/>
      <c r="LU37" s="215" t="n"/>
      <c r="LV37" s="215" t="n"/>
      <c r="LW37" s="215" t="n"/>
      <c r="LX37" s="215" t="n"/>
      <c r="LY37" s="215" t="n"/>
      <c r="LZ37" s="215" t="n"/>
      <c r="MA37" s="215" t="n"/>
      <c r="MB37" s="215" t="n"/>
      <c r="MC37" s="215" t="n"/>
      <c r="MD37" s="215" t="n"/>
      <c r="ME37" s="215" t="n"/>
      <c r="MF37" s="215" t="n"/>
      <c r="MG37" s="215" t="n"/>
      <c r="MH37" s="215" t="n"/>
      <c r="MI37" s="215" t="n"/>
      <c r="MJ37" s="215" t="n"/>
      <c r="MK37" s="215" t="n"/>
      <c r="ML37" s="215" t="n"/>
      <c r="MM37" s="215" t="n"/>
      <c r="MN37" s="215" t="n"/>
      <c r="MO37" s="215" t="n"/>
      <c r="MP37" s="215" t="n"/>
      <c r="MQ37" s="215" t="n"/>
      <c r="MR37" s="215" t="n"/>
      <c r="MS37" s="215" t="n"/>
      <c r="MT37" s="215" t="n"/>
      <c r="MU37" s="215" t="n"/>
      <c r="MV37" s="215" t="n"/>
      <c r="MW37" s="215" t="n"/>
      <c r="MX37" s="215" t="n"/>
      <c r="MY37" s="215" t="n"/>
      <c r="MZ37" s="215" t="n"/>
      <c r="NA37" s="215" t="n"/>
      <c r="NB37" s="215" t="n"/>
      <c r="NC37" s="216">
        <f>SUM(B37:NB37)</f>
        <v/>
      </c>
    </row>
    <row r="38" ht="14.25" customHeight="1" s="166">
      <c r="A38" s="226" t="inlineStr">
        <is>
          <t>Speciality Restaurant 1 - Embers (125KW)</t>
        </is>
      </c>
      <c r="B38" s="215" t="n"/>
      <c r="C38" s="215" t="n"/>
      <c r="D38" s="215" t="n"/>
      <c r="E38" s="215" t="n"/>
      <c r="F38" s="215" t="n"/>
      <c r="G38" s="215" t="n"/>
      <c r="H38" s="215" t="n"/>
      <c r="I38" s="215" t="n"/>
      <c r="J38" s="215" t="n"/>
      <c r="K38" s="215" t="n"/>
      <c r="L38" s="215" t="n"/>
      <c r="M38" s="215" t="n"/>
      <c r="N38" s="215" t="n"/>
      <c r="O38" s="215" t="n"/>
      <c r="P38" s="215" t="n"/>
      <c r="Q38" s="215" t="n"/>
      <c r="R38" s="215" t="n"/>
      <c r="S38" s="215" t="n"/>
      <c r="T38" s="215" t="n"/>
      <c r="U38" s="215" t="n"/>
      <c r="V38" s="215" t="n"/>
      <c r="W38" s="215" t="n"/>
      <c r="X38" s="215" t="n"/>
      <c r="Y38" s="215" t="n"/>
      <c r="Z38" s="215" t="n"/>
      <c r="AA38" s="215" t="n"/>
      <c r="AB38" s="215" t="n"/>
      <c r="AC38" s="215" t="n"/>
      <c r="AD38" s="215" t="n"/>
      <c r="AE38" s="215" t="n"/>
      <c r="AF38" s="215" t="n"/>
      <c r="AG38" s="215" t="n"/>
      <c r="AH38" s="215" t="n"/>
      <c r="AI38" s="215" t="n"/>
      <c r="AJ38" s="215" t="n"/>
      <c r="AK38" s="215" t="n"/>
      <c r="AL38" s="215" t="n"/>
      <c r="AM38" s="215" t="n"/>
      <c r="AN38" s="215" t="n"/>
      <c r="AO38" s="215" t="n"/>
      <c r="AP38" s="215" t="n"/>
      <c r="AQ38" s="215" t="n"/>
      <c r="AR38" s="215" t="n"/>
      <c r="AS38" s="215" t="n"/>
      <c r="AT38" s="215" t="n"/>
      <c r="AU38" s="215" t="n"/>
      <c r="AV38" s="215" t="n"/>
      <c r="AW38" s="215" t="n"/>
      <c r="AX38" s="215" t="n"/>
      <c r="AY38" s="215" t="n"/>
      <c r="AZ38" s="215" t="n"/>
      <c r="BA38" s="215" t="n"/>
      <c r="BB38" s="215" t="n"/>
      <c r="BC38" s="215" t="n"/>
      <c r="BD38" s="215" t="n"/>
      <c r="BE38" s="215" t="n"/>
      <c r="BF38" s="215" t="n"/>
      <c r="BG38" s="215" t="n"/>
      <c r="BH38" s="215" t="n"/>
      <c r="BI38" s="215" t="n"/>
      <c r="BJ38" s="215" t="n"/>
      <c r="BK38" s="215" t="n"/>
      <c r="BL38" s="215" t="n"/>
      <c r="BM38" s="215" t="n"/>
      <c r="BN38" s="215" t="n"/>
      <c r="BO38" s="215" t="n"/>
      <c r="BP38" s="215" t="n"/>
      <c r="BQ38" s="215" t="n"/>
      <c r="BR38" s="215" t="n"/>
      <c r="BS38" s="215" t="n"/>
      <c r="BT38" s="215" t="n"/>
      <c r="BU38" s="215" t="n"/>
      <c r="BV38" s="215" t="n"/>
      <c r="BW38" s="215" t="n"/>
      <c r="BX38" s="215" t="n"/>
      <c r="BY38" s="215" t="n"/>
      <c r="BZ38" s="215" t="n"/>
      <c r="CA38" s="215" t="n"/>
      <c r="CB38" s="215" t="n"/>
      <c r="CC38" s="215" t="n"/>
      <c r="CD38" s="215" t="n"/>
      <c r="CE38" s="215" t="n"/>
      <c r="CF38" s="215" t="n"/>
      <c r="CG38" s="215" t="n"/>
      <c r="CH38" s="215" t="n"/>
      <c r="CI38" s="215" t="n"/>
      <c r="CJ38" s="215" t="n"/>
      <c r="CK38" s="215" t="n"/>
      <c r="CL38" s="215" t="n"/>
      <c r="CM38" s="215" t="n"/>
      <c r="CN38" s="215" t="n"/>
      <c r="CO38" s="215" t="n"/>
      <c r="CP38" s="215" t="n"/>
      <c r="CQ38" s="215" t="n"/>
      <c r="CR38" s="215" t="n"/>
      <c r="CS38" s="215" t="n"/>
      <c r="CT38" s="215" t="n"/>
      <c r="CU38" s="215" t="n"/>
      <c r="CV38" s="215" t="n"/>
      <c r="CW38" s="215" t="n"/>
      <c r="CX38" s="215" t="n"/>
      <c r="CY38" s="215" t="n"/>
      <c r="CZ38" s="215" t="n"/>
      <c r="DA38" s="215" t="n"/>
      <c r="DB38" s="215" t="n"/>
      <c r="DC38" s="215" t="n"/>
      <c r="DD38" s="215" t="n"/>
      <c r="DE38" s="215" t="n"/>
      <c r="DF38" s="215" t="n"/>
      <c r="DG38" s="215" t="n"/>
      <c r="DH38" s="215" t="n"/>
      <c r="DI38" s="215" t="n"/>
      <c r="DJ38" s="215" t="n"/>
      <c r="DK38" s="215" t="n"/>
      <c r="DL38" s="215" t="n"/>
      <c r="DM38" s="215" t="n"/>
      <c r="DN38" s="215" t="n"/>
      <c r="DO38" s="215" t="n"/>
      <c r="DP38" s="215" t="n"/>
      <c r="DQ38" s="215" t="n"/>
      <c r="DR38" s="215" t="n"/>
      <c r="DS38" s="215" t="n"/>
      <c r="DT38" s="215" t="n"/>
      <c r="DU38" s="215" t="n"/>
      <c r="DV38" s="215" t="n"/>
      <c r="DW38" s="215" t="n"/>
      <c r="DX38" s="215" t="n"/>
      <c r="DY38" s="215" t="n"/>
      <c r="DZ38" s="215" t="n"/>
      <c r="EA38" s="215" t="n"/>
      <c r="EB38" s="215" t="n"/>
      <c r="EC38" s="215" t="n"/>
      <c r="ED38" s="215" t="n"/>
      <c r="EE38" s="215" t="n"/>
      <c r="EF38" s="215" t="n"/>
      <c r="EG38" s="215" t="n"/>
      <c r="EH38" s="215" t="n"/>
      <c r="EI38" s="215" t="n"/>
      <c r="EJ38" s="215" t="n"/>
      <c r="EK38" s="215" t="n"/>
      <c r="EL38" s="215" t="n"/>
      <c r="EM38" s="215" t="n"/>
      <c r="EN38" s="215" t="n"/>
      <c r="EO38" s="215" t="n"/>
      <c r="EP38" s="215" t="n"/>
      <c r="EQ38" s="215" t="n"/>
      <c r="ER38" s="215" t="n"/>
      <c r="ES38" s="215" t="n"/>
      <c r="ET38" s="215" t="n"/>
      <c r="EU38" s="215" t="n"/>
      <c r="EV38" s="215" t="n"/>
      <c r="EW38" s="215" t="n"/>
      <c r="EX38" s="215" t="n"/>
      <c r="EY38" s="215" t="n"/>
      <c r="EZ38" s="215" t="n"/>
      <c r="FA38" s="215" t="n"/>
      <c r="FB38" s="215" t="n"/>
      <c r="FC38" s="215" t="n"/>
      <c r="FD38" s="215" t="n"/>
      <c r="FE38" s="215" t="n"/>
      <c r="FF38" s="215" t="n"/>
      <c r="FG38" s="215" t="n"/>
      <c r="FH38" s="215" t="n"/>
      <c r="FI38" s="215" t="n"/>
      <c r="FJ38" s="215" t="n"/>
      <c r="FK38" s="215" t="n"/>
      <c r="FL38" s="215" t="n"/>
      <c r="FM38" s="215" t="n"/>
      <c r="FN38" s="215" t="n"/>
      <c r="FO38" s="215" t="n"/>
      <c r="FP38" s="215" t="n"/>
      <c r="FQ38" s="215" t="n"/>
      <c r="FR38" s="215" t="n"/>
      <c r="FS38" s="215" t="n"/>
      <c r="FT38" s="215" t="n"/>
      <c r="FU38" s="215" t="n"/>
      <c r="FV38" s="215" t="n"/>
      <c r="FW38" s="215" t="n"/>
      <c r="FX38" s="215" t="n"/>
      <c r="FY38" s="215" t="n"/>
      <c r="FZ38" s="215" t="n"/>
      <c r="GA38" s="215" t="n"/>
      <c r="GB38" s="215" t="n"/>
      <c r="GC38" s="215" t="n"/>
      <c r="GD38" s="215" t="n"/>
      <c r="GE38" s="215" t="n"/>
      <c r="GF38" s="215" t="n"/>
      <c r="GG38" s="215" t="n"/>
      <c r="GH38" s="215" t="n"/>
      <c r="GI38" s="215" t="n"/>
      <c r="GJ38" s="215" t="n"/>
      <c r="GK38" s="215" t="n"/>
      <c r="GL38" s="215" t="n"/>
      <c r="GM38" s="215" t="n"/>
      <c r="GN38" s="215" t="n"/>
      <c r="GO38" s="215" t="n"/>
      <c r="GP38" s="215" t="n"/>
      <c r="GQ38" s="215" t="n"/>
      <c r="GR38" s="215" t="n"/>
      <c r="GS38" s="215" t="n"/>
      <c r="GT38" s="215" t="n"/>
      <c r="GU38" s="215" t="n"/>
      <c r="GV38" s="215" t="n"/>
      <c r="GW38" s="215" t="n"/>
      <c r="GX38" s="215" t="n"/>
      <c r="GY38" s="215" t="n"/>
      <c r="GZ38" s="215" t="n"/>
      <c r="HA38" s="215" t="n"/>
      <c r="HB38" s="215" t="n"/>
      <c r="HC38" s="215" t="n"/>
      <c r="HD38" s="215" t="n"/>
      <c r="HE38" s="215" t="n"/>
      <c r="HF38" s="215" t="n"/>
      <c r="HG38" s="215" t="n"/>
      <c r="HH38" s="215" t="n"/>
      <c r="HI38" s="215" t="n"/>
      <c r="HJ38" s="215" t="n"/>
      <c r="HK38" s="215" t="n"/>
      <c r="HL38" s="215" t="n"/>
      <c r="HM38" s="215" t="n"/>
      <c r="HN38" s="215" t="n"/>
      <c r="HO38" s="215" t="n"/>
      <c r="HP38" s="215" t="n"/>
      <c r="HQ38" s="215" t="n"/>
      <c r="HR38" s="215" t="n"/>
      <c r="HS38" s="215" t="n"/>
      <c r="HT38" s="215" t="n"/>
      <c r="HU38" s="215" t="n"/>
      <c r="HV38" s="215" t="n"/>
      <c r="HW38" s="215" t="n"/>
      <c r="HX38" s="215" t="n"/>
      <c r="HY38" s="215" t="n"/>
      <c r="HZ38" s="215" t="n"/>
      <c r="IA38" s="215" t="n"/>
      <c r="IB38" s="215" t="n"/>
      <c r="IC38" s="215" t="n"/>
      <c r="ID38" s="215" t="n"/>
      <c r="IE38" s="215" t="n"/>
      <c r="IF38" s="215" t="n"/>
      <c r="IG38" s="215" t="n"/>
      <c r="IH38" s="215" t="n"/>
      <c r="II38" s="215" t="n"/>
      <c r="IJ38" s="215" t="n"/>
      <c r="IK38" s="215" t="n"/>
      <c r="IL38" s="215" t="n"/>
      <c r="IM38" s="215" t="n"/>
      <c r="IN38" s="215" t="n"/>
      <c r="IO38" s="215" t="n"/>
      <c r="IP38" s="215" t="n"/>
      <c r="IQ38" s="215" t="n"/>
      <c r="IR38" s="215" t="n"/>
      <c r="IS38" s="215" t="n"/>
      <c r="IT38" s="215" t="n"/>
      <c r="IU38" s="215" t="n"/>
      <c r="IV38" s="215" t="n"/>
      <c r="IW38" s="215" t="n"/>
      <c r="IX38" s="215" t="n"/>
      <c r="IY38" s="215" t="n"/>
      <c r="IZ38" s="215" t="n"/>
      <c r="JA38" s="215" t="n"/>
      <c r="JB38" s="215" t="n"/>
      <c r="JC38" s="215" t="n"/>
      <c r="JD38" s="215" t="n"/>
      <c r="JE38" s="215" t="n"/>
      <c r="JF38" s="215" t="n"/>
      <c r="JG38" s="215" t="n"/>
      <c r="JH38" s="215" t="n"/>
      <c r="JI38" s="215" t="n"/>
      <c r="JJ38" s="215" t="n"/>
      <c r="JK38" s="215" t="n"/>
      <c r="JL38" s="215" t="n"/>
      <c r="JM38" s="215" t="n"/>
      <c r="JN38" s="215" t="n"/>
      <c r="JO38" s="215" t="n"/>
      <c r="JP38" s="215" t="n"/>
      <c r="JQ38" s="215" t="n"/>
      <c r="JR38" s="215" t="n"/>
      <c r="JS38" s="215" t="n"/>
      <c r="JT38" s="215" t="n"/>
      <c r="JU38" s="215" t="n"/>
      <c r="JV38" s="215" t="n"/>
      <c r="JW38" s="215" t="n"/>
      <c r="JX38" s="215" t="n"/>
      <c r="JY38" s="215" t="n"/>
      <c r="JZ38" s="215" t="n"/>
      <c r="KA38" s="215" t="n"/>
      <c r="KB38" s="215" t="n"/>
      <c r="KC38" s="215" t="n"/>
      <c r="KD38" s="215" t="n"/>
      <c r="KE38" s="215" t="n"/>
      <c r="KF38" s="215" t="n"/>
      <c r="KG38" s="215" t="n"/>
      <c r="KH38" s="215" t="n"/>
      <c r="KI38" s="215" t="n"/>
      <c r="KJ38" s="215" t="n"/>
      <c r="KK38" s="215" t="n"/>
      <c r="KL38" s="215" t="n"/>
      <c r="KM38" s="215" t="n"/>
      <c r="KN38" s="215" t="n"/>
      <c r="KO38" s="215" t="n"/>
      <c r="KP38" s="215" t="n"/>
      <c r="KQ38" s="215" t="n"/>
      <c r="KR38" s="215" t="n"/>
      <c r="KS38" s="215" t="n"/>
      <c r="KT38" s="215" t="n"/>
      <c r="KU38" s="215" t="n"/>
      <c r="KV38" s="215" t="n"/>
      <c r="KW38" s="215" t="n"/>
      <c r="KX38" s="215" t="n"/>
      <c r="KY38" s="215" t="n"/>
      <c r="KZ38" s="215" t="n"/>
      <c r="LA38" s="215" t="n"/>
      <c r="LB38" s="215" t="n"/>
      <c r="LC38" s="215" t="n"/>
      <c r="LD38" s="215" t="n"/>
      <c r="LE38" s="215" t="n"/>
      <c r="LF38" s="215" t="n"/>
      <c r="LG38" s="215" t="n"/>
      <c r="LH38" s="215" t="n"/>
      <c r="LI38" s="215" t="n"/>
      <c r="LJ38" s="215" t="n"/>
      <c r="LK38" s="215" t="n"/>
      <c r="LL38" s="215" t="n"/>
      <c r="LM38" s="215" t="n"/>
      <c r="LN38" s="215" t="n"/>
      <c r="LO38" s="215" t="n"/>
      <c r="LP38" s="215" t="n"/>
      <c r="LQ38" s="215" t="n"/>
      <c r="LR38" s="215" t="n"/>
      <c r="LS38" s="215" t="n"/>
      <c r="LT38" s="215" t="n"/>
      <c r="LU38" s="215" t="n"/>
      <c r="LV38" s="215" t="n"/>
      <c r="LW38" s="215" t="n"/>
      <c r="LX38" s="215" t="n"/>
      <c r="LY38" s="215" t="n"/>
      <c r="LZ38" s="215" t="n"/>
      <c r="MA38" s="215" t="n"/>
      <c r="MB38" s="215" t="n"/>
      <c r="MC38" s="215" t="n"/>
      <c r="MD38" s="215" t="n"/>
      <c r="ME38" s="215" t="n"/>
      <c r="MF38" s="215" t="n"/>
      <c r="MG38" s="215" t="n"/>
      <c r="MH38" s="215" t="n"/>
      <c r="MI38" s="215" t="n"/>
      <c r="MJ38" s="215" t="n"/>
      <c r="MK38" s="215" t="n"/>
      <c r="ML38" s="215" t="n"/>
      <c r="MM38" s="215" t="n"/>
      <c r="MN38" s="215" t="n"/>
      <c r="MO38" s="215" t="n"/>
      <c r="MP38" s="215" t="n"/>
      <c r="MQ38" s="215" t="n"/>
      <c r="MR38" s="215" t="n"/>
      <c r="MS38" s="215" t="n"/>
      <c r="MT38" s="215" t="n"/>
      <c r="MU38" s="215" t="n"/>
      <c r="MV38" s="215" t="n"/>
      <c r="MW38" s="215" t="n"/>
      <c r="MX38" s="215" t="n"/>
      <c r="MY38" s="215" t="n"/>
      <c r="MZ38" s="215" t="n"/>
      <c r="NA38" s="215" t="n"/>
      <c r="NB38" s="215" t="n"/>
      <c r="NC38" s="216">
        <f>SUM(B38:NB38)</f>
        <v/>
      </c>
    </row>
    <row r="39" ht="14.25" customHeight="1" s="166">
      <c r="A39" s="226" t="inlineStr">
        <is>
          <t>Pool Bar &amp; Grill - Drift (74.5KW)</t>
        </is>
      </c>
      <c r="B39" s="215" t="n"/>
      <c r="C39" s="215" t="n"/>
      <c r="D39" s="215" t="n"/>
      <c r="E39" s="215" t="n"/>
      <c r="F39" s="215" t="n"/>
      <c r="G39" s="215" t="n"/>
      <c r="H39" s="215" t="n"/>
      <c r="I39" s="215" t="n"/>
      <c r="J39" s="215" t="n"/>
      <c r="K39" s="215" t="n"/>
      <c r="L39" s="215" t="n"/>
      <c r="M39" s="215" t="n"/>
      <c r="N39" s="215" t="n"/>
      <c r="O39" s="215" t="n"/>
      <c r="P39" s="215" t="n"/>
      <c r="Q39" s="215" t="n"/>
      <c r="R39" s="215" t="n"/>
      <c r="S39" s="215" t="n"/>
      <c r="T39" s="215" t="n"/>
      <c r="U39" s="215" t="n"/>
      <c r="V39" s="215" t="n"/>
      <c r="W39" s="215" t="n"/>
      <c r="X39" s="215" t="n"/>
      <c r="Y39" s="215" t="n"/>
      <c r="Z39" s="215" t="n"/>
      <c r="AA39" s="215" t="n"/>
      <c r="AB39" s="215" t="n"/>
      <c r="AC39" s="215" t="n"/>
      <c r="AD39" s="215" t="n"/>
      <c r="AE39" s="215" t="n"/>
      <c r="AF39" s="215" t="n"/>
      <c r="AG39" s="215" t="n"/>
      <c r="AH39" s="215" t="n"/>
      <c r="AI39" s="215" t="n"/>
      <c r="AJ39" s="215" t="n"/>
      <c r="AK39" s="215" t="n"/>
      <c r="AL39" s="215" t="n"/>
      <c r="AM39" s="215" t="n"/>
      <c r="AN39" s="215" t="n"/>
      <c r="AO39" s="215" t="n"/>
      <c r="AP39" s="215" t="n"/>
      <c r="AQ39" s="215" t="n"/>
      <c r="AR39" s="215" t="n"/>
      <c r="AS39" s="215" t="n"/>
      <c r="AT39" s="215" t="n"/>
      <c r="AU39" s="215" t="n"/>
      <c r="AV39" s="215" t="n"/>
      <c r="AW39" s="215" t="n"/>
      <c r="AX39" s="215" t="n"/>
      <c r="AY39" s="215" t="n"/>
      <c r="AZ39" s="215" t="n"/>
      <c r="BA39" s="215" t="n"/>
      <c r="BB39" s="215" t="n"/>
      <c r="BC39" s="215" t="n"/>
      <c r="BD39" s="215" t="n"/>
      <c r="BE39" s="215" t="n"/>
      <c r="BF39" s="215" t="n"/>
      <c r="BG39" s="215" t="n"/>
      <c r="BH39" s="215" t="n"/>
      <c r="BI39" s="215" t="n"/>
      <c r="BJ39" s="215" t="n"/>
      <c r="BK39" s="215" t="n"/>
      <c r="BL39" s="215" t="n"/>
      <c r="BM39" s="215" t="n"/>
      <c r="BN39" s="215" t="n"/>
      <c r="BO39" s="215" t="n"/>
      <c r="BP39" s="215" t="n"/>
      <c r="BQ39" s="215" t="n"/>
      <c r="BR39" s="215" t="n"/>
      <c r="BS39" s="215" t="n"/>
      <c r="BT39" s="215" t="n"/>
      <c r="BU39" s="215" t="n"/>
      <c r="BV39" s="215" t="n"/>
      <c r="BW39" s="215" t="n"/>
      <c r="BX39" s="215" t="n"/>
      <c r="BY39" s="215" t="n"/>
      <c r="BZ39" s="215" t="n"/>
      <c r="CA39" s="215" t="n"/>
      <c r="CB39" s="215" t="n"/>
      <c r="CC39" s="215" t="n"/>
      <c r="CD39" s="215" t="n"/>
      <c r="CE39" s="215" t="n"/>
      <c r="CF39" s="215" t="n"/>
      <c r="CG39" s="215" t="n"/>
      <c r="CH39" s="215" t="n"/>
      <c r="CI39" s="215" t="n"/>
      <c r="CJ39" s="215" t="n"/>
      <c r="CK39" s="215" t="n"/>
      <c r="CL39" s="215" t="n"/>
      <c r="CM39" s="215" t="n"/>
      <c r="CN39" s="215" t="n"/>
      <c r="CO39" s="215" t="n"/>
      <c r="CP39" s="215" t="n"/>
      <c r="CQ39" s="215" t="n"/>
      <c r="CR39" s="215" t="n"/>
      <c r="CS39" s="215" t="n"/>
      <c r="CT39" s="215" t="n"/>
      <c r="CU39" s="215" t="n"/>
      <c r="CV39" s="215" t="n"/>
      <c r="CW39" s="215" t="n"/>
      <c r="CX39" s="215" t="n"/>
      <c r="CY39" s="215" t="n"/>
      <c r="CZ39" s="215" t="n"/>
      <c r="DA39" s="215" t="n"/>
      <c r="DB39" s="215" t="n"/>
      <c r="DC39" s="215" t="n"/>
      <c r="DD39" s="215" t="n"/>
      <c r="DE39" s="215" t="n"/>
      <c r="DF39" s="215" t="n"/>
      <c r="DG39" s="215" t="n"/>
      <c r="DH39" s="215" t="n"/>
      <c r="DI39" s="215" t="n"/>
      <c r="DJ39" s="215" t="n"/>
      <c r="DK39" s="215" t="n"/>
      <c r="DL39" s="215" t="n"/>
      <c r="DM39" s="215" t="n"/>
      <c r="DN39" s="215" t="n"/>
      <c r="DO39" s="215" t="n"/>
      <c r="DP39" s="215" t="n"/>
      <c r="DQ39" s="215" t="n"/>
      <c r="DR39" s="215" t="n"/>
      <c r="DS39" s="215" t="n"/>
      <c r="DT39" s="215" t="n"/>
      <c r="DU39" s="215" t="n"/>
      <c r="DV39" s="215" t="n"/>
      <c r="DW39" s="215" t="n"/>
      <c r="DX39" s="215" t="n"/>
      <c r="DY39" s="215" t="n"/>
      <c r="DZ39" s="215" t="n"/>
      <c r="EA39" s="215" t="n"/>
      <c r="EB39" s="215" t="n"/>
      <c r="EC39" s="215" t="n"/>
      <c r="ED39" s="215" t="n"/>
      <c r="EE39" s="215" t="n"/>
      <c r="EF39" s="215" t="n"/>
      <c r="EG39" s="215" t="n"/>
      <c r="EH39" s="215" t="n"/>
      <c r="EI39" s="215" t="n"/>
      <c r="EJ39" s="215" t="n"/>
      <c r="EK39" s="215" t="n"/>
      <c r="EL39" s="215" t="n"/>
      <c r="EM39" s="215" t="n"/>
      <c r="EN39" s="215" t="n"/>
      <c r="EO39" s="215" t="n"/>
      <c r="EP39" s="215" t="n"/>
      <c r="EQ39" s="215" t="n"/>
      <c r="ER39" s="215" t="n"/>
      <c r="ES39" s="215" t="n"/>
      <c r="ET39" s="215" t="n"/>
      <c r="EU39" s="215" t="n"/>
      <c r="EV39" s="215" t="n"/>
      <c r="EW39" s="215" t="n"/>
      <c r="EX39" s="215" t="n"/>
      <c r="EY39" s="215" t="n"/>
      <c r="EZ39" s="215" t="n"/>
      <c r="FA39" s="215" t="n"/>
      <c r="FB39" s="215" t="n"/>
      <c r="FC39" s="215" t="n"/>
      <c r="FD39" s="215" t="n"/>
      <c r="FE39" s="215" t="n"/>
      <c r="FF39" s="215" t="n"/>
      <c r="FG39" s="215" t="n"/>
      <c r="FH39" s="215" t="n"/>
      <c r="FI39" s="215" t="n"/>
      <c r="FJ39" s="215" t="n"/>
      <c r="FK39" s="215" t="n"/>
      <c r="FL39" s="215" t="n"/>
      <c r="FM39" s="215" t="n"/>
      <c r="FN39" s="215" t="n"/>
      <c r="FO39" s="215" t="n"/>
      <c r="FP39" s="215" t="n"/>
      <c r="FQ39" s="215" t="n"/>
      <c r="FR39" s="215" t="n"/>
      <c r="FS39" s="215" t="n"/>
      <c r="FT39" s="215" t="n"/>
      <c r="FU39" s="215" t="n"/>
      <c r="FV39" s="215" t="n"/>
      <c r="FW39" s="215" t="n"/>
      <c r="FX39" s="215" t="n"/>
      <c r="FY39" s="215" t="n"/>
      <c r="FZ39" s="215" t="n"/>
      <c r="GA39" s="215" t="n"/>
      <c r="GB39" s="215" t="n"/>
      <c r="GC39" s="215" t="n"/>
      <c r="GD39" s="215" t="n"/>
      <c r="GE39" s="215" t="n"/>
      <c r="GF39" s="215" t="n"/>
      <c r="GG39" s="215" t="n"/>
      <c r="GH39" s="215" t="n"/>
      <c r="GI39" s="215" t="n"/>
      <c r="GJ39" s="215" t="n"/>
      <c r="GK39" s="215" t="n"/>
      <c r="GL39" s="215" t="n"/>
      <c r="GM39" s="215" t="n"/>
      <c r="GN39" s="215" t="n"/>
      <c r="GO39" s="215" t="n"/>
      <c r="GP39" s="215" t="n"/>
      <c r="GQ39" s="215" t="n"/>
      <c r="GR39" s="215" t="n"/>
      <c r="GS39" s="215" t="n"/>
      <c r="GT39" s="215" t="n"/>
      <c r="GU39" s="215" t="n"/>
      <c r="GV39" s="215" t="n"/>
      <c r="GW39" s="215" t="n"/>
      <c r="GX39" s="215" t="n"/>
      <c r="GY39" s="215" t="n"/>
      <c r="GZ39" s="215" t="n"/>
      <c r="HA39" s="215" t="n"/>
      <c r="HB39" s="215" t="n"/>
      <c r="HC39" s="215" t="n"/>
      <c r="HD39" s="215" t="n"/>
      <c r="HE39" s="215" t="n"/>
      <c r="HF39" s="215" t="n"/>
      <c r="HG39" s="215" t="n"/>
      <c r="HH39" s="215" t="n"/>
      <c r="HI39" s="215" t="n"/>
      <c r="HJ39" s="215" t="n"/>
      <c r="HK39" s="215" t="n"/>
      <c r="HL39" s="215" t="n"/>
      <c r="HM39" s="215" t="n"/>
      <c r="HN39" s="215" t="n"/>
      <c r="HO39" s="215" t="n"/>
      <c r="HP39" s="215" t="n"/>
      <c r="HQ39" s="215" t="n"/>
      <c r="HR39" s="215" t="n"/>
      <c r="HS39" s="215" t="n"/>
      <c r="HT39" s="215" t="n"/>
      <c r="HU39" s="215" t="n"/>
      <c r="HV39" s="215" t="n"/>
      <c r="HW39" s="215" t="n"/>
      <c r="HX39" s="215" t="n"/>
      <c r="HY39" s="215" t="n"/>
      <c r="HZ39" s="215" t="n"/>
      <c r="IA39" s="215" t="n"/>
      <c r="IB39" s="215" t="n"/>
      <c r="IC39" s="215" t="n"/>
      <c r="ID39" s="215" t="n"/>
      <c r="IE39" s="215" t="n"/>
      <c r="IF39" s="215" t="n"/>
      <c r="IG39" s="215" t="n"/>
      <c r="IH39" s="215" t="n"/>
      <c r="II39" s="215" t="n"/>
      <c r="IJ39" s="215" t="n"/>
      <c r="IK39" s="215" t="n"/>
      <c r="IL39" s="215" t="n"/>
      <c r="IM39" s="215" t="n"/>
      <c r="IN39" s="215" t="n"/>
      <c r="IO39" s="215" t="n"/>
      <c r="IP39" s="215" t="n"/>
      <c r="IQ39" s="215" t="n"/>
      <c r="IR39" s="215" t="n"/>
      <c r="IS39" s="215" t="n"/>
      <c r="IT39" s="215" t="n"/>
      <c r="IU39" s="215" t="n"/>
      <c r="IV39" s="215" t="n"/>
      <c r="IW39" s="215" t="n"/>
      <c r="IX39" s="215" t="n"/>
      <c r="IY39" s="215" t="n"/>
      <c r="IZ39" s="215" t="n"/>
      <c r="JA39" s="215" t="n"/>
      <c r="JB39" s="215" t="n"/>
      <c r="JC39" s="215" t="n"/>
      <c r="JD39" s="215" t="n"/>
      <c r="JE39" s="215" t="n"/>
      <c r="JF39" s="215" t="n"/>
      <c r="JG39" s="215" t="n"/>
      <c r="JH39" s="215" t="n"/>
      <c r="JI39" s="215" t="n"/>
      <c r="JJ39" s="215" t="n"/>
      <c r="JK39" s="215" t="n"/>
      <c r="JL39" s="215" t="n"/>
      <c r="JM39" s="215" t="n"/>
      <c r="JN39" s="215" t="n"/>
      <c r="JO39" s="215" t="n"/>
      <c r="JP39" s="215" t="n"/>
      <c r="JQ39" s="215" t="n"/>
      <c r="JR39" s="215" t="n"/>
      <c r="JS39" s="215" t="n"/>
      <c r="JT39" s="215" t="n"/>
      <c r="JU39" s="215" t="n"/>
      <c r="JV39" s="215" t="n"/>
      <c r="JW39" s="215" t="n"/>
      <c r="JX39" s="215" t="n"/>
      <c r="JY39" s="215" t="n"/>
      <c r="JZ39" s="215" t="n"/>
      <c r="KA39" s="215" t="n"/>
      <c r="KB39" s="215" t="n"/>
      <c r="KC39" s="215" t="n"/>
      <c r="KD39" s="215" t="n"/>
      <c r="KE39" s="215" t="n"/>
      <c r="KF39" s="215" t="n"/>
      <c r="KG39" s="215" t="n"/>
      <c r="KH39" s="215" t="n"/>
      <c r="KI39" s="215" t="n"/>
      <c r="KJ39" s="215" t="n"/>
      <c r="KK39" s="215" t="n"/>
      <c r="KL39" s="215" t="n"/>
      <c r="KM39" s="215" t="n"/>
      <c r="KN39" s="215" t="n"/>
      <c r="KO39" s="215" t="n"/>
      <c r="KP39" s="215" t="n"/>
      <c r="KQ39" s="215" t="n"/>
      <c r="KR39" s="215" t="n"/>
      <c r="KS39" s="215" t="n"/>
      <c r="KT39" s="215" t="n"/>
      <c r="KU39" s="215" t="n"/>
      <c r="KV39" s="215" t="n"/>
      <c r="KW39" s="215" t="n"/>
      <c r="KX39" s="215" t="n"/>
      <c r="KY39" s="215" t="n"/>
      <c r="KZ39" s="215" t="n"/>
      <c r="LA39" s="215" t="n"/>
      <c r="LB39" s="215" t="n"/>
      <c r="LC39" s="215" t="n"/>
      <c r="LD39" s="215" t="n"/>
      <c r="LE39" s="215" t="n"/>
      <c r="LF39" s="215" t="n"/>
      <c r="LG39" s="215" t="n"/>
      <c r="LH39" s="215" t="n"/>
      <c r="LI39" s="215" t="n"/>
      <c r="LJ39" s="215" t="n"/>
      <c r="LK39" s="215" t="n"/>
      <c r="LL39" s="215" t="n"/>
      <c r="LM39" s="215" t="n"/>
      <c r="LN39" s="215" t="n"/>
      <c r="LO39" s="215" t="n"/>
      <c r="LP39" s="215" t="n"/>
      <c r="LQ39" s="215" t="n"/>
      <c r="LR39" s="215" t="n"/>
      <c r="LS39" s="215" t="n"/>
      <c r="LT39" s="215" t="n"/>
      <c r="LU39" s="215" t="n"/>
      <c r="LV39" s="215" t="n"/>
      <c r="LW39" s="215" t="n"/>
      <c r="LX39" s="215" t="n"/>
      <c r="LY39" s="215" t="n"/>
      <c r="LZ39" s="215" t="n"/>
      <c r="MA39" s="215" t="n"/>
      <c r="MB39" s="215" t="n"/>
      <c r="MC39" s="215" t="n"/>
      <c r="MD39" s="215" t="n"/>
      <c r="ME39" s="215" t="n"/>
      <c r="MF39" s="215" t="n"/>
      <c r="MG39" s="215" t="n"/>
      <c r="MH39" s="215" t="n"/>
      <c r="MI39" s="215" t="n"/>
      <c r="MJ39" s="215" t="n"/>
      <c r="MK39" s="215" t="n"/>
      <c r="ML39" s="215" t="n"/>
      <c r="MM39" s="215" t="n"/>
      <c r="MN39" s="215" t="n"/>
      <c r="MO39" s="215" t="n"/>
      <c r="MP39" s="215" t="n"/>
      <c r="MQ39" s="215" t="n"/>
      <c r="MR39" s="215" t="n"/>
      <c r="MS39" s="215" t="n"/>
      <c r="MT39" s="215" t="n"/>
      <c r="MU39" s="215" t="n"/>
      <c r="MV39" s="215" t="n"/>
      <c r="MW39" s="215" t="n"/>
      <c r="MX39" s="215" t="n"/>
      <c r="MY39" s="215" t="n"/>
      <c r="MZ39" s="215" t="n"/>
      <c r="NA39" s="215" t="n"/>
      <c r="NB39" s="215" t="n"/>
      <c r="NC39" s="216">
        <f>SUM(B39:NB39)</f>
        <v/>
      </c>
    </row>
    <row r="40" ht="14.25" customHeight="1" s="166">
      <c r="A40" s="226" t="inlineStr">
        <is>
          <t>Main Kitchen (218.4KW)</t>
        </is>
      </c>
      <c r="B40" s="215" t="n"/>
      <c r="C40" s="215" t="n"/>
      <c r="D40" s="215" t="n"/>
      <c r="E40" s="215" t="n"/>
      <c r="F40" s="215" t="n"/>
      <c r="G40" s="215" t="n"/>
      <c r="H40" s="215" t="n"/>
      <c r="I40" s="215" t="n"/>
      <c r="J40" s="215" t="n"/>
      <c r="K40" s="215" t="n"/>
      <c r="L40" s="215" t="n"/>
      <c r="M40" s="215" t="n"/>
      <c r="N40" s="215" t="n"/>
      <c r="O40" s="215" t="n"/>
      <c r="P40" s="215" t="n"/>
      <c r="Q40" s="215" t="n"/>
      <c r="R40" s="215" t="n"/>
      <c r="S40" s="215" t="n"/>
      <c r="T40" s="215" t="n"/>
      <c r="U40" s="215" t="n"/>
      <c r="V40" s="215" t="n"/>
      <c r="W40" s="215" t="n"/>
      <c r="X40" s="215" t="n"/>
      <c r="Y40" s="215" t="n"/>
      <c r="Z40" s="215" t="n"/>
      <c r="AA40" s="215" t="n"/>
      <c r="AB40" s="215" t="n"/>
      <c r="AC40" s="215" t="n"/>
      <c r="AD40" s="215" t="n"/>
      <c r="AE40" s="215" t="n"/>
      <c r="AF40" s="215" t="n"/>
      <c r="AG40" s="215" t="n"/>
      <c r="AH40" s="215" t="n"/>
      <c r="AI40" s="215" t="n"/>
      <c r="AJ40" s="215" t="n"/>
      <c r="AK40" s="215" t="n"/>
      <c r="AL40" s="215" t="n"/>
      <c r="AM40" s="215" t="n"/>
      <c r="AN40" s="215" t="n"/>
      <c r="AO40" s="215" t="n"/>
      <c r="AP40" s="215" t="n"/>
      <c r="AQ40" s="215" t="n"/>
      <c r="AR40" s="215" t="n"/>
      <c r="AS40" s="215" t="n"/>
      <c r="AT40" s="215" t="n"/>
      <c r="AU40" s="215" t="n"/>
      <c r="AV40" s="215" t="n"/>
      <c r="AW40" s="215" t="n"/>
      <c r="AX40" s="215" t="n"/>
      <c r="AY40" s="215" t="n"/>
      <c r="AZ40" s="215" t="n"/>
      <c r="BA40" s="215" t="n"/>
      <c r="BB40" s="215" t="n"/>
      <c r="BC40" s="215" t="n"/>
      <c r="BD40" s="215" t="n"/>
      <c r="BE40" s="215" t="n"/>
      <c r="BF40" s="215" t="n"/>
      <c r="BG40" s="215" t="n"/>
      <c r="BH40" s="215" t="n"/>
      <c r="BI40" s="215" t="n"/>
      <c r="BJ40" s="215" t="n"/>
      <c r="BK40" s="215" t="n"/>
      <c r="BL40" s="215" t="n"/>
      <c r="BM40" s="215" t="n"/>
      <c r="BN40" s="215" t="n"/>
      <c r="BO40" s="215" t="n"/>
      <c r="BP40" s="215" t="n"/>
      <c r="BQ40" s="215" t="n"/>
      <c r="BR40" s="215" t="n"/>
      <c r="BS40" s="215" t="n"/>
      <c r="BT40" s="215" t="n"/>
      <c r="BU40" s="215" t="n"/>
      <c r="BV40" s="215" t="n"/>
      <c r="BW40" s="215" t="n"/>
      <c r="BX40" s="215" t="n"/>
      <c r="BY40" s="215" t="n"/>
      <c r="BZ40" s="215" t="n"/>
      <c r="CA40" s="215" t="n"/>
      <c r="CB40" s="215" t="n"/>
      <c r="CC40" s="215" t="n"/>
      <c r="CD40" s="215" t="n"/>
      <c r="CE40" s="215" t="n"/>
      <c r="CF40" s="215" t="n"/>
      <c r="CG40" s="215" t="n"/>
      <c r="CH40" s="215" t="n"/>
      <c r="CI40" s="215" t="n"/>
      <c r="CJ40" s="215" t="n"/>
      <c r="CK40" s="215" t="n"/>
      <c r="CL40" s="215" t="n"/>
      <c r="CM40" s="215" t="n"/>
      <c r="CN40" s="215" t="n"/>
      <c r="CO40" s="215" t="n"/>
      <c r="CP40" s="215" t="n"/>
      <c r="CQ40" s="215" t="n"/>
      <c r="CR40" s="215" t="n"/>
      <c r="CS40" s="215" t="n"/>
      <c r="CT40" s="215" t="n"/>
      <c r="CU40" s="215" t="n"/>
      <c r="CV40" s="215" t="n"/>
      <c r="CW40" s="215" t="n"/>
      <c r="CX40" s="215" t="n"/>
      <c r="CY40" s="215" t="n"/>
      <c r="CZ40" s="215" t="n"/>
      <c r="DA40" s="215" t="n"/>
      <c r="DB40" s="215" t="n"/>
      <c r="DC40" s="215" t="n"/>
      <c r="DD40" s="215" t="n"/>
      <c r="DE40" s="215" t="n"/>
      <c r="DF40" s="215" t="n"/>
      <c r="DG40" s="215" t="n"/>
      <c r="DH40" s="215" t="n"/>
      <c r="DI40" s="215" t="n"/>
      <c r="DJ40" s="215" t="n"/>
      <c r="DK40" s="215" t="n"/>
      <c r="DL40" s="215" t="n"/>
      <c r="DM40" s="215" t="n"/>
      <c r="DN40" s="215" t="n"/>
      <c r="DO40" s="215" t="n"/>
      <c r="DP40" s="215" t="n"/>
      <c r="DQ40" s="215" t="n"/>
      <c r="DR40" s="215" t="n"/>
      <c r="DS40" s="215" t="n"/>
      <c r="DT40" s="215" t="n"/>
      <c r="DU40" s="215" t="n"/>
      <c r="DV40" s="215" t="n"/>
      <c r="DW40" s="215" t="n"/>
      <c r="DX40" s="215" t="n"/>
      <c r="DY40" s="215" t="n"/>
      <c r="DZ40" s="215" t="n"/>
      <c r="EA40" s="215" t="n"/>
      <c r="EB40" s="215" t="n"/>
      <c r="EC40" s="215" t="n"/>
      <c r="ED40" s="215" t="n"/>
      <c r="EE40" s="215" t="n"/>
      <c r="EF40" s="215" t="n"/>
      <c r="EG40" s="215" t="n"/>
      <c r="EH40" s="215" t="n"/>
      <c r="EI40" s="215" t="n"/>
      <c r="EJ40" s="215" t="n"/>
      <c r="EK40" s="215" t="n"/>
      <c r="EL40" s="215" t="n"/>
      <c r="EM40" s="215" t="n"/>
      <c r="EN40" s="215" t="n"/>
      <c r="EO40" s="215" t="n"/>
      <c r="EP40" s="215" t="n"/>
      <c r="EQ40" s="215" t="n"/>
      <c r="ER40" s="215" t="n"/>
      <c r="ES40" s="215" t="n"/>
      <c r="ET40" s="215" t="n"/>
      <c r="EU40" s="215" t="n"/>
      <c r="EV40" s="215" t="n"/>
      <c r="EW40" s="215" t="n"/>
      <c r="EX40" s="215" t="n"/>
      <c r="EY40" s="215" t="n"/>
      <c r="EZ40" s="215" t="n"/>
      <c r="FA40" s="215" t="n"/>
      <c r="FB40" s="215" t="n"/>
      <c r="FC40" s="215" t="n"/>
      <c r="FD40" s="215" t="n"/>
      <c r="FE40" s="215" t="n"/>
      <c r="FF40" s="215" t="n"/>
      <c r="FG40" s="215" t="n"/>
      <c r="FH40" s="215" t="n"/>
      <c r="FI40" s="215" t="n"/>
      <c r="FJ40" s="215" t="n"/>
      <c r="FK40" s="215" t="n"/>
      <c r="FL40" s="215" t="n"/>
      <c r="FM40" s="215" t="n"/>
      <c r="FN40" s="215" t="n"/>
      <c r="FO40" s="215" t="n"/>
      <c r="FP40" s="215" t="n"/>
      <c r="FQ40" s="215" t="n"/>
      <c r="FR40" s="215" t="n"/>
      <c r="FS40" s="215" t="n"/>
      <c r="FT40" s="215" t="n"/>
      <c r="FU40" s="215" t="n"/>
      <c r="FV40" s="215" t="n"/>
      <c r="FW40" s="215" t="n"/>
      <c r="FX40" s="215" t="n"/>
      <c r="FY40" s="215" t="n"/>
      <c r="FZ40" s="215" t="n"/>
      <c r="GA40" s="215" t="n"/>
      <c r="GB40" s="215" t="n"/>
      <c r="GC40" s="215" t="n"/>
      <c r="GD40" s="215" t="n"/>
      <c r="GE40" s="215" t="n"/>
      <c r="GF40" s="215" t="n"/>
      <c r="GG40" s="215" t="n"/>
      <c r="GH40" s="215" t="n"/>
      <c r="GI40" s="215" t="n"/>
      <c r="GJ40" s="215" t="n"/>
      <c r="GK40" s="215" t="n"/>
      <c r="GL40" s="215" t="n"/>
      <c r="GM40" s="215" t="n"/>
      <c r="GN40" s="215" t="n"/>
      <c r="GO40" s="215" t="n"/>
      <c r="GP40" s="215" t="n"/>
      <c r="GQ40" s="215" t="n"/>
      <c r="GR40" s="215" t="n"/>
      <c r="GS40" s="215" t="n"/>
      <c r="GT40" s="215" t="n"/>
      <c r="GU40" s="215" t="n"/>
      <c r="GV40" s="215" t="n"/>
      <c r="GW40" s="215" t="n"/>
      <c r="GX40" s="215" t="n"/>
      <c r="GY40" s="215" t="n"/>
      <c r="GZ40" s="215" t="n"/>
      <c r="HA40" s="215" t="n"/>
      <c r="HB40" s="215" t="n"/>
      <c r="HC40" s="215" t="n"/>
      <c r="HD40" s="215" t="n"/>
      <c r="HE40" s="215" t="n"/>
      <c r="HF40" s="215" t="n"/>
      <c r="HG40" s="215" t="n"/>
      <c r="HH40" s="215" t="n"/>
      <c r="HI40" s="215" t="n"/>
      <c r="HJ40" s="215" t="n"/>
      <c r="HK40" s="215" t="n"/>
      <c r="HL40" s="215" t="n"/>
      <c r="HM40" s="215" t="n"/>
      <c r="HN40" s="215" t="n"/>
      <c r="HO40" s="215" t="n"/>
      <c r="HP40" s="215" t="n"/>
      <c r="HQ40" s="215" t="n"/>
      <c r="HR40" s="215" t="n"/>
      <c r="HS40" s="215" t="n"/>
      <c r="HT40" s="215" t="n"/>
      <c r="HU40" s="215" t="n"/>
      <c r="HV40" s="215" t="n"/>
      <c r="HW40" s="215" t="n"/>
      <c r="HX40" s="215" t="n"/>
      <c r="HY40" s="215" t="n"/>
      <c r="HZ40" s="215" t="n"/>
      <c r="IA40" s="215" t="n"/>
      <c r="IB40" s="215" t="n"/>
      <c r="IC40" s="215" t="n"/>
      <c r="ID40" s="215" t="n"/>
      <c r="IE40" s="215" t="n"/>
      <c r="IF40" s="215" t="n"/>
      <c r="IG40" s="215" t="n"/>
      <c r="IH40" s="215" t="n"/>
      <c r="II40" s="215" t="n"/>
      <c r="IJ40" s="215" t="n"/>
      <c r="IK40" s="215" t="n"/>
      <c r="IL40" s="215" t="n"/>
      <c r="IM40" s="215" t="n"/>
      <c r="IN40" s="215" t="n"/>
      <c r="IO40" s="215" t="n"/>
      <c r="IP40" s="215" t="n"/>
      <c r="IQ40" s="215" t="n"/>
      <c r="IR40" s="215" t="n"/>
      <c r="IS40" s="215" t="n"/>
      <c r="IT40" s="215" t="n"/>
      <c r="IU40" s="215" t="n"/>
      <c r="IV40" s="215" t="n"/>
      <c r="IW40" s="215" t="n"/>
      <c r="IX40" s="215" t="n"/>
      <c r="IY40" s="215" t="n"/>
      <c r="IZ40" s="215" t="n"/>
      <c r="JA40" s="215" t="n"/>
      <c r="JB40" s="215" t="n"/>
      <c r="JC40" s="215" t="n"/>
      <c r="JD40" s="215" t="n"/>
      <c r="JE40" s="215" t="n"/>
      <c r="JF40" s="215" t="n"/>
      <c r="JG40" s="215" t="n"/>
      <c r="JH40" s="215" t="n"/>
      <c r="JI40" s="215" t="n"/>
      <c r="JJ40" s="215" t="n"/>
      <c r="JK40" s="215" t="n"/>
      <c r="JL40" s="215" t="n"/>
      <c r="JM40" s="215" t="n"/>
      <c r="JN40" s="215" t="n"/>
      <c r="JO40" s="215" t="n"/>
      <c r="JP40" s="215" t="n"/>
      <c r="JQ40" s="215" t="n"/>
      <c r="JR40" s="215" t="n"/>
      <c r="JS40" s="215" t="n"/>
      <c r="JT40" s="215" t="n"/>
      <c r="JU40" s="215" t="n"/>
      <c r="JV40" s="215" t="n"/>
      <c r="JW40" s="215" t="n"/>
      <c r="JX40" s="215" t="n"/>
      <c r="JY40" s="215" t="n"/>
      <c r="JZ40" s="215" t="n"/>
      <c r="KA40" s="215" t="n"/>
      <c r="KB40" s="215" t="n"/>
      <c r="KC40" s="215" t="n"/>
      <c r="KD40" s="215" t="n"/>
      <c r="KE40" s="215" t="n"/>
      <c r="KF40" s="215" t="n"/>
      <c r="KG40" s="215" t="n"/>
      <c r="KH40" s="215" t="n"/>
      <c r="KI40" s="215" t="n"/>
      <c r="KJ40" s="215" t="n"/>
      <c r="KK40" s="215" t="n"/>
      <c r="KL40" s="215" t="n"/>
      <c r="KM40" s="215" t="n"/>
      <c r="KN40" s="215" t="n"/>
      <c r="KO40" s="215" t="n"/>
      <c r="KP40" s="215" t="n"/>
      <c r="KQ40" s="215" t="n"/>
      <c r="KR40" s="215" t="n"/>
      <c r="KS40" s="215" t="n"/>
      <c r="KT40" s="215" t="n"/>
      <c r="KU40" s="215" t="n"/>
      <c r="KV40" s="215" t="n"/>
      <c r="KW40" s="215" t="n"/>
      <c r="KX40" s="215" t="n"/>
      <c r="KY40" s="215" t="n"/>
      <c r="KZ40" s="215" t="n"/>
      <c r="LA40" s="215" t="n"/>
      <c r="LB40" s="215" t="n"/>
      <c r="LC40" s="215" t="n"/>
      <c r="LD40" s="215" t="n"/>
      <c r="LE40" s="215" t="n"/>
      <c r="LF40" s="215" t="n"/>
      <c r="LG40" s="215" t="n"/>
      <c r="LH40" s="215" t="n"/>
      <c r="LI40" s="215" t="n"/>
      <c r="LJ40" s="215" t="n"/>
      <c r="LK40" s="215" t="n"/>
      <c r="LL40" s="215" t="n"/>
      <c r="LM40" s="215" t="n"/>
      <c r="LN40" s="215" t="n"/>
      <c r="LO40" s="215" t="n"/>
      <c r="LP40" s="215" t="n"/>
      <c r="LQ40" s="215" t="n"/>
      <c r="LR40" s="215" t="n"/>
      <c r="LS40" s="215" t="n"/>
      <c r="LT40" s="215" t="n"/>
      <c r="LU40" s="215" t="n"/>
      <c r="LV40" s="215" t="n"/>
      <c r="LW40" s="215" t="n"/>
      <c r="LX40" s="215" t="n"/>
      <c r="LY40" s="215" t="n"/>
      <c r="LZ40" s="215" t="n"/>
      <c r="MA40" s="215" t="n"/>
      <c r="MB40" s="215" t="n"/>
      <c r="MC40" s="215" t="n"/>
      <c r="MD40" s="215" t="n"/>
      <c r="ME40" s="215" t="n"/>
      <c r="MF40" s="215" t="n"/>
      <c r="MG40" s="215" t="n"/>
      <c r="MH40" s="215" t="n"/>
      <c r="MI40" s="215" t="n"/>
      <c r="MJ40" s="215" t="n"/>
      <c r="MK40" s="215" t="n"/>
      <c r="ML40" s="215" t="n"/>
      <c r="MM40" s="215" t="n"/>
      <c r="MN40" s="215" t="n"/>
      <c r="MO40" s="215" t="n"/>
      <c r="MP40" s="215" t="n"/>
      <c r="MQ40" s="215" t="n"/>
      <c r="MR40" s="215" t="n"/>
      <c r="MS40" s="215" t="n"/>
      <c r="MT40" s="215" t="n"/>
      <c r="MU40" s="215" t="n"/>
      <c r="MV40" s="215" t="n"/>
      <c r="MW40" s="215" t="n"/>
      <c r="MX40" s="215" t="n"/>
      <c r="MY40" s="215" t="n"/>
      <c r="MZ40" s="215" t="n"/>
      <c r="NA40" s="215" t="n"/>
      <c r="NB40" s="215" t="n"/>
      <c r="NC40" s="216">
        <f>SUM(B40:NB40)</f>
        <v/>
      </c>
    </row>
    <row r="41" ht="14.25" customHeight="1" s="166">
      <c r="A41" s="226" t="inlineStr">
        <is>
          <t>Beach Bar - Amalfi (41.7KW)</t>
        </is>
      </c>
      <c r="B41" s="215" t="n"/>
      <c r="C41" s="215" t="n"/>
      <c r="D41" s="215" t="n"/>
      <c r="E41" s="215" t="n"/>
      <c r="F41" s="215" t="n"/>
      <c r="G41" s="215" t="n"/>
      <c r="H41" s="215" t="n"/>
      <c r="I41" s="215" t="n"/>
      <c r="J41" s="215" t="n"/>
      <c r="K41" s="215" t="n"/>
      <c r="L41" s="215" t="n"/>
      <c r="M41" s="215" t="n"/>
      <c r="N41" s="215" t="n"/>
      <c r="O41" s="215" t="n"/>
      <c r="P41" s="215" t="n"/>
      <c r="Q41" s="215" t="n"/>
      <c r="R41" s="215" t="n"/>
      <c r="S41" s="215" t="n"/>
      <c r="T41" s="215" t="n"/>
      <c r="U41" s="215" t="n"/>
      <c r="V41" s="215" t="n"/>
      <c r="W41" s="215" t="n"/>
      <c r="X41" s="215" t="n"/>
      <c r="Y41" s="215" t="n"/>
      <c r="Z41" s="215" t="n"/>
      <c r="AA41" s="215" t="n"/>
      <c r="AB41" s="215" t="n"/>
      <c r="AC41" s="215" t="n"/>
      <c r="AD41" s="215" t="n"/>
      <c r="AE41" s="215" t="n"/>
      <c r="AF41" s="215" t="n"/>
      <c r="AG41" s="215" t="n"/>
      <c r="AH41" s="215" t="n"/>
      <c r="AI41" s="215" t="n"/>
      <c r="AJ41" s="215" t="n"/>
      <c r="AK41" s="215" t="n"/>
      <c r="AL41" s="215" t="n"/>
      <c r="AM41" s="215" t="n"/>
      <c r="AN41" s="215" t="n"/>
      <c r="AO41" s="215" t="n"/>
      <c r="AP41" s="215" t="n"/>
      <c r="AQ41" s="215" t="n"/>
      <c r="AR41" s="215" t="n"/>
      <c r="AS41" s="215" t="n"/>
      <c r="AT41" s="215" t="n"/>
      <c r="AU41" s="215" t="n"/>
      <c r="AV41" s="215" t="n"/>
      <c r="AW41" s="215" t="n"/>
      <c r="AX41" s="215" t="n"/>
      <c r="AY41" s="215" t="n"/>
      <c r="AZ41" s="215" t="n"/>
      <c r="BA41" s="215" t="n"/>
      <c r="BB41" s="215" t="n"/>
      <c r="BC41" s="215" t="n"/>
      <c r="BD41" s="215" t="n"/>
      <c r="BE41" s="215" t="n"/>
      <c r="BF41" s="215" t="n"/>
      <c r="BG41" s="215" t="n"/>
      <c r="BH41" s="215" t="n"/>
      <c r="BI41" s="215" t="n"/>
      <c r="BJ41" s="215" t="n"/>
      <c r="BK41" s="215" t="n"/>
      <c r="BL41" s="215" t="n"/>
      <c r="BM41" s="215" t="n"/>
      <c r="BN41" s="215" t="n"/>
      <c r="BO41" s="215" t="n"/>
      <c r="BP41" s="215" t="n"/>
      <c r="BQ41" s="215" t="n"/>
      <c r="BR41" s="215" t="n"/>
      <c r="BS41" s="215" t="n"/>
      <c r="BT41" s="215" t="n"/>
      <c r="BU41" s="215" t="n"/>
      <c r="BV41" s="215" t="n"/>
      <c r="BW41" s="215" t="n"/>
      <c r="BX41" s="215" t="n"/>
      <c r="BY41" s="215" t="n"/>
      <c r="BZ41" s="215" t="n"/>
      <c r="CA41" s="215" t="n"/>
      <c r="CB41" s="215" t="n"/>
      <c r="CC41" s="215" t="n"/>
      <c r="CD41" s="215" t="n"/>
      <c r="CE41" s="215" t="n"/>
      <c r="CF41" s="215" t="n"/>
      <c r="CG41" s="215" t="n"/>
      <c r="CH41" s="215" t="n"/>
      <c r="CI41" s="215" t="n"/>
      <c r="CJ41" s="215" t="n"/>
      <c r="CK41" s="215" t="n"/>
      <c r="CL41" s="215" t="n"/>
      <c r="CM41" s="215" t="n"/>
      <c r="CN41" s="215" t="n"/>
      <c r="CO41" s="215" t="n"/>
      <c r="CP41" s="215" t="n"/>
      <c r="CQ41" s="215" t="n"/>
      <c r="CR41" s="215" t="n"/>
      <c r="CS41" s="215" t="n"/>
      <c r="CT41" s="215" t="n"/>
      <c r="CU41" s="215" t="n"/>
      <c r="CV41" s="215" t="n"/>
      <c r="CW41" s="215" t="n"/>
      <c r="CX41" s="215" t="n"/>
      <c r="CY41" s="215" t="n"/>
      <c r="CZ41" s="215" t="n"/>
      <c r="DA41" s="215" t="n"/>
      <c r="DB41" s="215" t="n"/>
      <c r="DC41" s="215" t="n"/>
      <c r="DD41" s="215" t="n"/>
      <c r="DE41" s="215" t="n"/>
      <c r="DF41" s="215" t="n"/>
      <c r="DG41" s="215" t="n"/>
      <c r="DH41" s="215" t="n"/>
      <c r="DI41" s="215" t="n"/>
      <c r="DJ41" s="215" t="n"/>
      <c r="DK41" s="215" t="n"/>
      <c r="DL41" s="215" t="n"/>
      <c r="DM41" s="215" t="n"/>
      <c r="DN41" s="215" t="n"/>
      <c r="DO41" s="215" t="n"/>
      <c r="DP41" s="215" t="n"/>
      <c r="DQ41" s="215" t="n"/>
      <c r="DR41" s="215" t="n"/>
      <c r="DS41" s="215" t="n"/>
      <c r="DT41" s="215" t="n"/>
      <c r="DU41" s="215" t="n"/>
      <c r="DV41" s="215" t="n"/>
      <c r="DW41" s="215" t="n"/>
      <c r="DX41" s="215" t="n"/>
      <c r="DY41" s="215" t="n"/>
      <c r="DZ41" s="215" t="n"/>
      <c r="EA41" s="215" t="n"/>
      <c r="EB41" s="215" t="n"/>
      <c r="EC41" s="215" t="n"/>
      <c r="ED41" s="215" t="n"/>
      <c r="EE41" s="215" t="n"/>
      <c r="EF41" s="215" t="n"/>
      <c r="EG41" s="215" t="n"/>
      <c r="EH41" s="215" t="n"/>
      <c r="EI41" s="215" t="n"/>
      <c r="EJ41" s="215" t="n"/>
      <c r="EK41" s="215" t="n"/>
      <c r="EL41" s="215" t="n"/>
      <c r="EM41" s="215" t="n"/>
      <c r="EN41" s="215" t="n"/>
      <c r="EO41" s="215" t="n"/>
      <c r="EP41" s="215" t="n"/>
      <c r="EQ41" s="215" t="n"/>
      <c r="ER41" s="215" t="n"/>
      <c r="ES41" s="215" t="n"/>
      <c r="ET41" s="215" t="n"/>
      <c r="EU41" s="215" t="n"/>
      <c r="EV41" s="215" t="n"/>
      <c r="EW41" s="215" t="n"/>
      <c r="EX41" s="215" t="n"/>
      <c r="EY41" s="215" t="n"/>
      <c r="EZ41" s="215" t="n"/>
      <c r="FA41" s="215" t="n"/>
      <c r="FB41" s="215" t="n"/>
      <c r="FC41" s="215" t="n"/>
      <c r="FD41" s="215" t="n"/>
      <c r="FE41" s="215" t="n"/>
      <c r="FF41" s="215" t="n"/>
      <c r="FG41" s="215" t="n"/>
      <c r="FH41" s="215" t="n"/>
      <c r="FI41" s="215" t="n"/>
      <c r="FJ41" s="215" t="n"/>
      <c r="FK41" s="215" t="n"/>
      <c r="FL41" s="215" t="n"/>
      <c r="FM41" s="215" t="n"/>
      <c r="FN41" s="215" t="n"/>
      <c r="FO41" s="215" t="n"/>
      <c r="FP41" s="215" t="n"/>
      <c r="FQ41" s="215" t="n"/>
      <c r="FR41" s="215" t="n"/>
      <c r="FS41" s="215" t="n"/>
      <c r="FT41" s="215" t="n"/>
      <c r="FU41" s="215" t="n"/>
      <c r="FV41" s="215" t="n"/>
      <c r="FW41" s="215" t="n"/>
      <c r="FX41" s="215" t="n"/>
      <c r="FY41" s="215" t="n"/>
      <c r="FZ41" s="215" t="n"/>
      <c r="GA41" s="215" t="n"/>
      <c r="GB41" s="215" t="n"/>
      <c r="GC41" s="215" t="n"/>
      <c r="GD41" s="215" t="n"/>
      <c r="GE41" s="215" t="n"/>
      <c r="GF41" s="215" t="n"/>
      <c r="GG41" s="215" t="n"/>
      <c r="GH41" s="215" t="n"/>
      <c r="GI41" s="215" t="n"/>
      <c r="GJ41" s="215" t="n"/>
      <c r="GK41" s="215" t="n"/>
      <c r="GL41" s="215" t="n"/>
      <c r="GM41" s="215" t="n"/>
      <c r="GN41" s="215" t="n"/>
      <c r="GO41" s="215" t="n"/>
      <c r="GP41" s="215" t="n"/>
      <c r="GQ41" s="215" t="n"/>
      <c r="GR41" s="215" t="n"/>
      <c r="GS41" s="215" t="n"/>
      <c r="GT41" s="215" t="n"/>
      <c r="GU41" s="215" t="n"/>
      <c r="GV41" s="215" t="n"/>
      <c r="GW41" s="215" t="n"/>
      <c r="GX41" s="215" t="n"/>
      <c r="GY41" s="215" t="n"/>
      <c r="GZ41" s="215" t="n"/>
      <c r="HA41" s="215" t="n"/>
      <c r="HB41" s="215" t="n"/>
      <c r="HC41" s="215" t="n"/>
      <c r="HD41" s="215" t="n"/>
      <c r="HE41" s="215" t="n"/>
      <c r="HF41" s="215" t="n"/>
      <c r="HG41" s="215" t="n"/>
      <c r="HH41" s="215" t="n"/>
      <c r="HI41" s="215" t="n"/>
      <c r="HJ41" s="215" t="n"/>
      <c r="HK41" s="215" t="n"/>
      <c r="HL41" s="215" t="n"/>
      <c r="HM41" s="215" t="n"/>
      <c r="HN41" s="215" t="n"/>
      <c r="HO41" s="215" t="n"/>
      <c r="HP41" s="215" t="n"/>
      <c r="HQ41" s="215" t="n"/>
      <c r="HR41" s="215" t="n"/>
      <c r="HS41" s="215" t="n"/>
      <c r="HT41" s="215" t="n"/>
      <c r="HU41" s="215" t="n"/>
      <c r="HV41" s="215" t="n"/>
      <c r="HW41" s="215" t="n"/>
      <c r="HX41" s="215" t="n"/>
      <c r="HY41" s="215" t="n"/>
      <c r="HZ41" s="215" t="n"/>
      <c r="IA41" s="215" t="n"/>
      <c r="IB41" s="215" t="n"/>
      <c r="IC41" s="215" t="n"/>
      <c r="ID41" s="215" t="n"/>
      <c r="IE41" s="215" t="n"/>
      <c r="IF41" s="215" t="n"/>
      <c r="IG41" s="215" t="n"/>
      <c r="IH41" s="215" t="n"/>
      <c r="II41" s="215" t="n"/>
      <c r="IJ41" s="215" t="n"/>
      <c r="IK41" s="215" t="n"/>
      <c r="IL41" s="215" t="n"/>
      <c r="IM41" s="215" t="n"/>
      <c r="IN41" s="215" t="n"/>
      <c r="IO41" s="215" t="n"/>
      <c r="IP41" s="215" t="n"/>
      <c r="IQ41" s="215" t="n"/>
      <c r="IR41" s="215" t="n"/>
      <c r="IS41" s="215" t="n"/>
      <c r="IT41" s="215" t="n"/>
      <c r="IU41" s="215" t="n"/>
      <c r="IV41" s="215" t="n"/>
      <c r="IW41" s="215" t="n"/>
      <c r="IX41" s="215" t="n"/>
      <c r="IY41" s="215" t="n"/>
      <c r="IZ41" s="215" t="n"/>
      <c r="JA41" s="215" t="n"/>
      <c r="JB41" s="215" t="n"/>
      <c r="JC41" s="215" t="n"/>
      <c r="JD41" s="215" t="n"/>
      <c r="JE41" s="215" t="n"/>
      <c r="JF41" s="215" t="n"/>
      <c r="JG41" s="215" t="n"/>
      <c r="JH41" s="215" t="n"/>
      <c r="JI41" s="215" t="n"/>
      <c r="JJ41" s="215" t="n"/>
      <c r="JK41" s="215" t="n"/>
      <c r="JL41" s="215" t="n"/>
      <c r="JM41" s="215" t="n"/>
      <c r="JN41" s="215" t="n"/>
      <c r="JO41" s="215" t="n"/>
      <c r="JP41" s="215" t="n"/>
      <c r="JQ41" s="215" t="n"/>
      <c r="JR41" s="215" t="n"/>
      <c r="JS41" s="215" t="n"/>
      <c r="JT41" s="215" t="n"/>
      <c r="JU41" s="215" t="n"/>
      <c r="JV41" s="215" t="n"/>
      <c r="JW41" s="215" t="n"/>
      <c r="JX41" s="215" t="n"/>
      <c r="JY41" s="215" t="n"/>
      <c r="JZ41" s="215" t="n"/>
      <c r="KA41" s="215" t="n"/>
      <c r="KB41" s="215" t="n"/>
      <c r="KC41" s="215" t="n"/>
      <c r="KD41" s="215" t="n"/>
      <c r="KE41" s="215" t="n"/>
      <c r="KF41" s="215" t="n"/>
      <c r="KG41" s="215" t="n"/>
      <c r="KH41" s="215" t="n"/>
      <c r="KI41" s="215" t="n"/>
      <c r="KJ41" s="215" t="n"/>
      <c r="KK41" s="215" t="n"/>
      <c r="KL41" s="215" t="n"/>
      <c r="KM41" s="215" t="n"/>
      <c r="KN41" s="215" t="n"/>
      <c r="KO41" s="215" t="n"/>
      <c r="KP41" s="215" t="n"/>
      <c r="KQ41" s="215" t="n"/>
      <c r="KR41" s="215" t="n"/>
      <c r="KS41" s="215" t="n"/>
      <c r="KT41" s="215" t="n"/>
      <c r="KU41" s="215" t="n"/>
      <c r="KV41" s="215" t="n"/>
      <c r="KW41" s="215" t="n"/>
      <c r="KX41" s="215" t="n"/>
      <c r="KY41" s="215" t="n"/>
      <c r="KZ41" s="215" t="n"/>
      <c r="LA41" s="215" t="n"/>
      <c r="LB41" s="215" t="n"/>
      <c r="LC41" s="215" t="n"/>
      <c r="LD41" s="215" t="n"/>
      <c r="LE41" s="215" t="n"/>
      <c r="LF41" s="215" t="n"/>
      <c r="LG41" s="215" t="n"/>
      <c r="LH41" s="215" t="n"/>
      <c r="LI41" s="215" t="n"/>
      <c r="LJ41" s="215" t="n"/>
      <c r="LK41" s="215" t="n"/>
      <c r="LL41" s="215" t="n"/>
      <c r="LM41" s="215" t="n"/>
      <c r="LN41" s="215" t="n"/>
      <c r="LO41" s="215" t="n"/>
      <c r="LP41" s="215" t="n"/>
      <c r="LQ41" s="215" t="n"/>
      <c r="LR41" s="215" t="n"/>
      <c r="LS41" s="215" t="n"/>
      <c r="LT41" s="215" t="n"/>
      <c r="LU41" s="215" t="n"/>
      <c r="LV41" s="215" t="n"/>
      <c r="LW41" s="215" t="n"/>
      <c r="LX41" s="215" t="n"/>
      <c r="LY41" s="215" t="n"/>
      <c r="LZ41" s="215" t="n"/>
      <c r="MA41" s="215" t="n"/>
      <c r="MB41" s="215" t="n"/>
      <c r="MC41" s="215" t="n"/>
      <c r="MD41" s="215" t="n"/>
      <c r="ME41" s="215" t="n"/>
      <c r="MF41" s="215" t="n"/>
      <c r="MG41" s="215" t="n"/>
      <c r="MH41" s="215" t="n"/>
      <c r="MI41" s="215" t="n"/>
      <c r="MJ41" s="215" t="n"/>
      <c r="MK41" s="215" t="n"/>
      <c r="ML41" s="215" t="n"/>
      <c r="MM41" s="215" t="n"/>
      <c r="MN41" s="215" t="n"/>
      <c r="MO41" s="215" t="n"/>
      <c r="MP41" s="215" t="n"/>
      <c r="MQ41" s="215" t="n"/>
      <c r="MR41" s="215" t="n"/>
      <c r="MS41" s="215" t="n"/>
      <c r="MT41" s="215" t="n"/>
      <c r="MU41" s="215" t="n"/>
      <c r="MV41" s="215" t="n"/>
      <c r="MW41" s="215" t="n"/>
      <c r="MX41" s="215" t="n"/>
      <c r="MY41" s="215" t="n"/>
      <c r="MZ41" s="215" t="n"/>
      <c r="NA41" s="215" t="n"/>
      <c r="NB41" s="215" t="n"/>
      <c r="NC41" s="216">
        <f>SUM(B41:NB41)</f>
        <v/>
      </c>
    </row>
    <row r="42" ht="14.25" customHeight="1" s="166">
      <c r="A42" s="226" t="inlineStr">
        <is>
          <t>Bistro Caffe - Caffe Maude (44KW)</t>
        </is>
      </c>
      <c r="B42" s="215" t="n"/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5" t="n"/>
      <c r="M42" s="215" t="n"/>
      <c r="N42" s="215" t="n"/>
      <c r="O42" s="215" t="n"/>
      <c r="P42" s="215" t="n"/>
      <c r="Q42" s="215" t="n"/>
      <c r="R42" s="215" t="n"/>
      <c r="S42" s="215" t="n"/>
      <c r="T42" s="215" t="n"/>
      <c r="U42" s="215" t="n"/>
      <c r="V42" s="215" t="n"/>
      <c r="W42" s="215" t="n"/>
      <c r="X42" s="215" t="n"/>
      <c r="Y42" s="215" t="n"/>
      <c r="Z42" s="215" t="n"/>
      <c r="AA42" s="215" t="n"/>
      <c r="AB42" s="215" t="n"/>
      <c r="AC42" s="215" t="n"/>
      <c r="AD42" s="215" t="n"/>
      <c r="AE42" s="215" t="n"/>
      <c r="AF42" s="215" t="n"/>
      <c r="AG42" s="215" t="n"/>
      <c r="AH42" s="215" t="n"/>
      <c r="AI42" s="215" t="n"/>
      <c r="AJ42" s="215" t="n"/>
      <c r="AK42" s="215" t="n"/>
      <c r="AL42" s="215" t="n"/>
      <c r="AM42" s="215" t="n"/>
      <c r="AN42" s="215" t="n"/>
      <c r="AO42" s="215" t="n"/>
      <c r="AP42" s="215" t="n"/>
      <c r="AQ42" s="215" t="n"/>
      <c r="AR42" s="215" t="n"/>
      <c r="AS42" s="215" t="n"/>
      <c r="AT42" s="215" t="n"/>
      <c r="AU42" s="215" t="n"/>
      <c r="AV42" s="215" t="n"/>
      <c r="AW42" s="215" t="n"/>
      <c r="AX42" s="215" t="n"/>
      <c r="AY42" s="215" t="n"/>
      <c r="AZ42" s="215" t="n"/>
      <c r="BA42" s="215" t="n"/>
      <c r="BB42" s="215" t="n"/>
      <c r="BC42" s="215" t="n"/>
      <c r="BD42" s="215" t="n"/>
      <c r="BE42" s="215" t="n"/>
      <c r="BF42" s="215" t="n"/>
      <c r="BG42" s="215" t="n"/>
      <c r="BH42" s="215" t="n"/>
      <c r="BI42" s="215" t="n"/>
      <c r="BJ42" s="215" t="n"/>
      <c r="BK42" s="215" t="n"/>
      <c r="BL42" s="215" t="n"/>
      <c r="BM42" s="215" t="n"/>
      <c r="BN42" s="215" t="n"/>
      <c r="BO42" s="215" t="n"/>
      <c r="BP42" s="215" t="n"/>
      <c r="BQ42" s="215" t="n"/>
      <c r="BR42" s="215" t="n"/>
      <c r="BS42" s="215" t="n"/>
      <c r="BT42" s="215" t="n"/>
      <c r="BU42" s="215" t="n"/>
      <c r="BV42" s="215" t="n"/>
      <c r="BW42" s="215" t="n"/>
      <c r="BX42" s="215" t="n"/>
      <c r="BY42" s="215" t="n"/>
      <c r="BZ42" s="215" t="n"/>
      <c r="CA42" s="215" t="n"/>
      <c r="CB42" s="215" t="n"/>
      <c r="CC42" s="215" t="n"/>
      <c r="CD42" s="215" t="n"/>
      <c r="CE42" s="215" t="n"/>
      <c r="CF42" s="215" t="n"/>
      <c r="CG42" s="215" t="n"/>
      <c r="CH42" s="215" t="n"/>
      <c r="CI42" s="215" t="n"/>
      <c r="CJ42" s="215" t="n"/>
      <c r="CK42" s="215" t="n"/>
      <c r="CL42" s="215" t="n"/>
      <c r="CM42" s="215" t="n"/>
      <c r="CN42" s="215" t="n"/>
      <c r="CO42" s="215" t="n"/>
      <c r="CP42" s="215" t="n"/>
      <c r="CQ42" s="215" t="n"/>
      <c r="CR42" s="215" t="n"/>
      <c r="CS42" s="215" t="n"/>
      <c r="CT42" s="215" t="n"/>
      <c r="CU42" s="215" t="n"/>
      <c r="CV42" s="215" t="n"/>
      <c r="CW42" s="215" t="n"/>
      <c r="CX42" s="215" t="n"/>
      <c r="CY42" s="215" t="n"/>
      <c r="CZ42" s="215" t="n"/>
      <c r="DA42" s="215" t="n"/>
      <c r="DB42" s="215" t="n"/>
      <c r="DC42" s="215" t="n"/>
      <c r="DD42" s="215" t="n"/>
      <c r="DE42" s="215" t="n"/>
      <c r="DF42" s="215" t="n"/>
      <c r="DG42" s="215" t="n"/>
      <c r="DH42" s="215" t="n"/>
      <c r="DI42" s="215" t="n"/>
      <c r="DJ42" s="215" t="n"/>
      <c r="DK42" s="215" t="n"/>
      <c r="DL42" s="215" t="n"/>
      <c r="DM42" s="215" t="n"/>
      <c r="DN42" s="215" t="n"/>
      <c r="DO42" s="215" t="n"/>
      <c r="DP42" s="215" t="n"/>
      <c r="DQ42" s="215" t="n"/>
      <c r="DR42" s="215" t="n"/>
      <c r="DS42" s="215" t="n"/>
      <c r="DT42" s="215" t="n"/>
      <c r="DU42" s="215" t="n"/>
      <c r="DV42" s="215" t="n"/>
      <c r="DW42" s="215" t="n"/>
      <c r="DX42" s="215" t="n"/>
      <c r="DY42" s="215" t="n"/>
      <c r="DZ42" s="215" t="n"/>
      <c r="EA42" s="215" t="n"/>
      <c r="EB42" s="215" t="n"/>
      <c r="EC42" s="215" t="n"/>
      <c r="ED42" s="215" t="n"/>
      <c r="EE42" s="215" t="n"/>
      <c r="EF42" s="215" t="n"/>
      <c r="EG42" s="215" t="n"/>
      <c r="EH42" s="215" t="n"/>
      <c r="EI42" s="215" t="n"/>
      <c r="EJ42" s="215" t="n"/>
      <c r="EK42" s="215" t="n"/>
      <c r="EL42" s="215" t="n"/>
      <c r="EM42" s="215" t="n"/>
      <c r="EN42" s="215" t="n"/>
      <c r="EO42" s="215" t="n"/>
      <c r="EP42" s="215" t="n"/>
      <c r="EQ42" s="215" t="n"/>
      <c r="ER42" s="215" t="n"/>
      <c r="ES42" s="215" t="n"/>
      <c r="ET42" s="215" t="n"/>
      <c r="EU42" s="215" t="n"/>
      <c r="EV42" s="215" t="n"/>
      <c r="EW42" s="215" t="n"/>
      <c r="EX42" s="215" t="n"/>
      <c r="EY42" s="215" t="n"/>
      <c r="EZ42" s="215" t="n"/>
      <c r="FA42" s="215" t="n"/>
      <c r="FB42" s="215" t="n"/>
      <c r="FC42" s="215" t="n"/>
      <c r="FD42" s="215" t="n"/>
      <c r="FE42" s="215" t="n"/>
      <c r="FF42" s="215" t="n"/>
      <c r="FG42" s="215" t="n"/>
      <c r="FH42" s="215" t="n"/>
      <c r="FI42" s="215" t="n"/>
      <c r="FJ42" s="215" t="n"/>
      <c r="FK42" s="215" t="n"/>
      <c r="FL42" s="215" t="n"/>
      <c r="FM42" s="215" t="n"/>
      <c r="FN42" s="215" t="n"/>
      <c r="FO42" s="215" t="n"/>
      <c r="FP42" s="215" t="n"/>
      <c r="FQ42" s="215" t="n"/>
      <c r="FR42" s="215" t="n"/>
      <c r="FS42" s="215" t="n"/>
      <c r="FT42" s="215" t="n"/>
      <c r="FU42" s="215" t="n"/>
      <c r="FV42" s="215" t="n"/>
      <c r="FW42" s="215" t="n"/>
      <c r="FX42" s="215" t="n"/>
      <c r="FY42" s="215" t="n"/>
      <c r="FZ42" s="215" t="n"/>
      <c r="GA42" s="215" t="n"/>
      <c r="GB42" s="215" t="n"/>
      <c r="GC42" s="215" t="n"/>
      <c r="GD42" s="215" t="n"/>
      <c r="GE42" s="215" t="n"/>
      <c r="GF42" s="215" t="n"/>
      <c r="GG42" s="215" t="n"/>
      <c r="GH42" s="215" t="n"/>
      <c r="GI42" s="215" t="n"/>
      <c r="GJ42" s="215" t="n"/>
      <c r="GK42" s="215" t="n"/>
      <c r="GL42" s="215" t="n"/>
      <c r="GM42" s="215" t="n"/>
      <c r="GN42" s="215" t="n"/>
      <c r="GO42" s="215" t="n"/>
      <c r="GP42" s="215" t="n"/>
      <c r="GQ42" s="215" t="n"/>
      <c r="GR42" s="215" t="n"/>
      <c r="GS42" s="215" t="n"/>
      <c r="GT42" s="215" t="n"/>
      <c r="GU42" s="215" t="n"/>
      <c r="GV42" s="215" t="n"/>
      <c r="GW42" s="215" t="n"/>
      <c r="GX42" s="215" t="n"/>
      <c r="GY42" s="215" t="n"/>
      <c r="GZ42" s="215" t="n"/>
      <c r="HA42" s="215" t="n"/>
      <c r="HB42" s="215" t="n"/>
      <c r="HC42" s="215" t="n"/>
      <c r="HD42" s="215" t="n"/>
      <c r="HE42" s="215" t="n"/>
      <c r="HF42" s="215" t="n"/>
      <c r="HG42" s="215" t="n"/>
      <c r="HH42" s="215" t="n"/>
      <c r="HI42" s="215" t="n"/>
      <c r="HJ42" s="215" t="n"/>
      <c r="HK42" s="215" t="n"/>
      <c r="HL42" s="215" t="n"/>
      <c r="HM42" s="215" t="n"/>
      <c r="HN42" s="215" t="n"/>
      <c r="HO42" s="215" t="n"/>
      <c r="HP42" s="215" t="n"/>
      <c r="HQ42" s="215" t="n"/>
      <c r="HR42" s="215" t="n"/>
      <c r="HS42" s="215" t="n"/>
      <c r="HT42" s="215" t="n"/>
      <c r="HU42" s="215" t="n"/>
      <c r="HV42" s="215" t="n"/>
      <c r="HW42" s="215" t="n"/>
      <c r="HX42" s="215" t="n"/>
      <c r="HY42" s="215" t="n"/>
      <c r="HZ42" s="215" t="n"/>
      <c r="IA42" s="215" t="n"/>
      <c r="IB42" s="215" t="n"/>
      <c r="IC42" s="215" t="n"/>
      <c r="ID42" s="215" t="n"/>
      <c r="IE42" s="215" t="n"/>
      <c r="IF42" s="215" t="n"/>
      <c r="IG42" s="215" t="n"/>
      <c r="IH42" s="215" t="n"/>
      <c r="II42" s="215" t="n"/>
      <c r="IJ42" s="215" t="n"/>
      <c r="IK42" s="215" t="n"/>
      <c r="IL42" s="215" t="n"/>
      <c r="IM42" s="215" t="n"/>
      <c r="IN42" s="215" t="n"/>
      <c r="IO42" s="215" t="n"/>
      <c r="IP42" s="215" t="n"/>
      <c r="IQ42" s="215" t="n"/>
      <c r="IR42" s="215" t="n"/>
      <c r="IS42" s="215" t="n"/>
      <c r="IT42" s="215" t="n"/>
      <c r="IU42" s="215" t="n"/>
      <c r="IV42" s="215" t="n"/>
      <c r="IW42" s="215" t="n"/>
      <c r="IX42" s="215" t="n"/>
      <c r="IY42" s="215" t="n"/>
      <c r="IZ42" s="215" t="n"/>
      <c r="JA42" s="215" t="n"/>
      <c r="JB42" s="215" t="n"/>
      <c r="JC42" s="215" t="n"/>
      <c r="JD42" s="215" t="n"/>
      <c r="JE42" s="215" t="n"/>
      <c r="JF42" s="215" t="n"/>
      <c r="JG42" s="215" t="n"/>
      <c r="JH42" s="215" t="n"/>
      <c r="JI42" s="215" t="n"/>
      <c r="JJ42" s="215" t="n"/>
      <c r="JK42" s="215" t="n"/>
      <c r="JL42" s="215" t="n"/>
      <c r="JM42" s="215" t="n"/>
      <c r="JN42" s="215" t="n"/>
      <c r="JO42" s="215" t="n"/>
      <c r="JP42" s="215" t="n"/>
      <c r="JQ42" s="215" t="n"/>
      <c r="JR42" s="215" t="n"/>
      <c r="JS42" s="215" t="n"/>
      <c r="JT42" s="215" t="n"/>
      <c r="JU42" s="215" t="n"/>
      <c r="JV42" s="215" t="n"/>
      <c r="JW42" s="215" t="n"/>
      <c r="JX42" s="215" t="n"/>
      <c r="JY42" s="215" t="n"/>
      <c r="JZ42" s="215" t="n"/>
      <c r="KA42" s="215" t="n"/>
      <c r="KB42" s="215" t="n"/>
      <c r="KC42" s="215" t="n"/>
      <c r="KD42" s="215" t="n"/>
      <c r="KE42" s="215" t="n"/>
      <c r="KF42" s="215" t="n"/>
      <c r="KG42" s="215" t="n"/>
      <c r="KH42" s="215" t="n"/>
      <c r="KI42" s="215" t="n"/>
      <c r="KJ42" s="215" t="n"/>
      <c r="KK42" s="215" t="n"/>
      <c r="KL42" s="215" t="n"/>
      <c r="KM42" s="215" t="n"/>
      <c r="KN42" s="215" t="n"/>
      <c r="KO42" s="215" t="n"/>
      <c r="KP42" s="215" t="n"/>
      <c r="KQ42" s="215" t="n"/>
      <c r="KR42" s="215" t="n"/>
      <c r="KS42" s="215" t="n"/>
      <c r="KT42" s="215" t="n"/>
      <c r="KU42" s="215" t="n"/>
      <c r="KV42" s="215" t="n"/>
      <c r="KW42" s="215" t="n"/>
      <c r="KX42" s="215" t="n"/>
      <c r="KY42" s="215" t="n"/>
      <c r="KZ42" s="215" t="n"/>
      <c r="LA42" s="215" t="n"/>
      <c r="LB42" s="215" t="n"/>
      <c r="LC42" s="215" t="n"/>
      <c r="LD42" s="215" t="n"/>
      <c r="LE42" s="215" t="n"/>
      <c r="LF42" s="215" t="n"/>
      <c r="LG42" s="215" t="n"/>
      <c r="LH42" s="215" t="n"/>
      <c r="LI42" s="215" t="n"/>
      <c r="LJ42" s="215" t="n"/>
      <c r="LK42" s="215" t="n"/>
      <c r="LL42" s="215" t="n"/>
      <c r="LM42" s="215" t="n"/>
      <c r="LN42" s="215" t="n"/>
      <c r="LO42" s="215" t="n"/>
      <c r="LP42" s="215" t="n"/>
      <c r="LQ42" s="215" t="n"/>
      <c r="LR42" s="215" t="n"/>
      <c r="LS42" s="215" t="n"/>
      <c r="LT42" s="215" t="n"/>
      <c r="LU42" s="215" t="n"/>
      <c r="LV42" s="215" t="n"/>
      <c r="LW42" s="215" t="n"/>
      <c r="LX42" s="215" t="n"/>
      <c r="LY42" s="215" t="n"/>
      <c r="LZ42" s="215" t="n"/>
      <c r="MA42" s="215" t="n"/>
      <c r="MB42" s="215" t="n"/>
      <c r="MC42" s="215" t="n"/>
      <c r="MD42" s="215" t="n"/>
      <c r="ME42" s="215" t="n"/>
      <c r="MF42" s="215" t="n"/>
      <c r="MG42" s="215" t="n"/>
      <c r="MH42" s="215" t="n"/>
      <c r="MI42" s="215" t="n"/>
      <c r="MJ42" s="215" t="n"/>
      <c r="MK42" s="215" t="n"/>
      <c r="ML42" s="215" t="n"/>
      <c r="MM42" s="215" t="n"/>
      <c r="MN42" s="215" t="n"/>
      <c r="MO42" s="215" t="n"/>
      <c r="MP42" s="215" t="n"/>
      <c r="MQ42" s="215" t="n"/>
      <c r="MR42" s="215" t="n"/>
      <c r="MS42" s="215" t="n"/>
      <c r="MT42" s="215" t="n"/>
      <c r="MU42" s="215" t="n"/>
      <c r="MV42" s="215" t="n"/>
      <c r="MW42" s="215" t="n"/>
      <c r="MX42" s="215" t="n"/>
      <c r="MY42" s="215" t="n"/>
      <c r="MZ42" s="215" t="n"/>
      <c r="NA42" s="215" t="n"/>
      <c r="NB42" s="215" t="n"/>
      <c r="NC42" s="216">
        <f>SUM(B42:NB42)</f>
        <v/>
      </c>
    </row>
    <row r="43" ht="14.25" customHeight="1" s="166">
      <c r="A43" s="226" t="inlineStr">
        <is>
          <t>F&amp;B-1 - Shell &amp; Core (54KW)</t>
        </is>
      </c>
      <c r="B43" s="215" t="n"/>
      <c r="C43" s="215" t="n"/>
      <c r="D43" s="215" t="n"/>
      <c r="E43" s="215" t="n"/>
      <c r="F43" s="215" t="n"/>
      <c r="G43" s="215" t="n"/>
      <c r="H43" s="215" t="n"/>
      <c r="I43" s="215" t="n"/>
      <c r="J43" s="215" t="n"/>
      <c r="K43" s="215" t="n"/>
      <c r="L43" s="215" t="n"/>
      <c r="M43" s="215" t="n"/>
      <c r="N43" s="215" t="n"/>
      <c r="O43" s="215" t="n"/>
      <c r="P43" s="215" t="n"/>
      <c r="Q43" s="215" t="n"/>
      <c r="R43" s="215" t="n"/>
      <c r="S43" s="215" t="n"/>
      <c r="T43" s="215" t="n"/>
      <c r="U43" s="215" t="n"/>
      <c r="V43" s="215" t="n"/>
      <c r="W43" s="215" t="n"/>
      <c r="X43" s="215" t="n"/>
      <c r="Y43" s="215" t="n"/>
      <c r="Z43" s="215" t="n"/>
      <c r="AA43" s="215" t="n"/>
      <c r="AB43" s="215" t="n"/>
      <c r="AC43" s="215" t="n"/>
      <c r="AD43" s="215" t="n"/>
      <c r="AE43" s="215" t="n"/>
      <c r="AF43" s="215" t="n"/>
      <c r="AG43" s="215" t="n"/>
      <c r="AH43" s="215" t="n"/>
      <c r="AI43" s="215" t="n"/>
      <c r="AJ43" s="215" t="n"/>
      <c r="AK43" s="215" t="n"/>
      <c r="AL43" s="215" t="n"/>
      <c r="AM43" s="215" t="n"/>
      <c r="AN43" s="215" t="n"/>
      <c r="AO43" s="215" t="n"/>
      <c r="AP43" s="215" t="n"/>
      <c r="AQ43" s="215" t="n"/>
      <c r="AR43" s="215" t="n"/>
      <c r="AS43" s="215" t="n"/>
      <c r="AT43" s="215" t="n"/>
      <c r="AU43" s="215" t="n"/>
      <c r="AV43" s="215" t="n"/>
      <c r="AW43" s="215" t="n"/>
      <c r="AX43" s="215" t="n"/>
      <c r="AY43" s="215" t="n"/>
      <c r="AZ43" s="215" t="n"/>
      <c r="BA43" s="215" t="n"/>
      <c r="BB43" s="215" t="n"/>
      <c r="BC43" s="215" t="n"/>
      <c r="BD43" s="215" t="n"/>
      <c r="BE43" s="215" t="n"/>
      <c r="BF43" s="215" t="n"/>
      <c r="BG43" s="215" t="n"/>
      <c r="BH43" s="215" t="n"/>
      <c r="BI43" s="215" t="n"/>
      <c r="BJ43" s="215" t="n"/>
      <c r="BK43" s="215" t="n"/>
      <c r="BL43" s="215" t="n"/>
      <c r="BM43" s="215" t="n"/>
      <c r="BN43" s="215" t="n"/>
      <c r="BO43" s="215" t="n"/>
      <c r="BP43" s="215" t="n"/>
      <c r="BQ43" s="215" t="n"/>
      <c r="BR43" s="215" t="n"/>
      <c r="BS43" s="215" t="n"/>
      <c r="BT43" s="215" t="n"/>
      <c r="BU43" s="215" t="n"/>
      <c r="BV43" s="215" t="n"/>
      <c r="BW43" s="215" t="n"/>
      <c r="BX43" s="215" t="n"/>
      <c r="BY43" s="215" t="n"/>
      <c r="BZ43" s="215" t="n"/>
      <c r="CA43" s="215" t="n"/>
      <c r="CB43" s="215" t="n"/>
      <c r="CC43" s="215" t="n"/>
      <c r="CD43" s="215" t="n"/>
      <c r="CE43" s="215" t="n"/>
      <c r="CF43" s="215" t="n"/>
      <c r="CG43" s="215" t="n"/>
      <c r="CH43" s="215" t="n"/>
      <c r="CI43" s="215" t="n"/>
      <c r="CJ43" s="215" t="n"/>
      <c r="CK43" s="215" t="n"/>
      <c r="CL43" s="215" t="n"/>
      <c r="CM43" s="215" t="n"/>
      <c r="CN43" s="215" t="n"/>
      <c r="CO43" s="215" t="n"/>
      <c r="CP43" s="215" t="n"/>
      <c r="CQ43" s="215" t="n"/>
      <c r="CR43" s="215" t="n"/>
      <c r="CS43" s="215" t="n"/>
      <c r="CT43" s="215" t="n"/>
      <c r="CU43" s="215" t="n"/>
      <c r="CV43" s="215" t="n"/>
      <c r="CW43" s="215" t="n"/>
      <c r="CX43" s="215" t="n"/>
      <c r="CY43" s="215" t="n"/>
      <c r="CZ43" s="215" t="n"/>
      <c r="DA43" s="215" t="n"/>
      <c r="DB43" s="215" t="n"/>
      <c r="DC43" s="215" t="n"/>
      <c r="DD43" s="215" t="n"/>
      <c r="DE43" s="215" t="n"/>
      <c r="DF43" s="215" t="n"/>
      <c r="DG43" s="215" t="n"/>
      <c r="DH43" s="215" t="n"/>
      <c r="DI43" s="215" t="n"/>
      <c r="DJ43" s="215" t="n"/>
      <c r="DK43" s="215" t="n"/>
      <c r="DL43" s="215" t="n"/>
      <c r="DM43" s="215" t="n"/>
      <c r="DN43" s="215" t="n"/>
      <c r="DO43" s="215" t="n"/>
      <c r="DP43" s="215" t="n"/>
      <c r="DQ43" s="215" t="n"/>
      <c r="DR43" s="215" t="n"/>
      <c r="DS43" s="215" t="n"/>
      <c r="DT43" s="215" t="n"/>
      <c r="DU43" s="215" t="n"/>
      <c r="DV43" s="215" t="n"/>
      <c r="DW43" s="215" t="n"/>
      <c r="DX43" s="215" t="n"/>
      <c r="DY43" s="215" t="n"/>
      <c r="DZ43" s="215" t="n"/>
      <c r="EA43" s="215" t="n"/>
      <c r="EB43" s="215" t="n"/>
      <c r="EC43" s="215" t="n"/>
      <c r="ED43" s="215" t="n"/>
      <c r="EE43" s="215" t="n"/>
      <c r="EF43" s="215" t="n"/>
      <c r="EG43" s="215" t="n"/>
      <c r="EH43" s="215" t="n"/>
      <c r="EI43" s="215" t="n"/>
      <c r="EJ43" s="215" t="n"/>
      <c r="EK43" s="215" t="n"/>
      <c r="EL43" s="215" t="n"/>
      <c r="EM43" s="215" t="n"/>
      <c r="EN43" s="215" t="n"/>
      <c r="EO43" s="215" t="n"/>
      <c r="EP43" s="215" t="n"/>
      <c r="EQ43" s="215" t="n"/>
      <c r="ER43" s="215" t="n"/>
      <c r="ES43" s="215" t="n"/>
      <c r="ET43" s="215" t="n"/>
      <c r="EU43" s="215" t="n"/>
      <c r="EV43" s="215" t="n"/>
      <c r="EW43" s="215" t="n"/>
      <c r="EX43" s="215" t="n"/>
      <c r="EY43" s="215" t="n"/>
      <c r="EZ43" s="215" t="n"/>
      <c r="FA43" s="215" t="n"/>
      <c r="FB43" s="215" t="n"/>
      <c r="FC43" s="215" t="n"/>
      <c r="FD43" s="215" t="n"/>
      <c r="FE43" s="215" t="n"/>
      <c r="FF43" s="215" t="n"/>
      <c r="FG43" s="215" t="n"/>
      <c r="FH43" s="215" t="n"/>
      <c r="FI43" s="215" t="n"/>
      <c r="FJ43" s="215" t="n"/>
      <c r="FK43" s="215" t="n"/>
      <c r="FL43" s="215" t="n"/>
      <c r="FM43" s="215" t="n"/>
      <c r="FN43" s="215" t="n"/>
      <c r="FO43" s="215" t="n"/>
      <c r="FP43" s="215" t="n"/>
      <c r="FQ43" s="215" t="n"/>
      <c r="FR43" s="215" t="n"/>
      <c r="FS43" s="215" t="n"/>
      <c r="FT43" s="215" t="n"/>
      <c r="FU43" s="215" t="n"/>
      <c r="FV43" s="215" t="n"/>
      <c r="FW43" s="215" t="n"/>
      <c r="FX43" s="215" t="n"/>
      <c r="FY43" s="215" t="n"/>
      <c r="FZ43" s="215" t="n"/>
      <c r="GA43" s="215" t="n"/>
      <c r="GB43" s="215" t="n"/>
      <c r="GC43" s="215" t="n"/>
      <c r="GD43" s="215" t="n"/>
      <c r="GE43" s="215" t="n"/>
      <c r="GF43" s="215" t="n"/>
      <c r="GG43" s="215" t="n"/>
      <c r="GH43" s="215" t="n"/>
      <c r="GI43" s="215" t="n"/>
      <c r="GJ43" s="215" t="n"/>
      <c r="GK43" s="215" t="n"/>
      <c r="GL43" s="215" t="n"/>
      <c r="GM43" s="215" t="n"/>
      <c r="GN43" s="215" t="n"/>
      <c r="GO43" s="215" t="n"/>
      <c r="GP43" s="215" t="n"/>
      <c r="GQ43" s="215" t="n"/>
      <c r="GR43" s="215" t="n"/>
      <c r="GS43" s="215" t="n"/>
      <c r="GT43" s="215" t="n"/>
      <c r="GU43" s="215" t="n"/>
      <c r="GV43" s="215" t="n"/>
      <c r="GW43" s="215" t="n"/>
      <c r="GX43" s="215" t="n"/>
      <c r="GY43" s="215" t="n"/>
      <c r="GZ43" s="215" t="n"/>
      <c r="HA43" s="215" t="n"/>
      <c r="HB43" s="215" t="n"/>
      <c r="HC43" s="215" t="n"/>
      <c r="HD43" s="215" t="n"/>
      <c r="HE43" s="215" t="n"/>
      <c r="HF43" s="215" t="n"/>
      <c r="HG43" s="215" t="n"/>
      <c r="HH43" s="215" t="n"/>
      <c r="HI43" s="215" t="n"/>
      <c r="HJ43" s="215" t="n"/>
      <c r="HK43" s="215" t="n"/>
      <c r="HL43" s="215" t="n"/>
      <c r="HM43" s="215" t="n"/>
      <c r="HN43" s="215" t="n"/>
      <c r="HO43" s="215" t="n"/>
      <c r="HP43" s="215" t="n"/>
      <c r="HQ43" s="215" t="n"/>
      <c r="HR43" s="215" t="n"/>
      <c r="HS43" s="215" t="n"/>
      <c r="HT43" s="215" t="n"/>
      <c r="HU43" s="215" t="n"/>
      <c r="HV43" s="215" t="n"/>
      <c r="HW43" s="215" t="n"/>
      <c r="HX43" s="215" t="n"/>
      <c r="HY43" s="215" t="n"/>
      <c r="HZ43" s="215" t="n"/>
      <c r="IA43" s="215" t="n"/>
      <c r="IB43" s="215" t="n"/>
      <c r="IC43" s="215" t="n"/>
      <c r="ID43" s="215" t="n"/>
      <c r="IE43" s="215" t="n"/>
      <c r="IF43" s="215" t="n"/>
      <c r="IG43" s="215" t="n"/>
      <c r="IH43" s="215" t="n"/>
      <c r="II43" s="215" t="n"/>
      <c r="IJ43" s="215" t="n"/>
      <c r="IK43" s="215" t="n"/>
      <c r="IL43" s="215" t="n"/>
      <c r="IM43" s="215" t="n"/>
      <c r="IN43" s="215" t="n"/>
      <c r="IO43" s="215" t="n"/>
      <c r="IP43" s="215" t="n"/>
      <c r="IQ43" s="215" t="n"/>
      <c r="IR43" s="215" t="n"/>
      <c r="IS43" s="215" t="n"/>
      <c r="IT43" s="215" t="n"/>
      <c r="IU43" s="215" t="n"/>
      <c r="IV43" s="215" t="n"/>
      <c r="IW43" s="215" t="n"/>
      <c r="IX43" s="215" t="n"/>
      <c r="IY43" s="215" t="n"/>
      <c r="IZ43" s="215" t="n"/>
      <c r="JA43" s="215" t="n"/>
      <c r="JB43" s="215" t="n"/>
      <c r="JC43" s="215" t="n"/>
      <c r="JD43" s="215" t="n"/>
      <c r="JE43" s="215" t="n"/>
      <c r="JF43" s="215" t="n"/>
      <c r="JG43" s="215" t="n"/>
      <c r="JH43" s="215" t="n"/>
      <c r="JI43" s="215" t="n"/>
      <c r="JJ43" s="215" t="n"/>
      <c r="JK43" s="215" t="n"/>
      <c r="JL43" s="215" t="n"/>
      <c r="JM43" s="215" t="n"/>
      <c r="JN43" s="215" t="n"/>
      <c r="JO43" s="215" t="n"/>
      <c r="JP43" s="215" t="n"/>
      <c r="JQ43" s="215" t="n"/>
      <c r="JR43" s="215" t="n"/>
      <c r="JS43" s="215" t="n"/>
      <c r="JT43" s="215" t="n"/>
      <c r="JU43" s="215" t="n"/>
      <c r="JV43" s="215" t="n"/>
      <c r="JW43" s="215" t="n"/>
      <c r="JX43" s="215" t="n"/>
      <c r="JY43" s="215" t="n"/>
      <c r="JZ43" s="215" t="n"/>
      <c r="KA43" s="215" t="n"/>
      <c r="KB43" s="215" t="n"/>
      <c r="KC43" s="215" t="n"/>
      <c r="KD43" s="215" t="n"/>
      <c r="KE43" s="215" t="n"/>
      <c r="KF43" s="215" t="n"/>
      <c r="KG43" s="215" t="n"/>
      <c r="KH43" s="215" t="n"/>
      <c r="KI43" s="215" t="n"/>
      <c r="KJ43" s="215" t="n"/>
      <c r="KK43" s="215" t="n"/>
      <c r="KL43" s="215" t="n"/>
      <c r="KM43" s="215" t="n"/>
      <c r="KN43" s="215" t="n"/>
      <c r="KO43" s="215" t="n"/>
      <c r="KP43" s="215" t="n"/>
      <c r="KQ43" s="215" t="n"/>
      <c r="KR43" s="215" t="n"/>
      <c r="KS43" s="215" t="n"/>
      <c r="KT43" s="215" t="n"/>
      <c r="KU43" s="215" t="n"/>
      <c r="KV43" s="215" t="n"/>
      <c r="KW43" s="215" t="n"/>
      <c r="KX43" s="215" t="n"/>
      <c r="KY43" s="215" t="n"/>
      <c r="KZ43" s="215" t="n"/>
      <c r="LA43" s="215" t="n"/>
      <c r="LB43" s="215" t="n"/>
      <c r="LC43" s="215" t="n"/>
      <c r="LD43" s="215" t="n"/>
      <c r="LE43" s="215" t="n"/>
      <c r="LF43" s="215" t="n"/>
      <c r="LG43" s="215" t="n"/>
      <c r="LH43" s="215" t="n"/>
      <c r="LI43" s="215" t="n"/>
      <c r="LJ43" s="215" t="n"/>
      <c r="LK43" s="215" t="n"/>
      <c r="LL43" s="215" t="n"/>
      <c r="LM43" s="215" t="n"/>
      <c r="LN43" s="215" t="n"/>
      <c r="LO43" s="215" t="n"/>
      <c r="LP43" s="215" t="n"/>
      <c r="LQ43" s="215" t="n"/>
      <c r="LR43" s="215" t="n"/>
      <c r="LS43" s="215" t="n"/>
      <c r="LT43" s="215" t="n"/>
      <c r="LU43" s="215" t="n"/>
      <c r="LV43" s="215" t="n"/>
      <c r="LW43" s="215" t="n"/>
      <c r="LX43" s="215" t="n"/>
      <c r="LY43" s="215" t="n"/>
      <c r="LZ43" s="215" t="n"/>
      <c r="MA43" s="215" t="n"/>
      <c r="MB43" s="215" t="n"/>
      <c r="MC43" s="215" t="n"/>
      <c r="MD43" s="215" t="n"/>
      <c r="ME43" s="215" t="n"/>
      <c r="MF43" s="215" t="n"/>
      <c r="MG43" s="215" t="n"/>
      <c r="MH43" s="215" t="n"/>
      <c r="MI43" s="215" t="n"/>
      <c r="MJ43" s="215" t="n"/>
      <c r="MK43" s="215" t="n"/>
      <c r="ML43" s="215" t="n"/>
      <c r="MM43" s="215" t="n"/>
      <c r="MN43" s="215" t="n"/>
      <c r="MO43" s="215" t="n"/>
      <c r="MP43" s="215" t="n"/>
      <c r="MQ43" s="215" t="n"/>
      <c r="MR43" s="215" t="n"/>
      <c r="MS43" s="215" t="n"/>
      <c r="MT43" s="215" t="n"/>
      <c r="MU43" s="215" t="n"/>
      <c r="MV43" s="215" t="n"/>
      <c r="MW43" s="215" t="n"/>
      <c r="MX43" s="215" t="n"/>
      <c r="MY43" s="215" t="n"/>
      <c r="MZ43" s="215" t="n"/>
      <c r="NA43" s="215" t="n"/>
      <c r="NB43" s="215" t="n"/>
      <c r="NC43" s="216">
        <f>SUM(B43:NB43)</f>
        <v/>
      </c>
    </row>
    <row r="44" ht="14.25" customHeight="1" s="166">
      <c r="A44" s="226" t="inlineStr">
        <is>
          <t>Akira Back Restaurant (124KW)</t>
        </is>
      </c>
      <c r="B44" s="215" t="n"/>
      <c r="C44" s="215" t="n"/>
      <c r="D44" s="215" t="n"/>
      <c r="E44" s="215" t="n"/>
      <c r="F44" s="215" t="n"/>
      <c r="G44" s="215" t="n"/>
      <c r="H44" s="215" t="n"/>
      <c r="I44" s="215" t="n"/>
      <c r="J44" s="215" t="n"/>
      <c r="K44" s="215" t="n"/>
      <c r="L44" s="215" t="n"/>
      <c r="M44" s="215" t="n"/>
      <c r="N44" s="215" t="n"/>
      <c r="O44" s="215" t="n"/>
      <c r="P44" s="215" t="n"/>
      <c r="Q44" s="215" t="n"/>
      <c r="R44" s="215" t="n"/>
      <c r="S44" s="215" t="n"/>
      <c r="T44" s="215" t="n"/>
      <c r="U44" s="215" t="n"/>
      <c r="V44" s="215" t="n"/>
      <c r="W44" s="215" t="n"/>
      <c r="X44" s="215" t="n"/>
      <c r="Y44" s="215" t="n"/>
      <c r="Z44" s="215" t="n"/>
      <c r="AA44" s="215" t="n"/>
      <c r="AB44" s="215" t="n"/>
      <c r="AC44" s="215" t="n"/>
      <c r="AD44" s="215" t="n"/>
      <c r="AE44" s="215" t="n"/>
      <c r="AF44" s="215" t="n"/>
      <c r="AG44" s="215" t="n"/>
      <c r="AH44" s="215" t="n"/>
      <c r="AI44" s="215" t="n"/>
      <c r="AJ44" s="215" t="n"/>
      <c r="AK44" s="215" t="n"/>
      <c r="AL44" s="215" t="n"/>
      <c r="AM44" s="215" t="n"/>
      <c r="AN44" s="215" t="n"/>
      <c r="AO44" s="215" t="n"/>
      <c r="AP44" s="215" t="n"/>
      <c r="AQ44" s="215" t="n"/>
      <c r="AR44" s="215" t="n"/>
      <c r="AS44" s="215" t="n"/>
      <c r="AT44" s="215" t="n"/>
      <c r="AU44" s="215" t="n"/>
      <c r="AV44" s="215" t="n"/>
      <c r="AW44" s="215" t="n"/>
      <c r="AX44" s="215" t="n"/>
      <c r="AY44" s="215" t="n"/>
      <c r="AZ44" s="215" t="n"/>
      <c r="BA44" s="215" t="n"/>
      <c r="BB44" s="215" t="n"/>
      <c r="BC44" s="215" t="n"/>
      <c r="BD44" s="215" t="n"/>
      <c r="BE44" s="215" t="n"/>
      <c r="BF44" s="215" t="n"/>
      <c r="BG44" s="215" t="n"/>
      <c r="BH44" s="215" t="n"/>
      <c r="BI44" s="215" t="n"/>
      <c r="BJ44" s="215" t="n"/>
      <c r="BK44" s="215" t="n"/>
      <c r="BL44" s="215" t="n"/>
      <c r="BM44" s="215" t="n"/>
      <c r="BN44" s="215" t="n"/>
      <c r="BO44" s="215" t="n"/>
      <c r="BP44" s="215" t="n"/>
      <c r="BQ44" s="215" t="n"/>
      <c r="BR44" s="215" t="n"/>
      <c r="BS44" s="215" t="n"/>
      <c r="BT44" s="215" t="n"/>
      <c r="BU44" s="215" t="n"/>
      <c r="BV44" s="215" t="n"/>
      <c r="BW44" s="215" t="n"/>
      <c r="BX44" s="215" t="n"/>
      <c r="BY44" s="215" t="n"/>
      <c r="BZ44" s="215" t="n"/>
      <c r="CA44" s="215" t="n"/>
      <c r="CB44" s="215" t="n"/>
      <c r="CC44" s="215" t="n"/>
      <c r="CD44" s="215" t="n"/>
      <c r="CE44" s="215" t="n"/>
      <c r="CF44" s="215" t="n"/>
      <c r="CG44" s="215" t="n"/>
      <c r="CH44" s="215" t="n"/>
      <c r="CI44" s="215" t="n"/>
      <c r="CJ44" s="215" t="n"/>
      <c r="CK44" s="215" t="n"/>
      <c r="CL44" s="215" t="n"/>
      <c r="CM44" s="215" t="n"/>
      <c r="CN44" s="215" t="n"/>
      <c r="CO44" s="215" t="n"/>
      <c r="CP44" s="215" t="n"/>
      <c r="CQ44" s="215" t="n"/>
      <c r="CR44" s="215" t="n"/>
      <c r="CS44" s="215" t="n"/>
      <c r="CT44" s="215" t="n"/>
      <c r="CU44" s="215" t="n"/>
      <c r="CV44" s="215" t="n"/>
      <c r="CW44" s="215" t="n"/>
      <c r="CX44" s="215" t="n"/>
      <c r="CY44" s="215" t="n"/>
      <c r="CZ44" s="215" t="n"/>
      <c r="DA44" s="215" t="n"/>
      <c r="DB44" s="215" t="n"/>
      <c r="DC44" s="215" t="n"/>
      <c r="DD44" s="215" t="n"/>
      <c r="DE44" s="215" t="n"/>
      <c r="DF44" s="215" t="n"/>
      <c r="DG44" s="215" t="n"/>
      <c r="DH44" s="215" t="n"/>
      <c r="DI44" s="215" t="n"/>
      <c r="DJ44" s="215" t="n"/>
      <c r="DK44" s="215" t="n"/>
      <c r="DL44" s="215" t="n"/>
      <c r="DM44" s="215" t="n"/>
      <c r="DN44" s="215" t="n"/>
      <c r="DO44" s="215" t="n"/>
      <c r="DP44" s="215" t="n"/>
      <c r="DQ44" s="215" t="n"/>
      <c r="DR44" s="215" t="n"/>
      <c r="DS44" s="215" t="n"/>
      <c r="DT44" s="215" t="n"/>
      <c r="DU44" s="215" t="n"/>
      <c r="DV44" s="215" t="n"/>
      <c r="DW44" s="215" t="n"/>
      <c r="DX44" s="215" t="n"/>
      <c r="DY44" s="215" t="n"/>
      <c r="DZ44" s="215" t="n"/>
      <c r="EA44" s="215" t="n"/>
      <c r="EB44" s="215" t="n"/>
      <c r="EC44" s="215" t="n"/>
      <c r="ED44" s="215" t="n"/>
      <c r="EE44" s="215" t="n"/>
      <c r="EF44" s="215" t="n"/>
      <c r="EG44" s="215" t="n"/>
      <c r="EH44" s="215" t="n"/>
      <c r="EI44" s="215" t="n"/>
      <c r="EJ44" s="215" t="n"/>
      <c r="EK44" s="215" t="n"/>
      <c r="EL44" s="215" t="n"/>
      <c r="EM44" s="215" t="n"/>
      <c r="EN44" s="215" t="n"/>
      <c r="EO44" s="215" t="n"/>
      <c r="EP44" s="215" t="n"/>
      <c r="EQ44" s="215" t="n"/>
      <c r="ER44" s="215" t="n"/>
      <c r="ES44" s="215" t="n"/>
      <c r="ET44" s="215" t="n"/>
      <c r="EU44" s="215" t="n"/>
      <c r="EV44" s="215" t="n"/>
      <c r="EW44" s="215" t="n"/>
      <c r="EX44" s="215" t="n"/>
      <c r="EY44" s="215" t="n"/>
      <c r="EZ44" s="215" t="n"/>
      <c r="FA44" s="215" t="n"/>
      <c r="FB44" s="215" t="n"/>
      <c r="FC44" s="215" t="n"/>
      <c r="FD44" s="215" t="n"/>
      <c r="FE44" s="215" t="n"/>
      <c r="FF44" s="215" t="n"/>
      <c r="FG44" s="215" t="n"/>
      <c r="FH44" s="215" t="n"/>
      <c r="FI44" s="215" t="n"/>
      <c r="FJ44" s="215" t="n"/>
      <c r="FK44" s="215" t="n"/>
      <c r="FL44" s="215" t="n"/>
      <c r="FM44" s="215" t="n"/>
      <c r="FN44" s="215" t="n"/>
      <c r="FO44" s="215" t="n"/>
      <c r="FP44" s="215" t="n"/>
      <c r="FQ44" s="215" t="n"/>
      <c r="FR44" s="215" t="n"/>
      <c r="FS44" s="215" t="n"/>
      <c r="FT44" s="215" t="n"/>
      <c r="FU44" s="215" t="n"/>
      <c r="FV44" s="215" t="n"/>
      <c r="FW44" s="215" t="n"/>
      <c r="FX44" s="215" t="n"/>
      <c r="FY44" s="215" t="n"/>
      <c r="FZ44" s="215" t="n"/>
      <c r="GA44" s="215" t="n"/>
      <c r="GB44" s="215" t="n"/>
      <c r="GC44" s="215" t="n"/>
      <c r="GD44" s="215" t="n"/>
      <c r="GE44" s="215" t="n"/>
      <c r="GF44" s="215" t="n"/>
      <c r="GG44" s="215" t="n"/>
      <c r="GH44" s="215" t="n"/>
      <c r="GI44" s="215" t="n"/>
      <c r="GJ44" s="215" t="n"/>
      <c r="GK44" s="215" t="n"/>
      <c r="GL44" s="215" t="n"/>
      <c r="GM44" s="215" t="n"/>
      <c r="GN44" s="215" t="n"/>
      <c r="GO44" s="215" t="n"/>
      <c r="GP44" s="215" t="n"/>
      <c r="GQ44" s="215" t="n"/>
      <c r="GR44" s="215" t="n"/>
      <c r="GS44" s="215" t="n"/>
      <c r="GT44" s="215" t="n"/>
      <c r="GU44" s="215" t="n"/>
      <c r="GV44" s="215" t="n"/>
      <c r="GW44" s="215" t="n"/>
      <c r="GX44" s="215" t="n"/>
      <c r="GY44" s="215" t="n"/>
      <c r="GZ44" s="215" t="n"/>
      <c r="HA44" s="215" t="n"/>
      <c r="HB44" s="215" t="n"/>
      <c r="HC44" s="215" t="n"/>
      <c r="HD44" s="215" t="n"/>
      <c r="HE44" s="215" t="n"/>
      <c r="HF44" s="215" t="n"/>
      <c r="HG44" s="215" t="n"/>
      <c r="HH44" s="215" t="n"/>
      <c r="HI44" s="215" t="n"/>
      <c r="HJ44" s="215" t="n"/>
      <c r="HK44" s="215" t="n"/>
      <c r="HL44" s="215" t="n"/>
      <c r="HM44" s="215" t="n"/>
      <c r="HN44" s="215" t="n"/>
      <c r="HO44" s="215" t="n"/>
      <c r="HP44" s="215" t="n"/>
      <c r="HQ44" s="215" t="n"/>
      <c r="HR44" s="215" t="n"/>
      <c r="HS44" s="215" t="n"/>
      <c r="HT44" s="215" t="n"/>
      <c r="HU44" s="215" t="n"/>
      <c r="HV44" s="215" t="n"/>
      <c r="HW44" s="215" t="n"/>
      <c r="HX44" s="215" t="n"/>
      <c r="HY44" s="215" t="n"/>
      <c r="HZ44" s="215" t="n"/>
      <c r="IA44" s="215" t="n"/>
      <c r="IB44" s="215" t="n"/>
      <c r="IC44" s="215" t="n"/>
      <c r="ID44" s="215" t="n"/>
      <c r="IE44" s="215" t="n"/>
      <c r="IF44" s="215" t="n"/>
      <c r="IG44" s="215" t="n"/>
      <c r="IH44" s="215" t="n"/>
      <c r="II44" s="215" t="n"/>
      <c r="IJ44" s="215" t="n"/>
      <c r="IK44" s="215" t="n"/>
      <c r="IL44" s="215" t="n"/>
      <c r="IM44" s="215" t="n"/>
      <c r="IN44" s="215" t="n"/>
      <c r="IO44" s="215" t="n"/>
      <c r="IP44" s="215" t="n"/>
      <c r="IQ44" s="215" t="n"/>
      <c r="IR44" s="215" t="n"/>
      <c r="IS44" s="215" t="n"/>
      <c r="IT44" s="215" t="n"/>
      <c r="IU44" s="215" t="n"/>
      <c r="IV44" s="215" t="n"/>
      <c r="IW44" s="215" t="n"/>
      <c r="IX44" s="215" t="n"/>
      <c r="IY44" s="215" t="n"/>
      <c r="IZ44" s="215" t="n"/>
      <c r="JA44" s="215" t="n"/>
      <c r="JB44" s="215" t="n"/>
      <c r="JC44" s="215" t="n"/>
      <c r="JD44" s="215" t="n"/>
      <c r="JE44" s="215" t="n"/>
      <c r="JF44" s="215" t="n"/>
      <c r="JG44" s="215" t="n"/>
      <c r="JH44" s="215" t="n"/>
      <c r="JI44" s="215" t="n"/>
      <c r="JJ44" s="215" t="n"/>
      <c r="JK44" s="215" t="n"/>
      <c r="JL44" s="215" t="n"/>
      <c r="JM44" s="215" t="n"/>
      <c r="JN44" s="215" t="n"/>
      <c r="JO44" s="215" t="n"/>
      <c r="JP44" s="215" t="n"/>
      <c r="JQ44" s="215" t="n"/>
      <c r="JR44" s="215" t="n"/>
      <c r="JS44" s="215" t="n"/>
      <c r="JT44" s="215" t="n"/>
      <c r="JU44" s="215" t="n"/>
      <c r="JV44" s="215" t="n"/>
      <c r="JW44" s="215" t="n"/>
      <c r="JX44" s="215" t="n"/>
      <c r="JY44" s="215" t="n"/>
      <c r="JZ44" s="215" t="n"/>
      <c r="KA44" s="215" t="n"/>
      <c r="KB44" s="215" t="n"/>
      <c r="KC44" s="215" t="n"/>
      <c r="KD44" s="215" t="n"/>
      <c r="KE44" s="215" t="n"/>
      <c r="KF44" s="215" t="n"/>
      <c r="KG44" s="215" t="n"/>
      <c r="KH44" s="215" t="n"/>
      <c r="KI44" s="215" t="n"/>
      <c r="KJ44" s="215" t="n"/>
      <c r="KK44" s="215" t="n"/>
      <c r="KL44" s="215" t="n"/>
      <c r="KM44" s="215" t="n"/>
      <c r="KN44" s="215" t="n"/>
      <c r="KO44" s="215" t="n"/>
      <c r="KP44" s="215" t="n"/>
      <c r="KQ44" s="215" t="n"/>
      <c r="KR44" s="215" t="n"/>
      <c r="KS44" s="215" t="n"/>
      <c r="KT44" s="215" t="n"/>
      <c r="KU44" s="215" t="n"/>
      <c r="KV44" s="215" t="n"/>
      <c r="KW44" s="215" t="n"/>
      <c r="KX44" s="215" t="n"/>
      <c r="KY44" s="215" t="n"/>
      <c r="KZ44" s="215" t="n"/>
      <c r="LA44" s="215" t="n"/>
      <c r="LB44" s="215" t="n"/>
      <c r="LC44" s="215" t="n"/>
      <c r="LD44" s="215" t="n"/>
      <c r="LE44" s="215" t="n"/>
      <c r="LF44" s="215" t="n"/>
      <c r="LG44" s="215" t="n"/>
      <c r="LH44" s="215" t="n"/>
      <c r="LI44" s="215" t="n"/>
      <c r="LJ44" s="215" t="n"/>
      <c r="LK44" s="215" t="n"/>
      <c r="LL44" s="215" t="n"/>
      <c r="LM44" s="215" t="n"/>
      <c r="LN44" s="215" t="n"/>
      <c r="LO44" s="215" t="n"/>
      <c r="LP44" s="215" t="n"/>
      <c r="LQ44" s="215" t="n"/>
      <c r="LR44" s="215" t="n"/>
      <c r="LS44" s="215" t="n"/>
      <c r="LT44" s="215" t="n"/>
      <c r="LU44" s="215" t="n"/>
      <c r="LV44" s="215" t="n"/>
      <c r="LW44" s="215" t="n"/>
      <c r="LX44" s="215" t="n"/>
      <c r="LY44" s="215" t="n"/>
      <c r="LZ44" s="215" t="n"/>
      <c r="MA44" s="215" t="n"/>
      <c r="MB44" s="215" t="n"/>
      <c r="MC44" s="215" t="n"/>
      <c r="MD44" s="215" t="n"/>
      <c r="ME44" s="215" t="n"/>
      <c r="MF44" s="215" t="n"/>
      <c r="MG44" s="215" t="n"/>
      <c r="MH44" s="215" t="n"/>
      <c r="MI44" s="215" t="n"/>
      <c r="MJ44" s="215" t="n"/>
      <c r="MK44" s="215" t="n"/>
      <c r="ML44" s="215" t="n"/>
      <c r="MM44" s="215" t="n"/>
      <c r="MN44" s="215" t="n"/>
      <c r="MO44" s="215" t="n"/>
      <c r="MP44" s="215" t="n"/>
      <c r="MQ44" s="215" t="n"/>
      <c r="MR44" s="215" t="n"/>
      <c r="MS44" s="215" t="n"/>
      <c r="MT44" s="215" t="n"/>
      <c r="MU44" s="215" t="n"/>
      <c r="MV44" s="215" t="n"/>
      <c r="MW44" s="215" t="n"/>
      <c r="MX44" s="215" t="n"/>
      <c r="MY44" s="215" t="n"/>
      <c r="MZ44" s="215" t="n"/>
      <c r="NA44" s="215" t="n"/>
      <c r="NB44" s="215" t="n"/>
      <c r="NC44" s="216">
        <f>SUM(B44:NB44)</f>
        <v/>
      </c>
    </row>
    <row r="45" ht="14.25" customHeight="1" s="166">
      <c r="A45" s="226" t="inlineStr">
        <is>
          <t>Charcoal Restaurant (90KW)</t>
        </is>
      </c>
      <c r="B45" s="215" t="n"/>
      <c r="C45" s="215" t="n"/>
      <c r="D45" s="215" t="n"/>
      <c r="E45" s="215" t="n"/>
      <c r="F45" s="215" t="n"/>
      <c r="G45" s="215" t="n"/>
      <c r="H45" s="215" t="n"/>
      <c r="I45" s="215" t="n"/>
      <c r="J45" s="215" t="n"/>
      <c r="K45" s="215" t="n"/>
      <c r="L45" s="215" t="n"/>
      <c r="M45" s="215" t="n"/>
      <c r="N45" s="215" t="n"/>
      <c r="O45" s="215" t="n"/>
      <c r="P45" s="215" t="n"/>
      <c r="Q45" s="215" t="n"/>
      <c r="R45" s="215" t="n"/>
      <c r="S45" s="215" t="n"/>
      <c r="T45" s="215" t="n"/>
      <c r="U45" s="215" t="n"/>
      <c r="V45" s="215" t="n"/>
      <c r="W45" s="215" t="n"/>
      <c r="X45" s="215" t="n"/>
      <c r="Y45" s="215" t="n"/>
      <c r="Z45" s="215" t="n"/>
      <c r="AA45" s="215" t="n"/>
      <c r="AB45" s="215" t="n"/>
      <c r="AC45" s="215" t="n"/>
      <c r="AD45" s="215" t="n"/>
      <c r="AE45" s="215" t="n"/>
      <c r="AF45" s="215" t="n"/>
      <c r="AG45" s="215" t="n"/>
      <c r="AH45" s="215" t="n"/>
      <c r="AI45" s="215" t="n"/>
      <c r="AJ45" s="215" t="n"/>
      <c r="AK45" s="215" t="n"/>
      <c r="AL45" s="215" t="n"/>
      <c r="AM45" s="215" t="n"/>
      <c r="AN45" s="215" t="n"/>
      <c r="AO45" s="215" t="n"/>
      <c r="AP45" s="215" t="n"/>
      <c r="AQ45" s="215" t="n"/>
      <c r="AR45" s="215" t="n"/>
      <c r="AS45" s="215" t="n"/>
      <c r="AT45" s="215" t="n"/>
      <c r="AU45" s="215" t="n"/>
      <c r="AV45" s="215" t="n"/>
      <c r="AW45" s="215" t="n"/>
      <c r="AX45" s="215" t="n"/>
      <c r="AY45" s="215" t="n"/>
      <c r="AZ45" s="215" t="n"/>
      <c r="BA45" s="215" t="n"/>
      <c r="BB45" s="215" t="n"/>
      <c r="BC45" s="215" t="n"/>
      <c r="BD45" s="215" t="n"/>
      <c r="BE45" s="215" t="n"/>
      <c r="BF45" s="215" t="n"/>
      <c r="BG45" s="215" t="n"/>
      <c r="BH45" s="215" t="n"/>
      <c r="BI45" s="215" t="n"/>
      <c r="BJ45" s="215" t="n"/>
      <c r="BK45" s="215" t="n"/>
      <c r="BL45" s="215" t="n"/>
      <c r="BM45" s="215" t="n"/>
      <c r="BN45" s="215" t="n"/>
      <c r="BO45" s="215" t="n"/>
      <c r="BP45" s="215" t="n"/>
      <c r="BQ45" s="215" t="n"/>
      <c r="BR45" s="215" t="n"/>
      <c r="BS45" s="215" t="n"/>
      <c r="BT45" s="215" t="n"/>
      <c r="BU45" s="215" t="n"/>
      <c r="BV45" s="215" t="n"/>
      <c r="BW45" s="215" t="n"/>
      <c r="BX45" s="215" t="n"/>
      <c r="BY45" s="215" t="n"/>
      <c r="BZ45" s="215" t="n"/>
      <c r="CA45" s="215" t="n"/>
      <c r="CB45" s="215" t="n"/>
      <c r="CC45" s="215" t="n"/>
      <c r="CD45" s="215" t="n"/>
      <c r="CE45" s="215" t="n"/>
      <c r="CF45" s="215" t="n"/>
      <c r="CG45" s="215" t="n"/>
      <c r="CH45" s="215" t="n"/>
      <c r="CI45" s="215" t="n"/>
      <c r="CJ45" s="215" t="n"/>
      <c r="CK45" s="215" t="n"/>
      <c r="CL45" s="215" t="n"/>
      <c r="CM45" s="215" t="n"/>
      <c r="CN45" s="215" t="n"/>
      <c r="CO45" s="215" t="n"/>
      <c r="CP45" s="215" t="n"/>
      <c r="CQ45" s="215" t="n"/>
      <c r="CR45" s="215" t="n"/>
      <c r="CS45" s="215" t="n"/>
      <c r="CT45" s="215" t="n"/>
      <c r="CU45" s="215" t="n"/>
      <c r="CV45" s="215" t="n"/>
      <c r="CW45" s="215" t="n"/>
      <c r="CX45" s="215" t="n"/>
      <c r="CY45" s="215" t="n"/>
      <c r="CZ45" s="215" t="n"/>
      <c r="DA45" s="215" t="n"/>
      <c r="DB45" s="215" t="n"/>
      <c r="DC45" s="215" t="n"/>
      <c r="DD45" s="215" t="n"/>
      <c r="DE45" s="215" t="n"/>
      <c r="DF45" s="215" t="n"/>
      <c r="DG45" s="215" t="n"/>
      <c r="DH45" s="215" t="n"/>
      <c r="DI45" s="215" t="n"/>
      <c r="DJ45" s="215" t="n"/>
      <c r="DK45" s="215" t="n"/>
      <c r="DL45" s="215" t="n"/>
      <c r="DM45" s="215" t="n"/>
      <c r="DN45" s="215" t="n"/>
      <c r="DO45" s="215" t="n"/>
      <c r="DP45" s="215" t="n"/>
      <c r="DQ45" s="215" t="n"/>
      <c r="DR45" s="215" t="n"/>
      <c r="DS45" s="215" t="n"/>
      <c r="DT45" s="215" t="n"/>
      <c r="DU45" s="215" t="n"/>
      <c r="DV45" s="215" t="n"/>
      <c r="DW45" s="215" t="n"/>
      <c r="DX45" s="215" t="n"/>
      <c r="DY45" s="215" t="n"/>
      <c r="DZ45" s="215" t="n"/>
      <c r="EA45" s="215" t="n"/>
      <c r="EB45" s="215" t="n"/>
      <c r="EC45" s="215" t="n"/>
      <c r="ED45" s="215" t="n"/>
      <c r="EE45" s="215" t="n"/>
      <c r="EF45" s="215" t="n"/>
      <c r="EG45" s="215" t="n"/>
      <c r="EH45" s="215" t="n"/>
      <c r="EI45" s="215" t="n"/>
      <c r="EJ45" s="215" t="n"/>
      <c r="EK45" s="215" t="n"/>
      <c r="EL45" s="215" t="n"/>
      <c r="EM45" s="215" t="n"/>
      <c r="EN45" s="215" t="n"/>
      <c r="EO45" s="215" t="n"/>
      <c r="EP45" s="215" t="n"/>
      <c r="EQ45" s="215" t="n"/>
      <c r="ER45" s="215" t="n"/>
      <c r="ES45" s="215" t="n"/>
      <c r="ET45" s="215" t="n"/>
      <c r="EU45" s="215" t="n"/>
      <c r="EV45" s="215" t="n"/>
      <c r="EW45" s="215" t="n"/>
      <c r="EX45" s="215" t="n"/>
      <c r="EY45" s="215" t="n"/>
      <c r="EZ45" s="215" t="n"/>
      <c r="FA45" s="215" t="n"/>
      <c r="FB45" s="215" t="n"/>
      <c r="FC45" s="215" t="n"/>
      <c r="FD45" s="215" t="n"/>
      <c r="FE45" s="215" t="n"/>
      <c r="FF45" s="215" t="n"/>
      <c r="FG45" s="215" t="n"/>
      <c r="FH45" s="215" t="n"/>
      <c r="FI45" s="215" t="n"/>
      <c r="FJ45" s="215" t="n"/>
      <c r="FK45" s="215" t="n"/>
      <c r="FL45" s="215" t="n"/>
      <c r="FM45" s="215" t="n"/>
      <c r="FN45" s="215" t="n"/>
      <c r="FO45" s="215" t="n"/>
      <c r="FP45" s="215" t="n"/>
      <c r="FQ45" s="215" t="n"/>
      <c r="FR45" s="215" t="n"/>
      <c r="FS45" s="215" t="n"/>
      <c r="FT45" s="215" t="n"/>
      <c r="FU45" s="215" t="n"/>
      <c r="FV45" s="215" t="n"/>
      <c r="FW45" s="215" t="n"/>
      <c r="FX45" s="215" t="n"/>
      <c r="FY45" s="215" t="n"/>
      <c r="FZ45" s="215" t="n"/>
      <c r="GA45" s="215" t="n"/>
      <c r="GB45" s="215" t="n"/>
      <c r="GC45" s="215" t="n"/>
      <c r="GD45" s="215" t="n"/>
      <c r="GE45" s="215" t="n"/>
      <c r="GF45" s="215" t="n"/>
      <c r="GG45" s="215" t="n"/>
      <c r="GH45" s="215" t="n"/>
      <c r="GI45" s="215" t="n"/>
      <c r="GJ45" s="215" t="n"/>
      <c r="GK45" s="215" t="n"/>
      <c r="GL45" s="215" t="n"/>
      <c r="GM45" s="215" t="n"/>
      <c r="GN45" s="215" t="n"/>
      <c r="GO45" s="215" t="n"/>
      <c r="GP45" s="215" t="n"/>
      <c r="GQ45" s="215" t="n"/>
      <c r="GR45" s="215" t="n"/>
      <c r="GS45" s="215" t="n"/>
      <c r="GT45" s="215" t="n"/>
      <c r="GU45" s="215" t="n"/>
      <c r="GV45" s="215" t="n"/>
      <c r="GW45" s="215" t="n"/>
      <c r="GX45" s="215" t="n"/>
      <c r="GY45" s="215" t="n"/>
      <c r="GZ45" s="215" t="n"/>
      <c r="HA45" s="215" t="n"/>
      <c r="HB45" s="215" t="n"/>
      <c r="HC45" s="215" t="n"/>
      <c r="HD45" s="215" t="n"/>
      <c r="HE45" s="215" t="n"/>
      <c r="HF45" s="215" t="n"/>
      <c r="HG45" s="215" t="n"/>
      <c r="HH45" s="215" t="n"/>
      <c r="HI45" s="215" t="n"/>
      <c r="HJ45" s="215" t="n"/>
      <c r="HK45" s="215" t="n"/>
      <c r="HL45" s="215" t="n"/>
      <c r="HM45" s="215" t="n"/>
      <c r="HN45" s="215" t="n"/>
      <c r="HO45" s="215" t="n"/>
      <c r="HP45" s="215" t="n"/>
      <c r="HQ45" s="215" t="n"/>
      <c r="HR45" s="215" t="n"/>
      <c r="HS45" s="215" t="n"/>
      <c r="HT45" s="215" t="n"/>
      <c r="HU45" s="215" t="n"/>
      <c r="HV45" s="215" t="n"/>
      <c r="HW45" s="215" t="n"/>
      <c r="HX45" s="215" t="n"/>
      <c r="HY45" s="215" t="n"/>
      <c r="HZ45" s="215" t="n"/>
      <c r="IA45" s="215" t="n"/>
      <c r="IB45" s="215" t="n"/>
      <c r="IC45" s="215" t="n"/>
      <c r="ID45" s="215" t="n"/>
      <c r="IE45" s="215" t="n"/>
      <c r="IF45" s="215" t="n"/>
      <c r="IG45" s="215" t="n"/>
      <c r="IH45" s="215" t="n"/>
      <c r="II45" s="215" t="n"/>
      <c r="IJ45" s="215" t="n"/>
      <c r="IK45" s="215" t="n"/>
      <c r="IL45" s="215" t="n"/>
      <c r="IM45" s="215" t="n"/>
      <c r="IN45" s="215" t="n"/>
      <c r="IO45" s="215" t="n"/>
      <c r="IP45" s="215" t="n"/>
      <c r="IQ45" s="215" t="n"/>
      <c r="IR45" s="215" t="n"/>
      <c r="IS45" s="215" t="n"/>
      <c r="IT45" s="215" t="n"/>
      <c r="IU45" s="215" t="n"/>
      <c r="IV45" s="215" t="n"/>
      <c r="IW45" s="215" t="n"/>
      <c r="IX45" s="215" t="n"/>
      <c r="IY45" s="215" t="n"/>
      <c r="IZ45" s="215" t="n"/>
      <c r="JA45" s="215" t="n"/>
      <c r="JB45" s="215" t="n"/>
      <c r="JC45" s="215" t="n"/>
      <c r="JD45" s="215" t="n"/>
      <c r="JE45" s="215" t="n"/>
      <c r="JF45" s="215" t="n"/>
      <c r="JG45" s="215" t="n"/>
      <c r="JH45" s="215" t="n"/>
      <c r="JI45" s="215" t="n"/>
      <c r="JJ45" s="215" t="n"/>
      <c r="JK45" s="215" t="n"/>
      <c r="JL45" s="215" t="n"/>
      <c r="JM45" s="215" t="n"/>
      <c r="JN45" s="215" t="n"/>
      <c r="JO45" s="215" t="n"/>
      <c r="JP45" s="215" t="n"/>
      <c r="JQ45" s="215" t="n"/>
      <c r="JR45" s="215" t="n"/>
      <c r="JS45" s="215" t="n"/>
      <c r="JT45" s="215" t="n"/>
      <c r="JU45" s="215" t="n"/>
      <c r="JV45" s="215" t="n"/>
      <c r="JW45" s="215" t="n"/>
      <c r="JX45" s="215" t="n"/>
      <c r="JY45" s="215" t="n"/>
      <c r="JZ45" s="215" t="n"/>
      <c r="KA45" s="215" t="n"/>
      <c r="KB45" s="215" t="n"/>
      <c r="KC45" s="215" t="n"/>
      <c r="KD45" s="215" t="n"/>
      <c r="KE45" s="215" t="n"/>
      <c r="KF45" s="215" t="n"/>
      <c r="KG45" s="215" t="n"/>
      <c r="KH45" s="215" t="n"/>
      <c r="KI45" s="215" t="n"/>
      <c r="KJ45" s="215" t="n"/>
      <c r="KK45" s="215" t="n"/>
      <c r="KL45" s="215" t="n"/>
      <c r="KM45" s="215" t="n"/>
      <c r="KN45" s="215" t="n"/>
      <c r="KO45" s="215" t="n"/>
      <c r="KP45" s="215" t="n"/>
      <c r="KQ45" s="215" t="n"/>
      <c r="KR45" s="215" t="n"/>
      <c r="KS45" s="215" t="n"/>
      <c r="KT45" s="215" t="n"/>
      <c r="KU45" s="215" t="n"/>
      <c r="KV45" s="215" t="n"/>
      <c r="KW45" s="215" t="n"/>
      <c r="KX45" s="215" t="n"/>
      <c r="KY45" s="215" t="n"/>
      <c r="KZ45" s="215" t="n"/>
      <c r="LA45" s="215" t="n"/>
      <c r="LB45" s="215" t="n"/>
      <c r="LC45" s="215" t="n"/>
      <c r="LD45" s="215" t="n"/>
      <c r="LE45" s="215" t="n"/>
      <c r="LF45" s="215" t="n"/>
      <c r="LG45" s="215" t="n"/>
      <c r="LH45" s="215" t="n"/>
      <c r="LI45" s="215" t="n"/>
      <c r="LJ45" s="215" t="n"/>
      <c r="LK45" s="215" t="n"/>
      <c r="LL45" s="215" t="n"/>
      <c r="LM45" s="215" t="n"/>
      <c r="LN45" s="215" t="n"/>
      <c r="LO45" s="215" t="n"/>
      <c r="LP45" s="215" t="n"/>
      <c r="LQ45" s="215" t="n"/>
      <c r="LR45" s="215" t="n"/>
      <c r="LS45" s="215" t="n"/>
      <c r="LT45" s="215" t="n"/>
      <c r="LU45" s="215" t="n"/>
      <c r="LV45" s="215" t="n"/>
      <c r="LW45" s="215" t="n"/>
      <c r="LX45" s="215" t="n"/>
      <c r="LY45" s="215" t="n"/>
      <c r="LZ45" s="215" t="n"/>
      <c r="MA45" s="215" t="n"/>
      <c r="MB45" s="215" t="n"/>
      <c r="MC45" s="215" t="n"/>
      <c r="MD45" s="215" t="n"/>
      <c r="ME45" s="215" t="n"/>
      <c r="MF45" s="215" t="n"/>
      <c r="MG45" s="215" t="n"/>
      <c r="MH45" s="215" t="n"/>
      <c r="MI45" s="215" t="n"/>
      <c r="MJ45" s="215" t="n"/>
      <c r="MK45" s="215" t="n"/>
      <c r="ML45" s="215" t="n"/>
      <c r="MM45" s="215" t="n"/>
      <c r="MN45" s="215" t="n"/>
      <c r="MO45" s="215" t="n"/>
      <c r="MP45" s="215" t="n"/>
      <c r="MQ45" s="215" t="n"/>
      <c r="MR45" s="215" t="n"/>
      <c r="MS45" s="215" t="n"/>
      <c r="MT45" s="215" t="n"/>
      <c r="MU45" s="215" t="n"/>
      <c r="MV45" s="215" t="n"/>
      <c r="MW45" s="215" t="n"/>
      <c r="MX45" s="215" t="n"/>
      <c r="MY45" s="215" t="n"/>
      <c r="MZ45" s="215" t="n"/>
      <c r="NA45" s="215" t="n"/>
      <c r="NB45" s="215" t="n"/>
      <c r="NC45" s="216">
        <f>SUM(B45:NB45)</f>
        <v/>
      </c>
    </row>
    <row r="46" ht="14.25" customHeight="1" s="166">
      <c r="A46" s="217" t="inlineStr">
        <is>
          <t>GAS DAILY CONSUMPTION (L)</t>
        </is>
      </c>
      <c r="B46" s="218" t="n"/>
      <c r="C46" s="218">
        <f>IF(COUNT(B37:B45,C37:C45)=0,"",SUMPRODUCT(--(B37:B45&lt;&gt;""),--(C37:C45&lt;&gt;""),C37:C45-B37:B45))</f>
        <v/>
      </c>
      <c r="D46" s="218">
        <f>IF(COUNT(C37:C45,D37:D45)=0,"",SUMPRODUCT(--(C37:C45&lt;&gt;""),--(D37:D45&lt;&gt;""),D37:D45-C37:C45))</f>
        <v/>
      </c>
      <c r="E46" s="218">
        <f>IF(COUNT(D37:D45,E37:E45)=0,"",SUMPRODUCT(--(D37:D45&lt;&gt;""),--(E37:E45&lt;&gt;""),E37:E45-D37:D45))</f>
        <v/>
      </c>
      <c r="F46" s="218">
        <f>IF(COUNT(E37:E45,F37:F45)=0,"",SUMPRODUCT(--(E37:E45&lt;&gt;""),--(F37:F45&lt;&gt;""),F37:F45-E37:E45))</f>
        <v/>
      </c>
      <c r="G46" s="218">
        <f>IF(COUNT(F37:F45,G37:G45)=0,"",SUMPRODUCT(--(F37:F45&lt;&gt;""),--(G37:G45&lt;&gt;""),G37:G45-F37:F45))</f>
        <v/>
      </c>
      <c r="H46" s="218">
        <f>IF(COUNT(G37:G45,H37:H45)=0,"",SUMPRODUCT(--(G37:G45&lt;&gt;""),--(H37:H45&lt;&gt;""),H37:H45-G37:G45))</f>
        <v/>
      </c>
      <c r="I46" s="218">
        <f>IF(COUNT(H37:H45,I37:I45)=0,"",SUMPRODUCT(--(H37:H45&lt;&gt;""),--(I37:I45&lt;&gt;""),I37:I45-H37:H45))</f>
        <v/>
      </c>
      <c r="J46" s="218">
        <f>IF(COUNT(I37:I45,J37:J45)=0,"",SUMPRODUCT(--(I37:I45&lt;&gt;""),--(J37:J45&lt;&gt;""),J37:J45-I37:I45))</f>
        <v/>
      </c>
      <c r="K46" s="218">
        <f>IF(COUNT(J37:J45,K37:K45)=0,"",SUMPRODUCT(--(J37:J45&lt;&gt;""),--(K37:K45&lt;&gt;""),K37:K45-J37:J45))</f>
        <v/>
      </c>
      <c r="L46" s="218">
        <f>IF(COUNT(K37:K45,L37:L45)=0,"",SUMPRODUCT(--(K37:K45&lt;&gt;""),--(L37:L45&lt;&gt;""),L37:L45-K37:K45))</f>
        <v/>
      </c>
      <c r="M46" s="218">
        <f>IF(COUNT(L37:L45,M37:M45)=0,"",SUMPRODUCT(--(L37:L45&lt;&gt;""),--(M37:M45&lt;&gt;""),M37:M45-L37:L45))</f>
        <v/>
      </c>
      <c r="N46" s="218">
        <f>IF(COUNT(M37:M45,N37:N45)=0,"",SUMPRODUCT(--(M37:M45&lt;&gt;""),--(N37:N45&lt;&gt;""),N37:N45-M37:M45))</f>
        <v/>
      </c>
      <c r="O46" s="218">
        <f>IF(COUNT(N37:N45,O37:O45)=0,"",SUMPRODUCT(--(N37:N45&lt;&gt;""),--(O37:O45&lt;&gt;""),O37:O45-N37:N45))</f>
        <v/>
      </c>
      <c r="P46" s="218">
        <f>IF(COUNT(O37:O45,P37:P45)=0,"",SUMPRODUCT(--(O37:O45&lt;&gt;""),--(P37:P45&lt;&gt;""),P37:P45-O37:O45))</f>
        <v/>
      </c>
      <c r="Q46" s="218">
        <f>IF(COUNT(P37:P45,Q37:Q45)=0,"",SUMPRODUCT(--(P37:P45&lt;&gt;""),--(Q37:Q45&lt;&gt;""),Q37:Q45-P37:P45))</f>
        <v/>
      </c>
      <c r="R46" s="218">
        <f>IF(COUNT(Q37:Q45,R37:R45)=0,"",SUMPRODUCT(--(Q37:Q45&lt;&gt;""),--(R37:R45&lt;&gt;""),R37:R45-Q37:Q45))</f>
        <v/>
      </c>
      <c r="S46" s="218">
        <f>IF(COUNT(R37:R45,S37:S45)=0,"",SUMPRODUCT(--(R37:R45&lt;&gt;""),--(S37:S45&lt;&gt;""),S37:S45-R37:R45))</f>
        <v/>
      </c>
      <c r="T46" s="218">
        <f>IF(COUNT(S37:S45,T37:T45)=0,"",SUMPRODUCT(--(S37:S45&lt;&gt;""),--(T37:T45&lt;&gt;""),T37:T45-S37:S45))</f>
        <v/>
      </c>
      <c r="U46" s="218">
        <f>IF(COUNT(T37:T45,U37:U45)=0,"",SUMPRODUCT(--(T37:T45&lt;&gt;""),--(U37:U45&lt;&gt;""),U37:U45-T37:T45))</f>
        <v/>
      </c>
      <c r="V46" s="218">
        <f>IF(COUNT(U37:U45,V37:V45)=0,"",SUMPRODUCT(--(U37:U45&lt;&gt;""),--(V37:V45&lt;&gt;""),V37:V45-U37:U45))</f>
        <v/>
      </c>
      <c r="W46" s="218">
        <f>IF(COUNT(V37:V45,W37:W45)=0,"",SUMPRODUCT(--(V37:V45&lt;&gt;""),--(W37:W45&lt;&gt;""),W37:W45-V37:V45))</f>
        <v/>
      </c>
      <c r="X46" s="218">
        <f>IF(COUNT(W37:W45,X37:X45)=0,"",SUMPRODUCT(--(W37:W45&lt;&gt;""),--(X37:X45&lt;&gt;""),X37:X45-W37:W45))</f>
        <v/>
      </c>
      <c r="Y46" s="218">
        <f>IF(COUNT(X37:X45,Y37:Y45)=0,"",SUMPRODUCT(--(X37:X45&lt;&gt;""),--(Y37:Y45&lt;&gt;""),Y37:Y45-X37:X45))</f>
        <v/>
      </c>
      <c r="Z46" s="218">
        <f>IF(COUNT(Y37:Y45,Z37:Z45)=0,"",SUMPRODUCT(--(Y37:Y45&lt;&gt;""),--(Z37:Z45&lt;&gt;""),Z37:Z45-Y37:Y45))</f>
        <v/>
      </c>
      <c r="AA46" s="218">
        <f>IF(COUNT(Z37:Z45,AA37:AA45)=0,"",SUMPRODUCT(--(Z37:Z45&lt;&gt;""),--(AA37:AA45&lt;&gt;""),AA37:AA45-Z37:Z45))</f>
        <v/>
      </c>
      <c r="AB46" s="218">
        <f>IF(COUNT(AA37:AA45,AB37:AB45)=0,"",SUMPRODUCT(--(AA37:AA45&lt;&gt;""),--(AB37:AB45&lt;&gt;""),AB37:AB45-AA37:AA45))</f>
        <v/>
      </c>
      <c r="AC46" s="218">
        <f>IF(COUNT(AB37:AB45,AC37:AC45)=0,"",SUMPRODUCT(--(AB37:AB45&lt;&gt;""),--(AC37:AC45&lt;&gt;""),AC37:AC45-AB37:AB45))</f>
        <v/>
      </c>
      <c r="AD46" s="218">
        <f>IF(COUNT(AC37:AC45,AD37:AD45)=0,"",SUMPRODUCT(--(AC37:AC45&lt;&gt;""),--(AD37:AD45&lt;&gt;""),AD37:AD45-AC37:AC45))</f>
        <v/>
      </c>
      <c r="AE46" s="218">
        <f>IF(COUNT(AD37:AD45,AE37:AE45)=0,"",SUMPRODUCT(--(AD37:AD45&lt;&gt;""),--(AE37:AE45&lt;&gt;""),AE37:AE45-AD37:AD45))</f>
        <v/>
      </c>
      <c r="AF46" s="218">
        <f>IF(COUNT(AE37:AE45,AF37:AF45)=0,"",SUMPRODUCT(--(AE37:AE45&lt;&gt;""),--(AF37:AF45&lt;&gt;""),AF37:AF45-AE37:AE45))</f>
        <v/>
      </c>
      <c r="AG46" s="218">
        <f>IF(COUNT(AF37:AF45,AG37:AG45)=0,"",SUMPRODUCT(--(AF37:AF45&lt;&gt;""),--(AG37:AG45&lt;&gt;""),AG37:AG45-AF37:AF45))</f>
        <v/>
      </c>
      <c r="AH46" s="218">
        <f>IF(COUNT(AG37:AG45,AH37:AH45)=0,"",SUMPRODUCT(--(AG37:AG45&lt;&gt;""),--(AH37:AH45&lt;&gt;""),AH37:AH45-AG37:AG45))</f>
        <v/>
      </c>
      <c r="AI46" s="218">
        <f>IF(COUNT(AH37:AH45,AI37:AI45)=0,"",SUMPRODUCT(--(AH37:AH45&lt;&gt;""),--(AI37:AI45&lt;&gt;""),AI37:AI45-AH37:AH45))</f>
        <v/>
      </c>
      <c r="AJ46" s="218">
        <f>IF(COUNT(AI37:AI45,AJ37:AJ45)=0,"",SUMPRODUCT(--(AI37:AI45&lt;&gt;""),--(AJ37:AJ45&lt;&gt;""),AJ37:AJ45-AI37:AI45))</f>
        <v/>
      </c>
      <c r="AK46" s="218">
        <f>IF(COUNT(AJ37:AJ45,AK37:AK45)=0,"",SUMPRODUCT(--(AJ37:AJ45&lt;&gt;""),--(AK37:AK45&lt;&gt;""),AK37:AK45-AJ37:AJ45))</f>
        <v/>
      </c>
      <c r="AL46" s="218">
        <f>IF(COUNT(AK37:AK45,AL37:AL45)=0,"",SUMPRODUCT(--(AK37:AK45&lt;&gt;""),--(AL37:AL45&lt;&gt;""),AL37:AL45-AK37:AK45))</f>
        <v/>
      </c>
      <c r="AM46" s="218">
        <f>IF(COUNT(AL37:AL45,AM37:AM45)=0,"",SUMPRODUCT(--(AL37:AL45&lt;&gt;""),--(AM37:AM45&lt;&gt;""),AM37:AM45-AL37:AL45))</f>
        <v/>
      </c>
      <c r="AN46" s="218">
        <f>IF(COUNT(AM37:AM45,AN37:AN45)=0,"",SUMPRODUCT(--(AM37:AM45&lt;&gt;""),--(AN37:AN45&lt;&gt;""),AN37:AN45-AM37:AM45))</f>
        <v/>
      </c>
      <c r="AO46" s="218">
        <f>IF(COUNT(AN37:AN45,AO37:AO45)=0,"",SUMPRODUCT(--(AN37:AN45&lt;&gt;""),--(AO37:AO45&lt;&gt;""),AO37:AO45-AN37:AN45))</f>
        <v/>
      </c>
      <c r="AP46" s="218">
        <f>IF(COUNT(AO37:AO45,AP37:AP45)=0,"",SUMPRODUCT(--(AO37:AO45&lt;&gt;""),--(AP37:AP45&lt;&gt;""),AP37:AP45-AO37:AO45))</f>
        <v/>
      </c>
      <c r="AQ46" s="218">
        <f>IF(COUNT(AP37:AP45,AQ37:AQ45)=0,"",SUMPRODUCT(--(AP37:AP45&lt;&gt;""),--(AQ37:AQ45&lt;&gt;""),AQ37:AQ45-AP37:AP45))</f>
        <v/>
      </c>
      <c r="AR46" s="218">
        <f>IF(COUNT(AQ37:AQ45,AR37:AR45)=0,"",SUMPRODUCT(--(AQ37:AQ45&lt;&gt;""),--(AR37:AR45&lt;&gt;""),AR37:AR45-AQ37:AQ45))</f>
        <v/>
      </c>
      <c r="AS46" s="218">
        <f>IF(COUNT(AR37:AR45,AS37:AS45)=0,"",SUMPRODUCT(--(AR37:AR45&lt;&gt;""),--(AS37:AS45&lt;&gt;""),AS37:AS45-AR37:AR45))</f>
        <v/>
      </c>
      <c r="AT46" s="218">
        <f>IF(COUNT(AS37:AS45,AT37:AT45)=0,"",SUMPRODUCT(--(AS37:AS45&lt;&gt;""),--(AT37:AT45&lt;&gt;""),AT37:AT45-AS37:AS45))</f>
        <v/>
      </c>
      <c r="AU46" s="218">
        <f>IF(COUNT(AT37:AT45,AU37:AU45)=0,"",SUMPRODUCT(--(AT37:AT45&lt;&gt;""),--(AU37:AU45&lt;&gt;""),AU37:AU45-AT37:AT45))</f>
        <v/>
      </c>
      <c r="AV46" s="218">
        <f>IF(COUNT(AU37:AU45,AV37:AV45)=0,"",SUMPRODUCT(--(AU37:AU45&lt;&gt;""),--(AV37:AV45&lt;&gt;""),AV37:AV45-AU37:AU45))</f>
        <v/>
      </c>
      <c r="AW46" s="218">
        <f>IF(COUNT(AV37:AV45,AW37:AW45)=0,"",SUMPRODUCT(--(AV37:AV45&lt;&gt;""),--(AW37:AW45&lt;&gt;""),AW37:AW45-AV37:AV45))</f>
        <v/>
      </c>
      <c r="AX46" s="218">
        <f>IF(COUNT(AW37:AW45,AX37:AX45)=0,"",SUMPRODUCT(--(AW37:AW45&lt;&gt;""),--(AX37:AX45&lt;&gt;""),AX37:AX45-AW37:AW45))</f>
        <v/>
      </c>
      <c r="AY46" s="218">
        <f>IF(COUNT(AX37:AX45,AY37:AY45)=0,"",SUMPRODUCT(--(AX37:AX45&lt;&gt;""),--(AY37:AY45&lt;&gt;""),AY37:AY45-AX37:AX45))</f>
        <v/>
      </c>
      <c r="AZ46" s="218">
        <f>IF(COUNT(AY37:AY45,AZ37:AZ45)=0,"",SUMPRODUCT(--(AY37:AY45&lt;&gt;""),--(AZ37:AZ45&lt;&gt;""),AZ37:AZ45-AY37:AY45))</f>
        <v/>
      </c>
      <c r="BA46" s="218">
        <f>IF(COUNT(AZ37:AZ45,BA37:BA45)=0,"",SUMPRODUCT(--(AZ37:AZ45&lt;&gt;""),--(BA37:BA45&lt;&gt;""),BA37:BA45-AZ37:AZ45))</f>
        <v/>
      </c>
      <c r="BB46" s="218">
        <f>IF(COUNT(BA37:BA45,BB37:BB45)=0,"",SUMPRODUCT(--(BA37:BA45&lt;&gt;""),--(BB37:BB45&lt;&gt;""),BB37:BB45-BA37:BA45))</f>
        <v/>
      </c>
      <c r="BC46" s="218">
        <f>IF(COUNT(BB37:BB45,BC37:BC45)=0,"",SUMPRODUCT(--(BB37:BB45&lt;&gt;""),--(BC37:BC45&lt;&gt;""),BC37:BC45-BB37:BB45))</f>
        <v/>
      </c>
      <c r="BD46" s="218">
        <f>IF(COUNT(BC37:BC45,BD37:BD45)=0,"",SUMPRODUCT(--(BC37:BC45&lt;&gt;""),--(BD37:BD45&lt;&gt;""),BD37:BD45-BC37:BC45))</f>
        <v/>
      </c>
      <c r="BE46" s="218">
        <f>IF(COUNT(BD37:BD45,BE37:BE45)=0,"",SUMPRODUCT(--(BD37:BD45&lt;&gt;""),--(BE37:BE45&lt;&gt;""),BE37:BE45-BD37:BD45))</f>
        <v/>
      </c>
      <c r="BF46" s="218">
        <f>IF(COUNT(BE37:BE45,BF37:BF45)=0,"",SUMPRODUCT(--(BE37:BE45&lt;&gt;""),--(BF37:BF45&lt;&gt;""),BF37:BF45-BE37:BE45))</f>
        <v/>
      </c>
      <c r="BG46" s="218">
        <f>IF(COUNT(BF37:BF45,BG37:BG45)=0,"",SUMPRODUCT(--(BF37:BF45&lt;&gt;""),--(BG37:BG45&lt;&gt;""),BG37:BG45-BF37:BF45))</f>
        <v/>
      </c>
      <c r="BH46" s="218">
        <f>IF(COUNT(BG37:BG45,BH37:BH45)=0,"",SUMPRODUCT(--(BG37:BG45&lt;&gt;""),--(BH37:BH45&lt;&gt;""),BH37:BH45-BG37:BG45))</f>
        <v/>
      </c>
      <c r="BI46" s="218">
        <f>IF(COUNT(BH37:BH45,BI37:BI45)=0,"",SUMPRODUCT(--(BH37:BH45&lt;&gt;""),--(BI37:BI45&lt;&gt;""),BI37:BI45-BH37:BH45))</f>
        <v/>
      </c>
      <c r="BJ46" s="218">
        <f>IF(COUNT(BI37:BI45,BJ37:BJ45)=0,"",SUMPRODUCT(--(BI37:BI45&lt;&gt;""),--(BJ37:BJ45&lt;&gt;""),BJ37:BJ45-BI37:BI45))</f>
        <v/>
      </c>
      <c r="BK46" s="218">
        <f>IF(COUNT(BJ37:BJ45,BK37:BK45)=0,"",SUMPRODUCT(--(BJ37:BJ45&lt;&gt;""),--(BK37:BK45&lt;&gt;""),BK37:BK45-BJ37:BJ45))</f>
        <v/>
      </c>
      <c r="BL46" s="218">
        <f>IF(COUNT(BK37:BK45,BL37:BL45)=0,"",SUMPRODUCT(--(BK37:BK45&lt;&gt;""),--(BL37:BL45&lt;&gt;""),BL37:BL45-BK37:BK45))</f>
        <v/>
      </c>
      <c r="BM46" s="218">
        <f>IF(COUNT(BL37:BL45,BM37:BM45)=0,"",SUMPRODUCT(--(BL37:BL45&lt;&gt;""),--(BM37:BM45&lt;&gt;""),BM37:BM45-BL37:BL45))</f>
        <v/>
      </c>
      <c r="BN46" s="218">
        <f>IF(COUNT(BM37:BM45,BN37:BN45)=0,"",SUMPRODUCT(--(BM37:BM45&lt;&gt;""),--(BN37:BN45&lt;&gt;""),BN37:BN45-BM37:BM45))</f>
        <v/>
      </c>
      <c r="BO46" s="218">
        <f>IF(COUNT(BN37:BN45,BO37:BO45)=0,"",SUMPRODUCT(--(BN37:BN45&lt;&gt;""),--(BO37:BO45&lt;&gt;""),BO37:BO45-BN37:BN45))</f>
        <v/>
      </c>
      <c r="BP46" s="218">
        <f>IF(COUNT(BO37:BO45,BP37:BP45)=0,"",SUMPRODUCT(--(BO37:BO45&lt;&gt;""),--(BP37:BP45&lt;&gt;""),BP37:BP45-BO37:BO45))</f>
        <v/>
      </c>
      <c r="BQ46" s="218">
        <f>IF(COUNT(BP37:BP45,BQ37:BQ45)=0,"",SUMPRODUCT(--(BP37:BP45&lt;&gt;""),--(BQ37:BQ45&lt;&gt;""),BQ37:BQ45-BP37:BP45))</f>
        <v/>
      </c>
      <c r="BR46" s="218">
        <f>IF(COUNT(BQ37:BQ45,BR37:BR45)=0,"",SUMPRODUCT(--(BQ37:BQ45&lt;&gt;""),--(BR37:BR45&lt;&gt;""),BR37:BR45-BQ37:BQ45))</f>
        <v/>
      </c>
      <c r="BS46" s="218">
        <f>IF(COUNT(BR37:BR45,BS37:BS45)=0,"",SUMPRODUCT(--(BR37:BR45&lt;&gt;""),--(BS37:BS45&lt;&gt;""),BS37:BS45-BR37:BR45))</f>
        <v/>
      </c>
      <c r="BT46" s="218">
        <f>IF(COUNT(BS37:BS45,BT37:BT45)=0,"",SUMPRODUCT(--(BS37:BS45&lt;&gt;""),--(BT37:BT45&lt;&gt;""),BT37:BT45-BS37:BS45))</f>
        <v/>
      </c>
      <c r="BU46" s="218">
        <f>IF(COUNT(BT37:BT45,BU37:BU45)=0,"",SUMPRODUCT(--(BT37:BT45&lt;&gt;""),--(BU37:BU45&lt;&gt;""),BU37:BU45-BT37:BT45))</f>
        <v/>
      </c>
      <c r="BV46" s="218">
        <f>IF(COUNT(BU37:BU45,BV37:BV45)=0,"",SUMPRODUCT(--(BU37:BU45&lt;&gt;""),--(BV37:BV45&lt;&gt;""),BV37:BV45-BU37:BU45))</f>
        <v/>
      </c>
      <c r="BW46" s="218">
        <f>IF(COUNT(BV37:BV45,BW37:BW45)=0,"",SUMPRODUCT(--(BV37:BV45&lt;&gt;""),--(BW37:BW45&lt;&gt;""),BW37:BW45-BV37:BV45))</f>
        <v/>
      </c>
      <c r="BX46" s="218">
        <f>IF(COUNT(BW37:BW45,BX37:BX45)=0,"",SUMPRODUCT(--(BW37:BW45&lt;&gt;""),--(BX37:BX45&lt;&gt;""),BX37:BX45-BW37:BW45))</f>
        <v/>
      </c>
      <c r="BY46" s="218">
        <f>IF(COUNT(BX37:BX45,BY37:BY45)=0,"",SUMPRODUCT(--(BX37:BX45&lt;&gt;""),--(BY37:BY45&lt;&gt;""),BY37:BY45-BX37:BX45))</f>
        <v/>
      </c>
      <c r="BZ46" s="218">
        <f>IF(COUNT(BY37:BY45,BZ37:BZ45)=0,"",SUMPRODUCT(--(BY37:BY45&lt;&gt;""),--(BZ37:BZ45&lt;&gt;""),BZ37:BZ45-BY37:BY45))</f>
        <v/>
      </c>
      <c r="CA46" s="218">
        <f>IF(COUNT(BZ37:BZ45,CA37:CA45)=0,"",SUMPRODUCT(--(BZ37:BZ45&lt;&gt;""),--(CA37:CA45&lt;&gt;""),CA37:CA45-BZ37:BZ45))</f>
        <v/>
      </c>
      <c r="CB46" s="218">
        <f>IF(COUNT(CA37:CA45,CB37:CB45)=0,"",SUMPRODUCT(--(CA37:CA45&lt;&gt;""),--(CB37:CB45&lt;&gt;""),CB37:CB45-CA37:CA45))</f>
        <v/>
      </c>
      <c r="CC46" s="218">
        <f>IF(COUNT(CB37:CB45,CC37:CC45)=0,"",SUMPRODUCT(--(CB37:CB45&lt;&gt;""),--(CC37:CC45&lt;&gt;""),CC37:CC45-CB37:CB45))</f>
        <v/>
      </c>
      <c r="CD46" s="218">
        <f>IF(COUNT(CC37:CC45,CD37:CD45)=0,"",SUMPRODUCT(--(CC37:CC45&lt;&gt;""),--(CD37:CD45&lt;&gt;""),CD37:CD45-CC37:CC45))</f>
        <v/>
      </c>
      <c r="CE46" s="218">
        <f>IF(COUNT(CD37:CD45,CE37:CE45)=0,"",SUMPRODUCT(--(CD37:CD45&lt;&gt;""),--(CE37:CE45&lt;&gt;""),CE37:CE45-CD37:CD45))</f>
        <v/>
      </c>
      <c r="CF46" s="218">
        <f>IF(COUNT(CE37:CE45,CF37:CF45)=0,"",SUMPRODUCT(--(CE37:CE45&lt;&gt;""),--(CF37:CF45&lt;&gt;""),CF37:CF45-CE37:CE45))</f>
        <v/>
      </c>
      <c r="CG46" s="218">
        <f>IF(COUNT(CF37:CF45,CG37:CG45)=0,"",SUMPRODUCT(--(CF37:CF45&lt;&gt;""),--(CG37:CG45&lt;&gt;""),CG37:CG45-CF37:CF45))</f>
        <v/>
      </c>
      <c r="CH46" s="218">
        <f>IF(COUNT(CG37:CG45,CH37:CH45)=0,"",SUMPRODUCT(--(CG37:CG45&lt;&gt;""),--(CH37:CH45&lt;&gt;""),CH37:CH45-CG37:CG45))</f>
        <v/>
      </c>
      <c r="CI46" s="218">
        <f>IF(COUNT(CH37:CH45,CI37:CI45)=0,"",SUMPRODUCT(--(CH37:CH45&lt;&gt;""),--(CI37:CI45&lt;&gt;""),CI37:CI45-CH37:CH45))</f>
        <v/>
      </c>
      <c r="CJ46" s="218">
        <f>IF(COUNT(CI37:CI45,CJ37:CJ45)=0,"",SUMPRODUCT(--(CI37:CI45&lt;&gt;""),--(CJ37:CJ45&lt;&gt;""),CJ37:CJ45-CI37:CI45))</f>
        <v/>
      </c>
      <c r="CK46" s="218">
        <f>IF(COUNT(CJ37:CJ45,CK37:CK45)=0,"",SUMPRODUCT(--(CJ37:CJ45&lt;&gt;""),--(CK37:CK45&lt;&gt;""),CK37:CK45-CJ37:CJ45))</f>
        <v/>
      </c>
      <c r="CL46" s="218">
        <f>IF(COUNT(CK37:CK45,CL37:CL45)=0,"",SUMPRODUCT(--(CK37:CK45&lt;&gt;""),--(CL37:CL45&lt;&gt;""),CL37:CL45-CK37:CK45))</f>
        <v/>
      </c>
      <c r="CM46" s="218">
        <f>IF(COUNT(CL37:CL45,CM37:CM45)=0,"",SUMPRODUCT(--(CL37:CL45&lt;&gt;""),--(CM37:CM45&lt;&gt;""),CM37:CM45-CL37:CL45))</f>
        <v/>
      </c>
      <c r="CN46" s="218">
        <f>IF(COUNT(CM37:CM45,CN37:CN45)=0,"",SUMPRODUCT(--(CM37:CM45&lt;&gt;""),--(CN37:CN45&lt;&gt;""),CN37:CN45-CM37:CM45))</f>
        <v/>
      </c>
      <c r="CO46" s="218">
        <f>IF(COUNT(CN37:CN45,CO37:CO45)=0,"",SUMPRODUCT(--(CN37:CN45&lt;&gt;""),--(CO37:CO45&lt;&gt;""),CO37:CO45-CN37:CN45))</f>
        <v/>
      </c>
      <c r="CP46" s="218">
        <f>IF(COUNT(CO37:CO45,CP37:CP45)=0,"",SUMPRODUCT(--(CO37:CO45&lt;&gt;""),--(CP37:CP45&lt;&gt;""),CP37:CP45-CO37:CO45))</f>
        <v/>
      </c>
      <c r="CQ46" s="218">
        <f>IF(COUNT(CP37:CP45,CQ37:CQ45)=0,"",SUMPRODUCT(--(CP37:CP45&lt;&gt;""),--(CQ37:CQ45&lt;&gt;""),CQ37:CQ45-CP37:CP45))</f>
        <v/>
      </c>
      <c r="CR46" s="218">
        <f>IF(COUNT(CQ37:CQ45,CR37:CR45)=0,"",SUMPRODUCT(--(CQ37:CQ45&lt;&gt;""),--(CR37:CR45&lt;&gt;""),CR37:CR45-CQ37:CQ45))</f>
        <v/>
      </c>
      <c r="CS46" s="218">
        <f>IF(COUNT(CR37:CR45,CS37:CS45)=0,"",SUMPRODUCT(--(CR37:CR45&lt;&gt;""),--(CS37:CS45&lt;&gt;""),CS37:CS45-CR37:CR45))</f>
        <v/>
      </c>
      <c r="CT46" s="218">
        <f>IF(COUNT(CS37:CS45,CT37:CT45)=0,"",SUMPRODUCT(--(CS37:CS45&lt;&gt;""),--(CT37:CT45&lt;&gt;""),CT37:CT45-CS37:CS45))</f>
        <v/>
      </c>
      <c r="CU46" s="218">
        <f>IF(COUNT(CT37:CT45,CU37:CU45)=0,"",SUMPRODUCT(--(CT37:CT45&lt;&gt;""),--(CU37:CU45&lt;&gt;""),CU37:CU45-CT37:CT45))</f>
        <v/>
      </c>
      <c r="CV46" s="218">
        <f>IF(COUNT(CU37:CU45,CV37:CV45)=0,"",SUMPRODUCT(--(CU37:CU45&lt;&gt;""),--(CV37:CV45&lt;&gt;""),CV37:CV45-CU37:CU45))</f>
        <v/>
      </c>
      <c r="CW46" s="218">
        <f>IF(COUNT(CV37:CV45,CW37:CW45)=0,"",SUMPRODUCT(--(CV37:CV45&lt;&gt;""),--(CW37:CW45&lt;&gt;""),CW37:CW45-CV37:CV45))</f>
        <v/>
      </c>
      <c r="CX46" s="218">
        <f>IF(COUNT(CW37:CW45,CX37:CX45)=0,"",SUMPRODUCT(--(CW37:CW45&lt;&gt;""),--(CX37:CX45&lt;&gt;""),CX37:CX45-CW37:CW45))</f>
        <v/>
      </c>
      <c r="CY46" s="218">
        <f>IF(COUNT(CX37:CX45,CY37:CY45)=0,"",SUMPRODUCT(--(CX37:CX45&lt;&gt;""),--(CY37:CY45&lt;&gt;""),CY37:CY45-CX37:CX45))</f>
        <v/>
      </c>
      <c r="CZ46" s="218">
        <f>IF(COUNT(CY37:CY45,CZ37:CZ45)=0,"",SUMPRODUCT(--(CY37:CY45&lt;&gt;""),--(CZ37:CZ45&lt;&gt;""),CZ37:CZ45-CY37:CY45))</f>
        <v/>
      </c>
      <c r="DA46" s="218">
        <f>IF(COUNT(CZ37:CZ45,DA37:DA45)=0,"",SUMPRODUCT(--(CZ37:CZ45&lt;&gt;""),--(DA37:DA45&lt;&gt;""),DA37:DA45-CZ37:CZ45))</f>
        <v/>
      </c>
      <c r="DB46" s="218">
        <f>IF(COUNT(DA37:DA45,DB37:DB45)=0,"",SUMPRODUCT(--(DA37:DA45&lt;&gt;""),--(DB37:DB45&lt;&gt;""),DB37:DB45-DA37:DA45))</f>
        <v/>
      </c>
      <c r="DC46" s="218">
        <f>IF(COUNT(DB37:DB45,DC37:DC45)=0,"",SUMPRODUCT(--(DB37:DB45&lt;&gt;""),--(DC37:DC45&lt;&gt;""),DC37:DC45-DB37:DB45))</f>
        <v/>
      </c>
      <c r="DD46" s="218">
        <f>IF(COUNT(DC37:DC45,DD37:DD45)=0,"",SUMPRODUCT(--(DC37:DC45&lt;&gt;""),--(DD37:DD45&lt;&gt;""),DD37:DD45-DC37:DC45))</f>
        <v/>
      </c>
      <c r="DE46" s="218">
        <f>IF(COUNT(DD37:DD45,DE37:DE45)=0,"",SUMPRODUCT(--(DD37:DD45&lt;&gt;""),--(DE37:DE45&lt;&gt;""),DE37:DE45-DD37:DD45))</f>
        <v/>
      </c>
      <c r="DF46" s="218">
        <f>IF(COUNT(DE37:DE45,DF37:DF45)=0,"",SUMPRODUCT(--(DE37:DE45&lt;&gt;""),--(DF37:DF45&lt;&gt;""),DF37:DF45-DE37:DE45))</f>
        <v/>
      </c>
      <c r="DG46" s="218">
        <f>IF(COUNT(DF37:DF45,DG37:DG45)=0,"",SUMPRODUCT(--(DF37:DF45&lt;&gt;""),--(DG37:DG45&lt;&gt;""),DG37:DG45-DF37:DF45))</f>
        <v/>
      </c>
      <c r="DH46" s="218">
        <f>IF(COUNT(DG37:DG45,DH37:DH45)=0,"",SUMPRODUCT(--(DG37:DG45&lt;&gt;""),--(DH37:DH45&lt;&gt;""),DH37:DH45-DG37:DG45))</f>
        <v/>
      </c>
      <c r="DI46" s="218">
        <f>IF(COUNT(DH37:DH45,DI37:DI45)=0,"",SUMPRODUCT(--(DH37:DH45&lt;&gt;""),--(DI37:DI45&lt;&gt;""),DI37:DI45-DH37:DH45))</f>
        <v/>
      </c>
      <c r="DJ46" s="218">
        <f>IF(COUNT(DI37:DI45,DJ37:DJ45)=0,"",SUMPRODUCT(--(DI37:DI45&lt;&gt;""),--(DJ37:DJ45&lt;&gt;""),DJ37:DJ45-DI37:DI45))</f>
        <v/>
      </c>
      <c r="DK46" s="218">
        <f>IF(COUNT(DJ37:DJ45,DK37:DK45)=0,"",SUMPRODUCT(--(DJ37:DJ45&lt;&gt;""),--(DK37:DK45&lt;&gt;""),DK37:DK45-DJ37:DJ45))</f>
        <v/>
      </c>
      <c r="DL46" s="218">
        <f>IF(COUNT(DK37:DK45,DL37:DL45)=0,"",SUMPRODUCT(--(DK37:DK45&lt;&gt;""),--(DL37:DL45&lt;&gt;""),DL37:DL45-DK37:DK45))</f>
        <v/>
      </c>
      <c r="DM46" s="218">
        <f>IF(COUNT(DL37:DL45,DM37:DM45)=0,"",SUMPRODUCT(--(DL37:DL45&lt;&gt;""),--(DM37:DM45&lt;&gt;""),DM37:DM45-DL37:DL45))</f>
        <v/>
      </c>
      <c r="DN46" s="218">
        <f>IF(COUNT(DM37:DM45,DN37:DN45)=0,"",SUMPRODUCT(--(DM37:DM45&lt;&gt;""),--(DN37:DN45&lt;&gt;""),DN37:DN45-DM37:DM45))</f>
        <v/>
      </c>
      <c r="DO46" s="218">
        <f>IF(COUNT(DN37:DN45,DO37:DO45)=0,"",SUMPRODUCT(--(DN37:DN45&lt;&gt;""),--(DO37:DO45&lt;&gt;""),DO37:DO45-DN37:DN45))</f>
        <v/>
      </c>
      <c r="DP46" s="218">
        <f>IF(COUNT(DO37:DO45,DP37:DP45)=0,"",SUMPRODUCT(--(DO37:DO45&lt;&gt;""),--(DP37:DP45&lt;&gt;""),DP37:DP45-DO37:DO45))</f>
        <v/>
      </c>
      <c r="DQ46" s="218">
        <f>IF(COUNT(DP37:DP45,DQ37:DQ45)=0,"",SUMPRODUCT(--(DP37:DP45&lt;&gt;""),--(DQ37:DQ45&lt;&gt;""),DQ37:DQ45-DP37:DP45))</f>
        <v/>
      </c>
      <c r="DR46" s="218">
        <f>IF(COUNT(DQ37:DQ45,DR37:DR45)=0,"",SUMPRODUCT(--(DQ37:DQ45&lt;&gt;""),--(DR37:DR45&lt;&gt;""),DR37:DR45-DQ37:DQ45))</f>
        <v/>
      </c>
      <c r="DS46" s="218">
        <f>IF(COUNT(DR37:DR45,DS37:DS45)=0,"",SUMPRODUCT(--(DR37:DR45&lt;&gt;""),--(DS37:DS45&lt;&gt;""),DS37:DS45-DR37:DR45))</f>
        <v/>
      </c>
      <c r="DT46" s="218">
        <f>IF(COUNT(DS37:DS45,DT37:DT45)=0,"",SUMPRODUCT(--(DS37:DS45&lt;&gt;""),--(DT37:DT45&lt;&gt;""),DT37:DT45-DS37:DS45))</f>
        <v/>
      </c>
      <c r="DU46" s="218">
        <f>IF(COUNT(DT37:DT45,DU37:DU45)=0,"",SUMPRODUCT(--(DT37:DT45&lt;&gt;""),--(DU37:DU45&lt;&gt;""),DU37:DU45-DT37:DT45))</f>
        <v/>
      </c>
      <c r="DV46" s="218">
        <f>IF(COUNT(DU37:DU45,DV37:DV45)=0,"",SUMPRODUCT(--(DU37:DU45&lt;&gt;""),--(DV37:DV45&lt;&gt;""),DV37:DV45-DU37:DU45))</f>
        <v/>
      </c>
      <c r="DW46" s="218">
        <f>IF(COUNT(DV37:DV45,DW37:DW45)=0,"",SUMPRODUCT(--(DV37:DV45&lt;&gt;""),--(DW37:DW45&lt;&gt;""),DW37:DW45-DV37:DV45))</f>
        <v/>
      </c>
      <c r="DX46" s="218">
        <f>IF(COUNT(DW37:DW45,DX37:DX45)=0,"",SUMPRODUCT(--(DW37:DW45&lt;&gt;""),--(DX37:DX45&lt;&gt;""),DX37:DX45-DW37:DW45))</f>
        <v/>
      </c>
      <c r="DY46" s="218">
        <f>IF(COUNT(DX37:DX45,DY37:DY45)=0,"",SUMPRODUCT(--(DX37:DX45&lt;&gt;""),--(DY37:DY45&lt;&gt;""),DY37:DY45-DX37:DX45))</f>
        <v/>
      </c>
      <c r="DZ46" s="218">
        <f>IF(COUNT(DY37:DY45,DZ37:DZ45)=0,"",SUMPRODUCT(--(DY37:DY45&lt;&gt;""),--(DZ37:DZ45&lt;&gt;""),DZ37:DZ45-DY37:DY45))</f>
        <v/>
      </c>
      <c r="EA46" s="218">
        <f>IF(COUNT(DZ37:DZ45,EA37:EA45)=0,"",SUMPRODUCT(--(DZ37:DZ45&lt;&gt;""),--(EA37:EA45&lt;&gt;""),EA37:EA45-DZ37:DZ45))</f>
        <v/>
      </c>
      <c r="EB46" s="218">
        <f>IF(COUNT(EA37:EA45,EB37:EB45)=0,"",SUMPRODUCT(--(EA37:EA45&lt;&gt;""),--(EB37:EB45&lt;&gt;""),EB37:EB45-EA37:EA45))</f>
        <v/>
      </c>
      <c r="EC46" s="218">
        <f>IF(COUNT(EB37:EB45,EC37:EC45)=0,"",SUMPRODUCT(--(EB37:EB45&lt;&gt;""),--(EC37:EC45&lt;&gt;""),EC37:EC45-EB37:EB45))</f>
        <v/>
      </c>
      <c r="ED46" s="218">
        <f>IF(COUNT(EC37:EC45,ED37:ED45)=0,"",SUMPRODUCT(--(EC37:EC45&lt;&gt;""),--(ED37:ED45&lt;&gt;""),ED37:ED45-EC37:EC45))</f>
        <v/>
      </c>
      <c r="EE46" s="218">
        <f>IF(COUNT(ED37:ED45,EE37:EE45)=0,"",SUMPRODUCT(--(ED37:ED45&lt;&gt;""),--(EE37:EE45&lt;&gt;""),EE37:EE45-ED37:ED45))</f>
        <v/>
      </c>
      <c r="EF46" s="218">
        <f>IF(COUNT(EE37:EE45,EF37:EF45)=0,"",SUMPRODUCT(--(EE37:EE45&lt;&gt;""),--(EF37:EF45&lt;&gt;""),EF37:EF45-EE37:EE45))</f>
        <v/>
      </c>
      <c r="EG46" s="218">
        <f>IF(COUNT(EF37:EF45,EG37:EG45)=0,"",SUMPRODUCT(--(EF37:EF45&lt;&gt;""),--(EG37:EG45&lt;&gt;""),EG37:EG45-EF37:EF45))</f>
        <v/>
      </c>
      <c r="EH46" s="218">
        <f>IF(COUNT(EG37:EG45,EH37:EH45)=0,"",SUMPRODUCT(--(EG37:EG45&lt;&gt;""),--(EH37:EH45&lt;&gt;""),EH37:EH45-EG37:EG45))</f>
        <v/>
      </c>
      <c r="EI46" s="218">
        <f>IF(COUNT(EH37:EH45,EI37:EI45)=0,"",SUMPRODUCT(--(EH37:EH45&lt;&gt;""),--(EI37:EI45&lt;&gt;""),EI37:EI45-EH37:EH45))</f>
        <v/>
      </c>
      <c r="EJ46" s="218">
        <f>IF(COUNT(EI37:EI45,EJ37:EJ45)=0,"",SUMPRODUCT(--(EI37:EI45&lt;&gt;""),--(EJ37:EJ45&lt;&gt;""),EJ37:EJ45-EI37:EI45))</f>
        <v/>
      </c>
      <c r="EK46" s="218">
        <f>IF(COUNT(EJ37:EJ45,EK37:EK45)=0,"",SUMPRODUCT(--(EJ37:EJ45&lt;&gt;""),--(EK37:EK45&lt;&gt;""),EK37:EK45-EJ37:EJ45))</f>
        <v/>
      </c>
      <c r="EL46" s="218">
        <f>IF(COUNT(EK37:EK45,EL37:EL45)=0,"",SUMPRODUCT(--(EK37:EK45&lt;&gt;""),--(EL37:EL45&lt;&gt;""),EL37:EL45-EK37:EK45))</f>
        <v/>
      </c>
      <c r="EM46" s="218">
        <f>IF(COUNT(EL37:EL45,EM37:EM45)=0,"",SUMPRODUCT(--(EL37:EL45&lt;&gt;""),--(EM37:EM45&lt;&gt;""),EM37:EM45-EL37:EL45))</f>
        <v/>
      </c>
      <c r="EN46" s="218">
        <f>IF(COUNT(EM37:EM45,EN37:EN45)=0,"",SUMPRODUCT(--(EM37:EM45&lt;&gt;""),--(EN37:EN45&lt;&gt;""),EN37:EN45-EM37:EM45))</f>
        <v/>
      </c>
      <c r="EO46" s="218">
        <f>IF(COUNT(EN37:EN45,EO37:EO45)=0,"",SUMPRODUCT(--(EN37:EN45&lt;&gt;""),--(EO37:EO45&lt;&gt;""),EO37:EO45-EN37:EN45))</f>
        <v/>
      </c>
      <c r="EP46" s="218">
        <f>IF(COUNT(EO37:EO45,EP37:EP45)=0,"",SUMPRODUCT(--(EO37:EO45&lt;&gt;""),--(EP37:EP45&lt;&gt;""),EP37:EP45-EO37:EO45))</f>
        <v/>
      </c>
      <c r="EQ46" s="218">
        <f>IF(COUNT(EP37:EP45,EQ37:EQ45)=0,"",SUMPRODUCT(--(EP37:EP45&lt;&gt;""),--(EQ37:EQ45&lt;&gt;""),EQ37:EQ45-EP37:EP45))</f>
        <v/>
      </c>
      <c r="ER46" s="218">
        <f>IF(COUNT(EQ37:EQ45,ER37:ER45)=0,"",SUMPRODUCT(--(EQ37:EQ45&lt;&gt;""),--(ER37:ER45&lt;&gt;""),ER37:ER45-EQ37:EQ45))</f>
        <v/>
      </c>
      <c r="ES46" s="218">
        <f>IF(COUNT(ER37:ER45,ES37:ES45)=0,"",SUMPRODUCT(--(ER37:ER45&lt;&gt;""),--(ES37:ES45&lt;&gt;""),ES37:ES45-ER37:ER45))</f>
        <v/>
      </c>
      <c r="ET46" s="218">
        <f>IF(COUNT(ES37:ES45,ET37:ET45)=0,"",SUMPRODUCT(--(ES37:ES45&lt;&gt;""),--(ET37:ET45&lt;&gt;""),ET37:ET45-ES37:ES45))</f>
        <v/>
      </c>
      <c r="EU46" s="218">
        <f>IF(COUNT(ET37:ET45,EU37:EU45)=0,"",SUMPRODUCT(--(ET37:ET45&lt;&gt;""),--(EU37:EU45&lt;&gt;""),EU37:EU45-ET37:ET45))</f>
        <v/>
      </c>
      <c r="EV46" s="218">
        <f>IF(COUNT(EU37:EU45,EV37:EV45)=0,"",SUMPRODUCT(--(EU37:EU45&lt;&gt;""),--(EV37:EV45&lt;&gt;""),EV37:EV45-EU37:EU45))</f>
        <v/>
      </c>
      <c r="EW46" s="218">
        <f>IF(COUNT(EV37:EV45,EW37:EW45)=0,"",SUMPRODUCT(--(EV37:EV45&lt;&gt;""),--(EW37:EW45&lt;&gt;""),EW37:EW45-EV37:EV45))</f>
        <v/>
      </c>
      <c r="EX46" s="218">
        <f>IF(COUNT(EW37:EW45,EX37:EX45)=0,"",SUMPRODUCT(--(EW37:EW45&lt;&gt;""),--(EX37:EX45&lt;&gt;""),EX37:EX45-EW37:EW45))</f>
        <v/>
      </c>
      <c r="EY46" s="218">
        <f>IF(COUNT(EX37:EX45,EY37:EY45)=0,"",SUMPRODUCT(--(EX37:EX45&lt;&gt;""),--(EY37:EY45&lt;&gt;""),EY37:EY45-EX37:EX45))</f>
        <v/>
      </c>
      <c r="EZ46" s="218">
        <f>IF(COUNT(EY37:EY45,EZ37:EZ45)=0,"",SUMPRODUCT(--(EY37:EY45&lt;&gt;""),--(EZ37:EZ45&lt;&gt;""),EZ37:EZ45-EY37:EY45))</f>
        <v/>
      </c>
      <c r="FA46" s="218">
        <f>IF(COUNT(EZ37:EZ45,FA37:FA45)=0,"",SUMPRODUCT(--(EZ37:EZ45&lt;&gt;""),--(FA37:FA45&lt;&gt;""),FA37:FA45-EZ37:EZ45))</f>
        <v/>
      </c>
      <c r="FB46" s="218">
        <f>IF(COUNT(FA37:FA45,FB37:FB45)=0,"",SUMPRODUCT(--(FA37:FA45&lt;&gt;""),--(FB37:FB45&lt;&gt;""),FB37:FB45-FA37:FA45))</f>
        <v/>
      </c>
      <c r="FC46" s="218">
        <f>IF(COUNT(FB37:FB45,FC37:FC45)=0,"",SUMPRODUCT(--(FB37:FB45&lt;&gt;""),--(FC37:FC45&lt;&gt;""),FC37:FC45-FB37:FB45))</f>
        <v/>
      </c>
      <c r="FD46" s="218">
        <f>IF(COUNT(FC37:FC45,FD37:FD45)=0,"",SUMPRODUCT(--(FC37:FC45&lt;&gt;""),--(FD37:FD45&lt;&gt;""),FD37:FD45-FC37:FC45))</f>
        <v/>
      </c>
      <c r="FE46" s="218">
        <f>IF(COUNT(FD37:FD45,FE37:FE45)=0,"",SUMPRODUCT(--(FD37:FD45&lt;&gt;""),--(FE37:FE45&lt;&gt;""),FE37:FE45-FD37:FD45))</f>
        <v/>
      </c>
      <c r="FF46" s="218">
        <f>IF(COUNT(FE37:FE45,FF37:FF45)=0,"",SUMPRODUCT(--(FE37:FE45&lt;&gt;""),--(FF37:FF45&lt;&gt;""),FF37:FF45-FE37:FE45))</f>
        <v/>
      </c>
      <c r="FG46" s="218">
        <f>IF(COUNT(FF37:FF45,FG37:FG45)=0,"",SUMPRODUCT(--(FF37:FF45&lt;&gt;""),--(FG37:FG45&lt;&gt;""),FG37:FG45-FF37:FF45))</f>
        <v/>
      </c>
      <c r="FH46" s="218">
        <f>IF(COUNT(FG37:FG45,FH37:FH45)=0,"",SUMPRODUCT(--(FG37:FG45&lt;&gt;""),--(FH37:FH45&lt;&gt;""),FH37:FH45-FG37:FG45))</f>
        <v/>
      </c>
      <c r="FI46" s="218">
        <f>IF(COUNT(FH37:FH45,FI37:FI45)=0,"",SUMPRODUCT(--(FH37:FH45&lt;&gt;""),--(FI37:FI45&lt;&gt;""),FI37:FI45-FH37:FH45))</f>
        <v/>
      </c>
      <c r="FJ46" s="218">
        <f>IF(COUNT(FI37:FI45,FJ37:FJ45)=0,"",SUMPRODUCT(--(FI37:FI45&lt;&gt;""),--(FJ37:FJ45&lt;&gt;""),FJ37:FJ45-FI37:FI45))</f>
        <v/>
      </c>
      <c r="FK46" s="218">
        <f>IF(COUNT(FJ37:FJ45,FK37:FK45)=0,"",SUMPRODUCT(--(FJ37:FJ45&lt;&gt;""),--(FK37:FK45&lt;&gt;""),FK37:FK45-FJ37:FJ45))</f>
        <v/>
      </c>
      <c r="FL46" s="218">
        <f>IF(COUNT(FK37:FK45,FL37:FL45)=0,"",SUMPRODUCT(--(FK37:FK45&lt;&gt;""),--(FL37:FL45&lt;&gt;""),FL37:FL45-FK37:FK45))</f>
        <v/>
      </c>
      <c r="FM46" s="218">
        <f>IF(COUNT(FL37:FL45,FM37:FM45)=0,"",SUMPRODUCT(--(FL37:FL45&lt;&gt;""),--(FM37:FM45&lt;&gt;""),FM37:FM45-FL37:FL45))</f>
        <v/>
      </c>
      <c r="FN46" s="218">
        <f>IF(COUNT(FM37:FM45,FN37:FN45)=0,"",SUMPRODUCT(--(FM37:FM45&lt;&gt;""),--(FN37:FN45&lt;&gt;""),FN37:FN45-FM37:FM45))</f>
        <v/>
      </c>
      <c r="FO46" s="218">
        <f>IF(COUNT(FN37:FN45,FO37:FO45)=0,"",SUMPRODUCT(--(FN37:FN45&lt;&gt;""),--(FO37:FO45&lt;&gt;""),FO37:FO45-FN37:FN45))</f>
        <v/>
      </c>
      <c r="FP46" s="218">
        <f>IF(COUNT(FO37:FO45,FP37:FP45)=0,"",SUMPRODUCT(--(FO37:FO45&lt;&gt;""),--(FP37:FP45&lt;&gt;""),FP37:FP45-FO37:FO45))</f>
        <v/>
      </c>
      <c r="FQ46" s="218">
        <f>IF(COUNT(FP37:FP45,FQ37:FQ45)=0,"",SUMPRODUCT(--(FP37:FP45&lt;&gt;""),--(FQ37:FQ45&lt;&gt;""),FQ37:FQ45-FP37:FP45))</f>
        <v/>
      </c>
      <c r="FR46" s="218">
        <f>IF(COUNT(FQ37:FQ45,FR37:FR45)=0,"",SUMPRODUCT(--(FQ37:FQ45&lt;&gt;""),--(FR37:FR45&lt;&gt;""),FR37:FR45-FQ37:FQ45))</f>
        <v/>
      </c>
      <c r="FS46" s="218">
        <f>IF(COUNT(FR37:FR45,FS37:FS45)=0,"",SUMPRODUCT(--(FR37:FR45&lt;&gt;""),--(FS37:FS45&lt;&gt;""),FS37:FS45-FR37:FR45))</f>
        <v/>
      </c>
      <c r="FT46" s="218">
        <f>IF(COUNT(FS37:FS45,FT37:FT45)=0,"",SUMPRODUCT(--(FS37:FS45&lt;&gt;""),--(FT37:FT45&lt;&gt;""),FT37:FT45-FS37:FS45))</f>
        <v/>
      </c>
      <c r="FU46" s="218">
        <f>IF(COUNT(FT37:FT45,FU37:FU45)=0,"",SUMPRODUCT(--(FT37:FT45&lt;&gt;""),--(FU37:FU45&lt;&gt;""),FU37:FU45-FT37:FT45))</f>
        <v/>
      </c>
      <c r="FV46" s="218">
        <f>IF(COUNT(FU37:FU45,FV37:FV45)=0,"",SUMPRODUCT(--(FU37:FU45&lt;&gt;""),--(FV37:FV45&lt;&gt;""),FV37:FV45-FU37:FU45))</f>
        <v/>
      </c>
      <c r="FW46" s="218">
        <f>IF(COUNT(FV37:FV45,FW37:FW45)=0,"",SUMPRODUCT(--(FV37:FV45&lt;&gt;""),--(FW37:FW45&lt;&gt;""),FW37:FW45-FV37:FV45))</f>
        <v/>
      </c>
      <c r="FX46" s="218">
        <f>IF(COUNT(FW37:FW45,FX37:FX45)=0,"",SUMPRODUCT(--(FW37:FW45&lt;&gt;""),--(FX37:FX45&lt;&gt;""),FX37:FX45-FW37:FW45))</f>
        <v/>
      </c>
      <c r="FY46" s="218">
        <f>IF(COUNT(FX37:FX45,FY37:FY45)=0,"",SUMPRODUCT(--(FX37:FX45&lt;&gt;""),--(FY37:FY45&lt;&gt;""),FY37:FY45-FX37:FX45))</f>
        <v/>
      </c>
      <c r="FZ46" s="218">
        <f>IF(COUNT(FY37:FY45,FZ37:FZ45)=0,"",SUMPRODUCT(--(FY37:FY45&lt;&gt;""),--(FZ37:FZ45&lt;&gt;""),FZ37:FZ45-FY37:FY45))</f>
        <v/>
      </c>
      <c r="GA46" s="218">
        <f>IF(COUNT(FZ37:FZ45,GA37:GA45)=0,"",SUMPRODUCT(--(FZ37:FZ45&lt;&gt;""),--(GA37:GA45&lt;&gt;""),GA37:GA45-FZ37:FZ45))</f>
        <v/>
      </c>
      <c r="GB46" s="218">
        <f>IF(COUNT(GA37:GA45,GB37:GB45)=0,"",SUMPRODUCT(--(GA37:GA45&lt;&gt;""),--(GB37:GB45&lt;&gt;""),GB37:GB45-GA37:GA45))</f>
        <v/>
      </c>
      <c r="GC46" s="218">
        <f>IF(COUNT(GB37:GB45,GC37:GC45)=0,"",SUMPRODUCT(--(GB37:GB45&lt;&gt;""),--(GC37:GC45&lt;&gt;""),GC37:GC45-GB37:GB45))</f>
        <v/>
      </c>
      <c r="GD46" s="218">
        <f>IF(COUNT(GC37:GC45,GD37:GD45)=0,"",SUMPRODUCT(--(GC37:GC45&lt;&gt;""),--(GD37:GD45&lt;&gt;""),GD37:GD45-GC37:GC45))</f>
        <v/>
      </c>
      <c r="GE46" s="218">
        <f>IF(COUNT(GD37:GD45,GE37:GE45)=0,"",SUMPRODUCT(--(GD37:GD45&lt;&gt;""),--(GE37:GE45&lt;&gt;""),GE37:GE45-GD37:GD45))</f>
        <v/>
      </c>
      <c r="GF46" s="218">
        <f>IF(COUNT(GE37:GE45,GF37:GF45)=0,"",SUMPRODUCT(--(GE37:GE45&lt;&gt;""),--(GF37:GF45&lt;&gt;""),GF37:GF45-GE37:GE45))</f>
        <v/>
      </c>
      <c r="GG46" s="218">
        <f>IF(COUNT(GF37:GF45,GG37:GG45)=0,"",SUMPRODUCT(--(GF37:GF45&lt;&gt;""),--(GG37:GG45&lt;&gt;""),GG37:GG45-GF37:GF45))</f>
        <v/>
      </c>
      <c r="GH46" s="218">
        <f>IF(COUNT(GG37:GG45,GH37:GH45)=0,"",SUMPRODUCT(--(GG37:GG45&lt;&gt;""),--(GH37:GH45&lt;&gt;""),GH37:GH45-GG37:GG45))</f>
        <v/>
      </c>
      <c r="GI46" s="218">
        <f>IF(COUNT(GH37:GH45,GI37:GI45)=0,"",SUMPRODUCT(--(GH37:GH45&lt;&gt;""),--(GI37:GI45&lt;&gt;""),GI37:GI45-GH37:GH45))</f>
        <v/>
      </c>
      <c r="GJ46" s="218">
        <f>IF(COUNT(GI37:GI45,GJ37:GJ45)=0,"",SUMPRODUCT(--(GI37:GI45&lt;&gt;""),--(GJ37:GJ45&lt;&gt;""),GJ37:GJ45-GI37:GI45))</f>
        <v/>
      </c>
      <c r="GK46" s="218">
        <f>IF(COUNT(GJ37:GJ45,GK37:GK45)=0,"",SUMPRODUCT(--(GJ37:GJ45&lt;&gt;""),--(GK37:GK45&lt;&gt;""),GK37:GK45-GJ37:GJ45))</f>
        <v/>
      </c>
      <c r="GL46" s="218">
        <f>IF(COUNT(GK37:GK45,GL37:GL45)=0,"",SUMPRODUCT(--(GK37:GK45&lt;&gt;""),--(GL37:GL45&lt;&gt;""),GL37:GL45-GK37:GK45))</f>
        <v/>
      </c>
      <c r="GM46" s="218">
        <f>IF(COUNT(GL37:GL45,GM37:GM45)=0,"",SUMPRODUCT(--(GL37:GL45&lt;&gt;""),--(GM37:GM45&lt;&gt;""),GM37:GM45-GL37:GL45))</f>
        <v/>
      </c>
      <c r="GN46" s="218">
        <f>IF(COUNT(GM37:GM45,GN37:GN45)=0,"",SUMPRODUCT(--(GM37:GM45&lt;&gt;""),--(GN37:GN45&lt;&gt;""),GN37:GN45-GM37:GM45))</f>
        <v/>
      </c>
      <c r="GO46" s="218">
        <f>IF(COUNT(GN37:GN45,GO37:GO45)=0,"",SUMPRODUCT(--(GN37:GN45&lt;&gt;""),--(GO37:GO45&lt;&gt;""),GO37:GO45-GN37:GN45))</f>
        <v/>
      </c>
      <c r="GP46" s="218">
        <f>IF(COUNT(GO37:GO45,GP37:GP45)=0,"",SUMPRODUCT(--(GO37:GO45&lt;&gt;""),--(GP37:GP45&lt;&gt;""),GP37:GP45-GO37:GO45))</f>
        <v/>
      </c>
      <c r="GQ46" s="218">
        <f>IF(COUNT(GP37:GP45,GQ37:GQ45)=0,"",SUMPRODUCT(--(GP37:GP45&lt;&gt;""),--(GQ37:GQ45&lt;&gt;""),GQ37:GQ45-GP37:GP45))</f>
        <v/>
      </c>
      <c r="GR46" s="218">
        <f>IF(COUNT(GQ37:GQ45,GR37:GR45)=0,"",SUMPRODUCT(--(GQ37:GQ45&lt;&gt;""),--(GR37:GR45&lt;&gt;""),GR37:GR45-GQ37:GQ45))</f>
        <v/>
      </c>
      <c r="GS46" s="218">
        <f>IF(COUNT(GR37:GR45,GS37:GS45)=0,"",SUMPRODUCT(--(GR37:GR45&lt;&gt;""),--(GS37:GS45&lt;&gt;""),GS37:GS45-GR37:GR45))</f>
        <v/>
      </c>
      <c r="GT46" s="218">
        <f>IF(COUNT(GS37:GS45,GT37:GT45)=0,"",SUMPRODUCT(--(GS37:GS45&lt;&gt;""),--(GT37:GT45&lt;&gt;""),GT37:GT45-GS37:GS45))</f>
        <v/>
      </c>
      <c r="GU46" s="218">
        <f>IF(COUNT(GT37:GT45,GU37:GU45)=0,"",SUMPRODUCT(--(GT37:GT45&lt;&gt;""),--(GU37:GU45&lt;&gt;""),GU37:GU45-GT37:GT45))</f>
        <v/>
      </c>
      <c r="GV46" s="218">
        <f>IF(COUNT(GU37:GU45,GV37:GV45)=0,"",SUMPRODUCT(--(GU37:GU45&lt;&gt;""),--(GV37:GV45&lt;&gt;""),GV37:GV45-GU37:GU45))</f>
        <v/>
      </c>
      <c r="GW46" s="218">
        <f>IF(COUNT(GV37:GV45,GW37:GW45)=0,"",SUMPRODUCT(--(GV37:GV45&lt;&gt;""),--(GW37:GW45&lt;&gt;""),GW37:GW45-GV37:GV45))</f>
        <v/>
      </c>
      <c r="GX46" s="218">
        <f>IF(COUNT(GW37:GW45,GX37:GX45)=0,"",SUMPRODUCT(--(GW37:GW45&lt;&gt;""),--(GX37:GX45&lt;&gt;""),GX37:GX45-GW37:GW45))</f>
        <v/>
      </c>
      <c r="GY46" s="218">
        <f>IF(COUNT(GX37:GX45,GY37:GY45)=0,"",SUMPRODUCT(--(GX37:GX45&lt;&gt;""),--(GY37:GY45&lt;&gt;""),GY37:GY45-GX37:GX45))</f>
        <v/>
      </c>
      <c r="GZ46" s="218">
        <f>IF(COUNT(GY37:GY45,GZ37:GZ45)=0,"",SUMPRODUCT(--(GY37:GY45&lt;&gt;""),--(GZ37:GZ45&lt;&gt;""),GZ37:GZ45-GY37:GY45))</f>
        <v/>
      </c>
      <c r="HA46" s="218">
        <f>IF(COUNT(GZ37:GZ45,HA37:HA45)=0,"",SUMPRODUCT(--(GZ37:GZ45&lt;&gt;""),--(HA37:HA45&lt;&gt;""),HA37:HA45-GZ37:GZ45))</f>
        <v/>
      </c>
      <c r="HB46" s="218">
        <f>IF(COUNT(HA37:HA45,HB37:HB45)=0,"",SUMPRODUCT(--(HA37:HA45&lt;&gt;""),--(HB37:HB45&lt;&gt;""),HB37:HB45-HA37:HA45))</f>
        <v/>
      </c>
      <c r="HC46" s="218">
        <f>IF(COUNT(HB37:HB45,HC37:HC45)=0,"",SUMPRODUCT(--(HB37:HB45&lt;&gt;""),--(HC37:HC45&lt;&gt;""),HC37:HC45-HB37:HB45))</f>
        <v/>
      </c>
      <c r="HD46" s="218">
        <f>IF(COUNT(HC37:HC45,HD37:HD45)=0,"",SUMPRODUCT(--(HC37:HC45&lt;&gt;""),--(HD37:HD45&lt;&gt;""),HD37:HD45-HC37:HC45))</f>
        <v/>
      </c>
      <c r="HE46" s="218">
        <f>IF(COUNT(HD37:HD45,HE37:HE45)=0,"",SUMPRODUCT(--(HD37:HD45&lt;&gt;""),--(HE37:HE45&lt;&gt;""),HE37:HE45-HD37:HD45))</f>
        <v/>
      </c>
      <c r="HF46" s="218">
        <f>IF(COUNT(HE37:HE45,HF37:HF45)=0,"",SUMPRODUCT(--(HE37:HE45&lt;&gt;""),--(HF37:HF45&lt;&gt;""),HF37:HF45-HE37:HE45))</f>
        <v/>
      </c>
      <c r="HG46" s="218">
        <f>IF(COUNT(HF37:HF45,HG37:HG45)=0,"",SUMPRODUCT(--(HF37:HF45&lt;&gt;""),--(HG37:HG45&lt;&gt;""),HG37:HG45-HF37:HF45))</f>
        <v/>
      </c>
      <c r="HH46" s="218">
        <f>IF(COUNT(HG37:HG45,HH37:HH45)=0,"",SUMPRODUCT(--(HG37:HG45&lt;&gt;""),--(HH37:HH45&lt;&gt;""),HH37:HH45-HG37:HG45))</f>
        <v/>
      </c>
      <c r="HI46" s="218">
        <f>IF(COUNT(HH37:HH45,HI37:HI45)=0,"",SUMPRODUCT(--(HH37:HH45&lt;&gt;""),--(HI37:HI45&lt;&gt;""),HI37:HI45-HH37:HH45))</f>
        <v/>
      </c>
      <c r="HJ46" s="218">
        <f>IF(COUNT(HI37:HI45,HJ37:HJ45)=0,"",SUMPRODUCT(--(HI37:HI45&lt;&gt;""),--(HJ37:HJ45&lt;&gt;""),HJ37:HJ45-HI37:HI45))</f>
        <v/>
      </c>
      <c r="HK46" s="218">
        <f>IF(COUNT(HJ37:HJ45,HK37:HK45)=0,"",SUMPRODUCT(--(HJ37:HJ45&lt;&gt;""),--(HK37:HK45&lt;&gt;""),HK37:HK45-HJ37:HJ45))</f>
        <v/>
      </c>
      <c r="HL46" s="218">
        <f>IF(COUNT(HK37:HK45,HL37:HL45)=0,"",SUMPRODUCT(--(HK37:HK45&lt;&gt;""),--(HL37:HL45&lt;&gt;""),HL37:HL45-HK37:HK45))</f>
        <v/>
      </c>
      <c r="HM46" s="218">
        <f>IF(COUNT(HL37:HL45,HM37:HM45)=0,"",SUMPRODUCT(--(HL37:HL45&lt;&gt;""),--(HM37:HM45&lt;&gt;""),HM37:HM45-HL37:HL45))</f>
        <v/>
      </c>
      <c r="HN46" s="218">
        <f>IF(COUNT(HM37:HM45,HN37:HN45)=0,"",SUMPRODUCT(--(HM37:HM45&lt;&gt;""),--(HN37:HN45&lt;&gt;""),HN37:HN45-HM37:HM45))</f>
        <v/>
      </c>
      <c r="HO46" s="218">
        <f>IF(COUNT(HN37:HN45,HO37:HO45)=0,"",SUMPRODUCT(--(HN37:HN45&lt;&gt;""),--(HO37:HO45&lt;&gt;""),HO37:HO45-HN37:HN45))</f>
        <v/>
      </c>
      <c r="HP46" s="218">
        <f>IF(COUNT(HO37:HO45,HP37:HP45)=0,"",SUMPRODUCT(--(HO37:HO45&lt;&gt;""),--(HP37:HP45&lt;&gt;""),HP37:HP45-HO37:HO45))</f>
        <v/>
      </c>
      <c r="HQ46" s="218">
        <f>IF(COUNT(HP37:HP45,HQ37:HQ45)=0,"",SUMPRODUCT(--(HP37:HP45&lt;&gt;""),--(HQ37:HQ45&lt;&gt;""),HQ37:HQ45-HP37:HP45))</f>
        <v/>
      </c>
      <c r="HR46" s="218">
        <f>IF(COUNT(HQ37:HQ45,HR37:HR45)=0,"",SUMPRODUCT(--(HQ37:HQ45&lt;&gt;""),--(HR37:HR45&lt;&gt;""),HR37:HR45-HQ37:HQ45))</f>
        <v/>
      </c>
      <c r="HS46" s="218">
        <f>IF(COUNT(HR37:HR45,HS37:HS45)=0,"",SUMPRODUCT(--(HR37:HR45&lt;&gt;""),--(HS37:HS45&lt;&gt;""),HS37:HS45-HR37:HR45))</f>
        <v/>
      </c>
      <c r="HT46" s="218">
        <f>IF(COUNT(HS37:HS45,HT37:HT45)=0,"",SUMPRODUCT(--(HS37:HS45&lt;&gt;""),--(HT37:HT45&lt;&gt;""),HT37:HT45-HS37:HS45))</f>
        <v/>
      </c>
      <c r="HU46" s="218">
        <f>IF(COUNT(HT37:HT45,HU37:HU45)=0,"",SUMPRODUCT(--(HT37:HT45&lt;&gt;""),--(HU37:HU45&lt;&gt;""),HU37:HU45-HT37:HT45))</f>
        <v/>
      </c>
      <c r="HV46" s="218">
        <f>IF(COUNT(HU37:HU45,HV37:HV45)=0,"",SUMPRODUCT(--(HU37:HU45&lt;&gt;""),--(HV37:HV45&lt;&gt;""),HV37:HV45-HU37:HU45))</f>
        <v/>
      </c>
      <c r="HW46" s="218">
        <f>IF(COUNT(HV37:HV45,HW37:HW45)=0,"",SUMPRODUCT(--(HV37:HV45&lt;&gt;""),--(HW37:HW45&lt;&gt;""),HW37:HW45-HV37:HV45))</f>
        <v/>
      </c>
      <c r="HX46" s="218">
        <f>IF(COUNT(HW37:HW45,HX37:HX45)=0,"",SUMPRODUCT(--(HW37:HW45&lt;&gt;""),--(HX37:HX45&lt;&gt;""),HX37:HX45-HW37:HW45))</f>
        <v/>
      </c>
      <c r="HY46" s="218">
        <f>IF(COUNT(HX37:HX45,HY37:HY45)=0,"",SUMPRODUCT(--(HX37:HX45&lt;&gt;""),--(HY37:HY45&lt;&gt;""),HY37:HY45-HX37:HX45))</f>
        <v/>
      </c>
      <c r="HZ46" s="218">
        <f>IF(COUNT(HY37:HY45,HZ37:HZ45)=0,"",SUMPRODUCT(--(HY37:HY45&lt;&gt;""),--(HZ37:HZ45&lt;&gt;""),HZ37:HZ45-HY37:HY45))</f>
        <v/>
      </c>
      <c r="IA46" s="218">
        <f>IF(COUNT(HZ37:HZ45,IA37:IA45)=0,"",SUMPRODUCT(--(HZ37:HZ45&lt;&gt;""),--(IA37:IA45&lt;&gt;""),IA37:IA45-HZ37:HZ45))</f>
        <v/>
      </c>
      <c r="IB46" s="218">
        <f>IF(COUNT(IA37:IA45,IB37:IB45)=0,"",SUMPRODUCT(--(IA37:IA45&lt;&gt;""),--(IB37:IB45&lt;&gt;""),IB37:IB45-IA37:IA45))</f>
        <v/>
      </c>
      <c r="IC46" s="218">
        <f>IF(COUNT(IB37:IB45,IC37:IC45)=0,"",SUMPRODUCT(--(IB37:IB45&lt;&gt;""),--(IC37:IC45&lt;&gt;""),IC37:IC45-IB37:IB45))</f>
        <v/>
      </c>
      <c r="ID46" s="218">
        <f>IF(COUNT(IC37:IC45,ID37:ID45)=0,"",SUMPRODUCT(--(IC37:IC45&lt;&gt;""),--(ID37:ID45&lt;&gt;""),ID37:ID45-IC37:IC45))</f>
        <v/>
      </c>
      <c r="IE46" s="218">
        <f>IF(COUNT(ID37:ID45,IE37:IE45)=0,"",SUMPRODUCT(--(ID37:ID45&lt;&gt;""),--(IE37:IE45&lt;&gt;""),IE37:IE45-ID37:ID45))</f>
        <v/>
      </c>
      <c r="IF46" s="218">
        <f>IF(COUNT(IE37:IE45,IF37:IF45)=0,"",SUMPRODUCT(--(IE37:IE45&lt;&gt;""),--(IF37:IF45&lt;&gt;""),IF37:IF45-IE37:IE45))</f>
        <v/>
      </c>
      <c r="IG46" s="218">
        <f>IF(COUNT(IF37:IF45,IG37:IG45)=0,"",SUMPRODUCT(--(IF37:IF45&lt;&gt;""),--(IG37:IG45&lt;&gt;""),IG37:IG45-IF37:IF45))</f>
        <v/>
      </c>
      <c r="IH46" s="218">
        <f>IF(COUNT(IG37:IG45,IH37:IH45)=0,"",SUMPRODUCT(--(IG37:IG45&lt;&gt;""),--(IH37:IH45&lt;&gt;""),IH37:IH45-IG37:IG45))</f>
        <v/>
      </c>
      <c r="II46" s="218">
        <f>IF(COUNT(IH37:IH45,II37:II45)=0,"",SUMPRODUCT(--(IH37:IH45&lt;&gt;""),--(II37:II45&lt;&gt;""),II37:II45-IH37:IH45))</f>
        <v/>
      </c>
      <c r="IJ46" s="218">
        <f>IF(COUNT(II37:II45,IJ37:IJ45)=0,"",SUMPRODUCT(--(II37:II45&lt;&gt;""),--(IJ37:IJ45&lt;&gt;""),IJ37:IJ45-II37:II45))</f>
        <v/>
      </c>
      <c r="IK46" s="218">
        <f>IF(COUNT(IJ37:IJ45,IK37:IK45)=0,"",SUMPRODUCT(--(IJ37:IJ45&lt;&gt;""),--(IK37:IK45&lt;&gt;""),IK37:IK45-IJ37:IJ45))</f>
        <v/>
      </c>
      <c r="IL46" s="218">
        <f>IF(COUNT(IK37:IK45,IL37:IL45)=0,"",SUMPRODUCT(--(IK37:IK45&lt;&gt;""),--(IL37:IL45&lt;&gt;""),IL37:IL45-IK37:IK45))</f>
        <v/>
      </c>
      <c r="IM46" s="218">
        <f>IF(COUNT(IL37:IL45,IM37:IM45)=0,"",SUMPRODUCT(--(IL37:IL45&lt;&gt;""),--(IM37:IM45&lt;&gt;""),IM37:IM45-IL37:IL45))</f>
        <v/>
      </c>
      <c r="IN46" s="218">
        <f>IF(COUNT(IM37:IM45,IN37:IN45)=0,"",SUMPRODUCT(--(IM37:IM45&lt;&gt;""),--(IN37:IN45&lt;&gt;""),IN37:IN45-IM37:IM45))</f>
        <v/>
      </c>
      <c r="IO46" s="218">
        <f>IF(COUNT(IN37:IN45,IO37:IO45)=0,"",SUMPRODUCT(--(IN37:IN45&lt;&gt;""),--(IO37:IO45&lt;&gt;""),IO37:IO45-IN37:IN45))</f>
        <v/>
      </c>
      <c r="IP46" s="218">
        <f>IF(COUNT(IO37:IO45,IP37:IP45)=0,"",SUMPRODUCT(--(IO37:IO45&lt;&gt;""),--(IP37:IP45&lt;&gt;""),IP37:IP45-IO37:IO45))</f>
        <v/>
      </c>
      <c r="IQ46" s="218">
        <f>IF(COUNT(IP37:IP45,IQ37:IQ45)=0,"",SUMPRODUCT(--(IP37:IP45&lt;&gt;""),--(IQ37:IQ45&lt;&gt;""),IQ37:IQ45-IP37:IP45))</f>
        <v/>
      </c>
      <c r="IR46" s="218">
        <f>IF(COUNT(IQ37:IQ45,IR37:IR45)=0,"",SUMPRODUCT(--(IQ37:IQ45&lt;&gt;""),--(IR37:IR45&lt;&gt;""),IR37:IR45-IQ37:IQ45))</f>
        <v/>
      </c>
      <c r="IS46" s="218">
        <f>IF(COUNT(IR37:IR45,IS37:IS45)=0,"",SUMPRODUCT(--(IR37:IR45&lt;&gt;""),--(IS37:IS45&lt;&gt;""),IS37:IS45-IR37:IR45))</f>
        <v/>
      </c>
      <c r="IT46" s="218">
        <f>IF(COUNT(IS37:IS45,IT37:IT45)=0,"",SUMPRODUCT(--(IS37:IS45&lt;&gt;""),--(IT37:IT45&lt;&gt;""),IT37:IT45-IS37:IS45))</f>
        <v/>
      </c>
      <c r="IU46" s="218">
        <f>IF(COUNT(IT37:IT45,IU37:IU45)=0,"",SUMPRODUCT(--(IT37:IT45&lt;&gt;""),--(IU37:IU45&lt;&gt;""),IU37:IU45-IT37:IT45))</f>
        <v/>
      </c>
      <c r="IV46" s="218">
        <f>IF(COUNT(IU37:IU45,IV37:IV45)=0,"",SUMPRODUCT(--(IU37:IU45&lt;&gt;""),--(IV37:IV45&lt;&gt;""),IV37:IV45-IU37:IU45))</f>
        <v/>
      </c>
      <c r="IW46" s="218">
        <f>IF(COUNT(IV37:IV45,IW37:IW45)=0,"",SUMPRODUCT(--(IV37:IV45&lt;&gt;""),--(IW37:IW45&lt;&gt;""),IW37:IW45-IV37:IV45))</f>
        <v/>
      </c>
      <c r="IX46" s="218">
        <f>IF(COUNT(IW37:IW45,IX37:IX45)=0,"",SUMPRODUCT(--(IW37:IW45&lt;&gt;""),--(IX37:IX45&lt;&gt;""),IX37:IX45-IW37:IW45))</f>
        <v/>
      </c>
      <c r="IY46" s="218">
        <f>IF(COUNT(IX37:IX45,IY37:IY45)=0,"",SUMPRODUCT(--(IX37:IX45&lt;&gt;""),--(IY37:IY45&lt;&gt;""),IY37:IY45-IX37:IX45))</f>
        <v/>
      </c>
      <c r="IZ46" s="218">
        <f>IF(COUNT(IY37:IY45,IZ37:IZ45)=0,"",SUMPRODUCT(--(IY37:IY45&lt;&gt;""),--(IZ37:IZ45&lt;&gt;""),IZ37:IZ45-IY37:IY45))</f>
        <v/>
      </c>
      <c r="JA46" s="218">
        <f>IF(COUNT(IZ37:IZ45,JA37:JA45)=0,"",SUMPRODUCT(--(IZ37:IZ45&lt;&gt;""),--(JA37:JA45&lt;&gt;""),JA37:JA45-IZ37:IZ45))</f>
        <v/>
      </c>
      <c r="JB46" s="218">
        <f>IF(COUNT(JA37:JA45,JB37:JB45)=0,"",SUMPRODUCT(--(JA37:JA45&lt;&gt;""),--(JB37:JB45&lt;&gt;""),JB37:JB45-JA37:JA45))</f>
        <v/>
      </c>
      <c r="JC46" s="218">
        <f>IF(COUNT(JB37:JB45,JC37:JC45)=0,"",SUMPRODUCT(--(JB37:JB45&lt;&gt;""),--(JC37:JC45&lt;&gt;""),JC37:JC45-JB37:JB45))</f>
        <v/>
      </c>
      <c r="JD46" s="218">
        <f>IF(COUNT(JC37:JC45,JD37:JD45)=0,"",SUMPRODUCT(--(JC37:JC45&lt;&gt;""),--(JD37:JD45&lt;&gt;""),JD37:JD45-JC37:JC45))</f>
        <v/>
      </c>
      <c r="JE46" s="218">
        <f>IF(COUNT(JD37:JD45,JE37:JE45)=0,"",SUMPRODUCT(--(JD37:JD45&lt;&gt;""),--(JE37:JE45&lt;&gt;""),JE37:JE45-JD37:JD45))</f>
        <v/>
      </c>
      <c r="JF46" s="218">
        <f>IF(COUNT(JE37:JE45,JF37:JF45)=0,"",SUMPRODUCT(--(JE37:JE45&lt;&gt;""),--(JF37:JF45&lt;&gt;""),JF37:JF45-JE37:JE45))</f>
        <v/>
      </c>
      <c r="JG46" s="218">
        <f>IF(COUNT(JF37:JF45,JG37:JG45)=0,"",SUMPRODUCT(--(JF37:JF45&lt;&gt;""),--(JG37:JG45&lt;&gt;""),JG37:JG45-JF37:JF45))</f>
        <v/>
      </c>
      <c r="JH46" s="218">
        <f>IF(COUNT(JG37:JG45,JH37:JH45)=0,"",SUMPRODUCT(--(JG37:JG45&lt;&gt;""),--(JH37:JH45&lt;&gt;""),JH37:JH45-JG37:JG45))</f>
        <v/>
      </c>
      <c r="JI46" s="218">
        <f>IF(COUNT(JH37:JH45,JI37:JI45)=0,"",SUMPRODUCT(--(JH37:JH45&lt;&gt;""),--(JI37:JI45&lt;&gt;""),JI37:JI45-JH37:JH45))</f>
        <v/>
      </c>
      <c r="JJ46" s="218">
        <f>IF(COUNT(JI37:JI45,JJ37:JJ45)=0,"",SUMPRODUCT(--(JI37:JI45&lt;&gt;""),--(JJ37:JJ45&lt;&gt;""),JJ37:JJ45-JI37:JI45))</f>
        <v/>
      </c>
      <c r="JK46" s="218">
        <f>IF(COUNT(JJ37:JJ45,JK37:JK45)=0,"",SUMPRODUCT(--(JJ37:JJ45&lt;&gt;""),--(JK37:JK45&lt;&gt;""),JK37:JK45-JJ37:JJ45))</f>
        <v/>
      </c>
      <c r="JL46" s="218">
        <f>IF(COUNT(JK37:JK45,JL37:JL45)=0,"",SUMPRODUCT(--(JK37:JK45&lt;&gt;""),--(JL37:JL45&lt;&gt;""),JL37:JL45-JK37:JK45))</f>
        <v/>
      </c>
      <c r="JM46" s="218">
        <f>IF(COUNT(JL37:JL45,JM37:JM45)=0,"",SUMPRODUCT(--(JL37:JL45&lt;&gt;""),--(JM37:JM45&lt;&gt;""),JM37:JM45-JL37:JL45))</f>
        <v/>
      </c>
      <c r="JN46" s="218">
        <f>IF(COUNT(JM37:JM45,JN37:JN45)=0,"",SUMPRODUCT(--(JM37:JM45&lt;&gt;""),--(JN37:JN45&lt;&gt;""),JN37:JN45-JM37:JM45))</f>
        <v/>
      </c>
      <c r="JO46" s="218">
        <f>IF(COUNT(JN37:JN45,JO37:JO45)=0,"",SUMPRODUCT(--(JN37:JN45&lt;&gt;""),--(JO37:JO45&lt;&gt;""),JO37:JO45-JN37:JN45))</f>
        <v/>
      </c>
      <c r="JP46" s="218">
        <f>IF(COUNT(JO37:JO45,JP37:JP45)=0,"",SUMPRODUCT(--(JO37:JO45&lt;&gt;""),--(JP37:JP45&lt;&gt;""),JP37:JP45-JO37:JO45))</f>
        <v/>
      </c>
      <c r="JQ46" s="218">
        <f>IF(COUNT(JP37:JP45,JQ37:JQ45)=0,"",SUMPRODUCT(--(JP37:JP45&lt;&gt;""),--(JQ37:JQ45&lt;&gt;""),JQ37:JQ45-JP37:JP45))</f>
        <v/>
      </c>
      <c r="JR46" s="218">
        <f>IF(COUNT(JQ37:JQ45,JR37:JR45)=0,"",SUMPRODUCT(--(JQ37:JQ45&lt;&gt;""),--(JR37:JR45&lt;&gt;""),JR37:JR45-JQ37:JQ45))</f>
        <v/>
      </c>
      <c r="JS46" s="218">
        <f>IF(COUNT(JR37:JR45,JS37:JS45)=0,"",SUMPRODUCT(--(JR37:JR45&lt;&gt;""),--(JS37:JS45&lt;&gt;""),JS37:JS45-JR37:JR45))</f>
        <v/>
      </c>
      <c r="JT46" s="218">
        <f>IF(COUNT(JS37:JS45,JT37:JT45)=0,"",SUMPRODUCT(--(JS37:JS45&lt;&gt;""),--(JT37:JT45&lt;&gt;""),JT37:JT45-JS37:JS45))</f>
        <v/>
      </c>
      <c r="JU46" s="218">
        <f>IF(COUNT(JT37:JT45,JU37:JU45)=0,"",SUMPRODUCT(--(JT37:JT45&lt;&gt;""),--(JU37:JU45&lt;&gt;""),JU37:JU45-JT37:JT45))</f>
        <v/>
      </c>
      <c r="JV46" s="218">
        <f>IF(COUNT(JU37:JU45,JV37:JV45)=0,"",SUMPRODUCT(--(JU37:JU45&lt;&gt;""),--(JV37:JV45&lt;&gt;""),JV37:JV45-JU37:JU45))</f>
        <v/>
      </c>
      <c r="JW46" s="218">
        <f>IF(COUNT(JV37:JV45,JW37:JW45)=0,"",SUMPRODUCT(--(JV37:JV45&lt;&gt;""),--(JW37:JW45&lt;&gt;""),JW37:JW45-JV37:JV45))</f>
        <v/>
      </c>
      <c r="JX46" s="218">
        <f>IF(COUNT(JW37:JW45,JX37:JX45)=0,"",SUMPRODUCT(--(JW37:JW45&lt;&gt;""),--(JX37:JX45&lt;&gt;""),JX37:JX45-JW37:JW45))</f>
        <v/>
      </c>
      <c r="JY46" s="218">
        <f>IF(COUNT(JX37:JX45,JY37:JY45)=0,"",SUMPRODUCT(--(JX37:JX45&lt;&gt;""),--(JY37:JY45&lt;&gt;""),JY37:JY45-JX37:JX45))</f>
        <v/>
      </c>
      <c r="JZ46" s="218">
        <f>IF(COUNT(JY37:JY45,JZ37:JZ45)=0,"",SUMPRODUCT(--(JY37:JY45&lt;&gt;""),--(JZ37:JZ45&lt;&gt;""),JZ37:JZ45-JY37:JY45))</f>
        <v/>
      </c>
      <c r="KA46" s="218">
        <f>IF(COUNT(JZ37:JZ45,KA37:KA45)=0,"",SUMPRODUCT(--(JZ37:JZ45&lt;&gt;""),--(KA37:KA45&lt;&gt;""),KA37:KA45-JZ37:JZ45))</f>
        <v/>
      </c>
      <c r="KB46" s="218">
        <f>IF(COUNT(KA37:KA45,KB37:KB45)=0,"",SUMPRODUCT(--(KA37:KA45&lt;&gt;""),--(KB37:KB45&lt;&gt;""),KB37:KB45-KA37:KA45))</f>
        <v/>
      </c>
      <c r="KC46" s="218">
        <f>IF(COUNT(KB37:KB45,KC37:KC45)=0,"",SUMPRODUCT(--(KB37:KB45&lt;&gt;""),--(KC37:KC45&lt;&gt;""),KC37:KC45-KB37:KB45))</f>
        <v/>
      </c>
      <c r="KD46" s="218">
        <f>IF(COUNT(KC37:KC45,KD37:KD45)=0,"",SUMPRODUCT(--(KC37:KC45&lt;&gt;""),--(KD37:KD45&lt;&gt;""),KD37:KD45-KC37:KC45))</f>
        <v/>
      </c>
      <c r="KE46" s="218">
        <f>IF(COUNT(KD37:KD45,KE37:KE45)=0,"",SUMPRODUCT(--(KD37:KD45&lt;&gt;""),--(KE37:KE45&lt;&gt;""),KE37:KE45-KD37:KD45))</f>
        <v/>
      </c>
      <c r="KF46" s="218">
        <f>IF(COUNT(KE37:KE45,KF37:KF45)=0,"",SUMPRODUCT(--(KE37:KE45&lt;&gt;""),--(KF37:KF45&lt;&gt;""),KF37:KF45-KE37:KE45))</f>
        <v/>
      </c>
      <c r="KG46" s="218">
        <f>IF(COUNT(KF37:KF45,KG37:KG45)=0,"",SUMPRODUCT(--(KF37:KF45&lt;&gt;""),--(KG37:KG45&lt;&gt;""),KG37:KG45-KF37:KF45))</f>
        <v/>
      </c>
      <c r="KH46" s="218">
        <f>IF(COUNT(KG37:KG45,KH37:KH45)=0,"",SUMPRODUCT(--(KG37:KG45&lt;&gt;""),--(KH37:KH45&lt;&gt;""),KH37:KH45-KG37:KG45))</f>
        <v/>
      </c>
      <c r="KI46" s="218">
        <f>IF(COUNT(KH37:KH45,KI37:KI45)=0,"",SUMPRODUCT(--(KH37:KH45&lt;&gt;""),--(KI37:KI45&lt;&gt;""),KI37:KI45-KH37:KH45))</f>
        <v/>
      </c>
      <c r="KJ46" s="218">
        <f>IF(COUNT(KI37:KI45,KJ37:KJ45)=0,"",SUMPRODUCT(--(KI37:KI45&lt;&gt;""),--(KJ37:KJ45&lt;&gt;""),KJ37:KJ45-KI37:KI45))</f>
        <v/>
      </c>
      <c r="KK46" s="218">
        <f>IF(COUNT(KJ37:KJ45,KK37:KK45)=0,"",SUMPRODUCT(--(KJ37:KJ45&lt;&gt;""),--(KK37:KK45&lt;&gt;""),KK37:KK45-KJ37:KJ45))</f>
        <v/>
      </c>
      <c r="KL46" s="218">
        <f>IF(COUNT(KK37:KK45,KL37:KL45)=0,"",SUMPRODUCT(--(KK37:KK45&lt;&gt;""),--(KL37:KL45&lt;&gt;""),KL37:KL45-KK37:KK45))</f>
        <v/>
      </c>
      <c r="KM46" s="218">
        <f>IF(COUNT(KL37:KL45,KM37:KM45)=0,"",SUMPRODUCT(--(KL37:KL45&lt;&gt;""),--(KM37:KM45&lt;&gt;""),KM37:KM45-KL37:KL45))</f>
        <v/>
      </c>
      <c r="KN46" s="218">
        <f>IF(COUNT(KM37:KM45,KN37:KN45)=0,"",SUMPRODUCT(--(KM37:KM45&lt;&gt;""),--(KN37:KN45&lt;&gt;""),KN37:KN45-KM37:KM45))</f>
        <v/>
      </c>
      <c r="KO46" s="218">
        <f>IF(COUNT(KN37:KN45,KO37:KO45)=0,"",SUMPRODUCT(--(KN37:KN45&lt;&gt;""),--(KO37:KO45&lt;&gt;""),KO37:KO45-KN37:KN45))</f>
        <v/>
      </c>
      <c r="KP46" s="218">
        <f>IF(COUNT(KO37:KO45,KP37:KP45)=0,"",SUMPRODUCT(--(KO37:KO45&lt;&gt;""),--(KP37:KP45&lt;&gt;""),KP37:KP45-KO37:KO45))</f>
        <v/>
      </c>
      <c r="KQ46" s="218">
        <f>IF(COUNT(KP37:KP45,KQ37:KQ45)=0,"",SUMPRODUCT(--(KP37:KP45&lt;&gt;""),--(KQ37:KQ45&lt;&gt;""),KQ37:KQ45-KP37:KP45))</f>
        <v/>
      </c>
      <c r="KR46" s="218">
        <f>IF(COUNT(KQ37:KQ45,KR37:KR45)=0,"",SUMPRODUCT(--(KQ37:KQ45&lt;&gt;""),--(KR37:KR45&lt;&gt;""),KR37:KR45-KQ37:KQ45))</f>
        <v/>
      </c>
      <c r="KS46" s="218">
        <f>IF(COUNT(KR37:KR45,KS37:KS45)=0,"",SUMPRODUCT(--(KR37:KR45&lt;&gt;""),--(KS37:KS45&lt;&gt;""),KS37:KS45-KR37:KR45))</f>
        <v/>
      </c>
      <c r="KT46" s="218">
        <f>IF(COUNT(KS37:KS45,KT37:KT45)=0,"",SUMPRODUCT(--(KS37:KS45&lt;&gt;""),--(KT37:KT45&lt;&gt;""),KT37:KT45-KS37:KS45))</f>
        <v/>
      </c>
      <c r="KU46" s="218">
        <f>IF(COUNT(KT37:KT45,KU37:KU45)=0,"",SUMPRODUCT(--(KT37:KT45&lt;&gt;""),--(KU37:KU45&lt;&gt;""),KU37:KU45-KT37:KT45))</f>
        <v/>
      </c>
      <c r="KV46" s="218">
        <f>IF(COUNT(KU37:KU45,KV37:KV45)=0,"",SUMPRODUCT(--(KU37:KU45&lt;&gt;""),--(KV37:KV45&lt;&gt;""),KV37:KV45-KU37:KU45))</f>
        <v/>
      </c>
      <c r="KW46" s="218">
        <f>IF(COUNT(KV37:KV45,KW37:KW45)=0,"",SUMPRODUCT(--(KV37:KV45&lt;&gt;""),--(KW37:KW45&lt;&gt;""),KW37:KW45-KV37:KV45))</f>
        <v/>
      </c>
      <c r="KX46" s="218">
        <f>IF(COUNT(KW37:KW45,KX37:KX45)=0,"",SUMPRODUCT(--(KW37:KW45&lt;&gt;""),--(KX37:KX45&lt;&gt;""),KX37:KX45-KW37:KW45))</f>
        <v/>
      </c>
      <c r="KY46" s="218">
        <f>IF(COUNT(KX37:KX45,KY37:KY45)=0,"",SUMPRODUCT(--(KX37:KX45&lt;&gt;""),--(KY37:KY45&lt;&gt;""),KY37:KY45-KX37:KX45))</f>
        <v/>
      </c>
      <c r="KZ46" s="218">
        <f>IF(COUNT(KY37:KY45,KZ37:KZ45)=0,"",SUMPRODUCT(--(KY37:KY45&lt;&gt;""),--(KZ37:KZ45&lt;&gt;""),KZ37:KZ45-KY37:KY45))</f>
        <v/>
      </c>
      <c r="LA46" s="218">
        <f>IF(COUNT(KZ37:KZ45,LA37:LA45)=0,"",SUMPRODUCT(--(KZ37:KZ45&lt;&gt;""),--(LA37:LA45&lt;&gt;""),LA37:LA45-KZ37:KZ45))</f>
        <v/>
      </c>
      <c r="LB46" s="218">
        <f>IF(COUNT(LA37:LA45,LB37:LB45)=0,"",SUMPRODUCT(--(LA37:LA45&lt;&gt;""),--(LB37:LB45&lt;&gt;""),LB37:LB45-LA37:LA45))</f>
        <v/>
      </c>
      <c r="LC46" s="218">
        <f>IF(COUNT(LB37:LB45,LC37:LC45)=0,"",SUMPRODUCT(--(LB37:LB45&lt;&gt;""),--(LC37:LC45&lt;&gt;""),LC37:LC45-LB37:LB45))</f>
        <v/>
      </c>
      <c r="LD46" s="218">
        <f>IF(COUNT(LC37:LC45,LD37:LD45)=0,"",SUMPRODUCT(--(LC37:LC45&lt;&gt;""),--(LD37:LD45&lt;&gt;""),LD37:LD45-LC37:LC45))</f>
        <v/>
      </c>
      <c r="LE46" s="218">
        <f>IF(COUNT(LD37:LD45,LE37:LE45)=0,"",SUMPRODUCT(--(LD37:LD45&lt;&gt;""),--(LE37:LE45&lt;&gt;""),LE37:LE45-LD37:LD45))</f>
        <v/>
      </c>
      <c r="LF46" s="218">
        <f>IF(COUNT(LE37:LE45,LF37:LF45)=0,"",SUMPRODUCT(--(LE37:LE45&lt;&gt;""),--(LF37:LF45&lt;&gt;""),LF37:LF45-LE37:LE45))</f>
        <v/>
      </c>
      <c r="LG46" s="218">
        <f>IF(COUNT(LF37:LF45,LG37:LG45)=0,"",SUMPRODUCT(--(LF37:LF45&lt;&gt;""),--(LG37:LG45&lt;&gt;""),LG37:LG45-LF37:LF45))</f>
        <v/>
      </c>
      <c r="LH46" s="218">
        <f>IF(COUNT(LG37:LG45,LH37:LH45)=0,"",SUMPRODUCT(--(LG37:LG45&lt;&gt;""),--(LH37:LH45&lt;&gt;""),LH37:LH45-LG37:LG45))</f>
        <v/>
      </c>
      <c r="LI46" s="218">
        <f>IF(COUNT(LH37:LH45,LI37:LI45)=0,"",SUMPRODUCT(--(LH37:LH45&lt;&gt;""),--(LI37:LI45&lt;&gt;""),LI37:LI45-LH37:LH45))</f>
        <v/>
      </c>
      <c r="LJ46" s="218">
        <f>IF(COUNT(LI37:LI45,LJ37:LJ45)=0,"",SUMPRODUCT(--(LI37:LI45&lt;&gt;""),--(LJ37:LJ45&lt;&gt;""),LJ37:LJ45-LI37:LI45))</f>
        <v/>
      </c>
      <c r="LK46" s="218">
        <f>IF(COUNT(LJ37:LJ45,LK37:LK45)=0,"",SUMPRODUCT(--(LJ37:LJ45&lt;&gt;""),--(LK37:LK45&lt;&gt;""),LK37:LK45-LJ37:LJ45))</f>
        <v/>
      </c>
      <c r="LL46" s="218">
        <f>IF(COUNT(LK37:LK45,LL37:LL45)=0,"",SUMPRODUCT(--(LK37:LK45&lt;&gt;""),--(LL37:LL45&lt;&gt;""),LL37:LL45-LK37:LK45))</f>
        <v/>
      </c>
      <c r="LM46" s="218">
        <f>IF(COUNT(LL37:LL45,LM37:LM45)=0,"",SUMPRODUCT(--(LL37:LL45&lt;&gt;""),--(LM37:LM45&lt;&gt;""),LM37:LM45-LL37:LL45))</f>
        <v/>
      </c>
      <c r="LN46" s="218">
        <f>IF(COUNT(LM37:LM45,LN37:LN45)=0,"",SUMPRODUCT(--(LM37:LM45&lt;&gt;""),--(LN37:LN45&lt;&gt;""),LN37:LN45-LM37:LM45))</f>
        <v/>
      </c>
      <c r="LO46" s="218">
        <f>IF(COUNT(LN37:LN45,LO37:LO45)=0,"",SUMPRODUCT(--(LN37:LN45&lt;&gt;""),--(LO37:LO45&lt;&gt;""),LO37:LO45-LN37:LN45))</f>
        <v/>
      </c>
      <c r="LP46" s="218">
        <f>IF(COUNT(LO37:LO45,LP37:LP45)=0,"",SUMPRODUCT(--(LO37:LO45&lt;&gt;""),--(LP37:LP45&lt;&gt;""),LP37:LP45-LO37:LO45))</f>
        <v/>
      </c>
      <c r="LQ46" s="218">
        <f>IF(COUNT(LP37:LP45,LQ37:LQ45)=0,"",SUMPRODUCT(--(LP37:LP45&lt;&gt;""),--(LQ37:LQ45&lt;&gt;""),LQ37:LQ45-LP37:LP45))</f>
        <v/>
      </c>
      <c r="LR46" s="218">
        <f>IF(COUNT(LQ37:LQ45,LR37:LR45)=0,"",SUMPRODUCT(--(LQ37:LQ45&lt;&gt;""),--(LR37:LR45&lt;&gt;""),LR37:LR45-LQ37:LQ45))</f>
        <v/>
      </c>
      <c r="LS46" s="218">
        <f>IF(COUNT(LR37:LR45,LS37:LS45)=0,"",SUMPRODUCT(--(LR37:LR45&lt;&gt;""),--(LS37:LS45&lt;&gt;""),LS37:LS45-LR37:LR45))</f>
        <v/>
      </c>
      <c r="LT46" s="218">
        <f>IF(COUNT(LS37:LS45,LT37:LT45)=0,"",SUMPRODUCT(--(LS37:LS45&lt;&gt;""),--(LT37:LT45&lt;&gt;""),LT37:LT45-LS37:LS45))</f>
        <v/>
      </c>
      <c r="LU46" s="218">
        <f>IF(COUNT(LT37:LT45,LU37:LU45)=0,"",SUMPRODUCT(--(LT37:LT45&lt;&gt;""),--(LU37:LU45&lt;&gt;""),LU37:LU45-LT37:LT45))</f>
        <v/>
      </c>
      <c r="LV46" s="218">
        <f>IF(COUNT(LU37:LU45,LV37:LV45)=0,"",SUMPRODUCT(--(LU37:LU45&lt;&gt;""),--(LV37:LV45&lt;&gt;""),LV37:LV45-LU37:LU45))</f>
        <v/>
      </c>
      <c r="LW46" s="218">
        <f>IF(COUNT(LV37:LV45,LW37:LW45)=0,"",SUMPRODUCT(--(LV37:LV45&lt;&gt;""),--(LW37:LW45&lt;&gt;""),LW37:LW45-LV37:LV45))</f>
        <v/>
      </c>
      <c r="LX46" s="218">
        <f>IF(COUNT(LW37:LW45,LX37:LX45)=0,"",SUMPRODUCT(--(LW37:LW45&lt;&gt;""),--(LX37:LX45&lt;&gt;""),LX37:LX45-LW37:LW45))</f>
        <v/>
      </c>
      <c r="LY46" s="218">
        <f>IF(COUNT(LX37:LX45,LY37:LY45)=0,"",SUMPRODUCT(--(LX37:LX45&lt;&gt;""),--(LY37:LY45&lt;&gt;""),LY37:LY45-LX37:LX45))</f>
        <v/>
      </c>
      <c r="LZ46" s="218">
        <f>IF(COUNT(LY37:LY45,LZ37:LZ45)=0,"",SUMPRODUCT(--(LY37:LY45&lt;&gt;""),--(LZ37:LZ45&lt;&gt;""),LZ37:LZ45-LY37:LY45))</f>
        <v/>
      </c>
      <c r="MA46" s="218">
        <f>IF(COUNT(LZ37:LZ45,MA37:MA45)=0,"",SUMPRODUCT(--(LZ37:LZ45&lt;&gt;""),--(MA37:MA45&lt;&gt;""),MA37:MA45-LZ37:LZ45))</f>
        <v/>
      </c>
      <c r="MB46" s="218">
        <f>IF(COUNT(MA37:MA45,MB37:MB45)=0,"",SUMPRODUCT(--(MA37:MA45&lt;&gt;""),--(MB37:MB45&lt;&gt;""),MB37:MB45-MA37:MA45))</f>
        <v/>
      </c>
      <c r="MC46" s="218">
        <f>IF(COUNT(MB37:MB45,MC37:MC45)=0,"",SUMPRODUCT(--(MB37:MB45&lt;&gt;""),--(MC37:MC45&lt;&gt;""),MC37:MC45-MB37:MB45))</f>
        <v/>
      </c>
      <c r="MD46" s="218">
        <f>IF(COUNT(MC37:MC45,MD37:MD45)=0,"",SUMPRODUCT(--(MC37:MC45&lt;&gt;""),--(MD37:MD45&lt;&gt;""),MD37:MD45-MC37:MC45))</f>
        <v/>
      </c>
      <c r="ME46" s="218">
        <f>IF(COUNT(MD37:MD45,ME37:ME45)=0,"",SUMPRODUCT(--(MD37:MD45&lt;&gt;""),--(ME37:ME45&lt;&gt;""),ME37:ME45-MD37:MD45))</f>
        <v/>
      </c>
      <c r="MF46" s="218">
        <f>IF(COUNT(ME37:ME45,MF37:MF45)=0,"",SUMPRODUCT(--(ME37:ME45&lt;&gt;""),--(MF37:MF45&lt;&gt;""),MF37:MF45-ME37:ME45))</f>
        <v/>
      </c>
      <c r="MG46" s="218">
        <f>IF(COUNT(MF37:MF45,MG37:MG45)=0,"",SUMPRODUCT(--(MF37:MF45&lt;&gt;""),--(MG37:MG45&lt;&gt;""),MG37:MG45-MF37:MF45))</f>
        <v/>
      </c>
      <c r="MH46" s="218">
        <f>IF(COUNT(MG37:MG45,MH37:MH45)=0,"",SUMPRODUCT(--(MG37:MG45&lt;&gt;""),--(MH37:MH45&lt;&gt;""),MH37:MH45-MG37:MG45))</f>
        <v/>
      </c>
      <c r="MI46" s="218">
        <f>IF(COUNT(MH37:MH45,MI37:MI45)=0,"",SUMPRODUCT(--(MH37:MH45&lt;&gt;""),--(MI37:MI45&lt;&gt;""),MI37:MI45-MH37:MH45))</f>
        <v/>
      </c>
      <c r="MJ46" s="218">
        <f>IF(COUNT(MI37:MI45,MJ37:MJ45)=0,"",SUMPRODUCT(--(MI37:MI45&lt;&gt;""),--(MJ37:MJ45&lt;&gt;""),MJ37:MJ45-MI37:MI45))</f>
        <v/>
      </c>
      <c r="MK46" s="218">
        <f>IF(COUNT(MJ37:MJ45,MK37:MK45)=0,"",SUMPRODUCT(--(MJ37:MJ45&lt;&gt;""),--(MK37:MK45&lt;&gt;""),MK37:MK45-MJ37:MJ45))</f>
        <v/>
      </c>
      <c r="ML46" s="218">
        <f>IF(COUNT(MK37:MK45,ML37:ML45)=0,"",SUMPRODUCT(--(MK37:MK45&lt;&gt;""),--(ML37:ML45&lt;&gt;""),ML37:ML45-MK37:MK45))</f>
        <v/>
      </c>
      <c r="MM46" s="218">
        <f>IF(COUNT(ML37:ML45,MM37:MM45)=0,"",SUMPRODUCT(--(ML37:ML45&lt;&gt;""),--(MM37:MM45&lt;&gt;""),MM37:MM45-ML37:ML45))</f>
        <v/>
      </c>
      <c r="MN46" s="218">
        <f>IF(COUNT(MM37:MM45,MN37:MN45)=0,"",SUMPRODUCT(--(MM37:MM45&lt;&gt;""),--(MN37:MN45&lt;&gt;""),MN37:MN45-MM37:MM45))</f>
        <v/>
      </c>
      <c r="MO46" s="218">
        <f>IF(COUNT(MN37:MN45,MO37:MO45)=0,"",SUMPRODUCT(--(MN37:MN45&lt;&gt;""),--(MO37:MO45&lt;&gt;""),MO37:MO45-MN37:MN45))</f>
        <v/>
      </c>
      <c r="MP46" s="218">
        <f>IF(COUNT(MO37:MO45,MP37:MP45)=0,"",SUMPRODUCT(--(MO37:MO45&lt;&gt;""),--(MP37:MP45&lt;&gt;""),MP37:MP45-MO37:MO45))</f>
        <v/>
      </c>
      <c r="MQ46" s="218">
        <f>IF(COUNT(MP37:MP45,MQ37:MQ45)=0,"",SUMPRODUCT(--(MP37:MP45&lt;&gt;""),--(MQ37:MQ45&lt;&gt;""),MQ37:MQ45-MP37:MP45))</f>
        <v/>
      </c>
      <c r="MR46" s="218">
        <f>IF(COUNT(MQ37:MQ45,MR37:MR45)=0,"",SUMPRODUCT(--(MQ37:MQ45&lt;&gt;""),--(MR37:MR45&lt;&gt;""),MR37:MR45-MQ37:MQ45))</f>
        <v/>
      </c>
      <c r="MS46" s="218">
        <f>IF(COUNT(MR37:MR45,MS37:MS45)=0,"",SUMPRODUCT(--(MR37:MR45&lt;&gt;""),--(MS37:MS45&lt;&gt;""),MS37:MS45-MR37:MR45))</f>
        <v/>
      </c>
      <c r="MT46" s="218">
        <f>IF(COUNT(MS37:MS45,MT37:MT45)=0,"",SUMPRODUCT(--(MS37:MS45&lt;&gt;""),--(MT37:MT45&lt;&gt;""),MT37:MT45-MS37:MS45))</f>
        <v/>
      </c>
      <c r="MU46" s="218">
        <f>IF(COUNT(MT37:MT45,MU37:MU45)=0,"",SUMPRODUCT(--(MT37:MT45&lt;&gt;""),--(MU37:MU45&lt;&gt;""),MU37:MU45-MT37:MT45))</f>
        <v/>
      </c>
      <c r="MV46" s="218">
        <f>IF(COUNT(MU37:MU45,MV37:MV45)=0,"",SUMPRODUCT(--(MU37:MU45&lt;&gt;""),--(MV37:MV45&lt;&gt;""),MV37:MV45-MU37:MU45))</f>
        <v/>
      </c>
      <c r="MW46" s="218">
        <f>IF(COUNT(MV37:MV45,MW37:MW45)=0,"",SUMPRODUCT(--(MV37:MV45&lt;&gt;""),--(MW37:MW45&lt;&gt;""),MW37:MW45-MV37:MV45))</f>
        <v/>
      </c>
      <c r="MX46" s="218">
        <f>IF(COUNT(MW37:MW45,MX37:MX45)=0,"",SUMPRODUCT(--(MW37:MW45&lt;&gt;""),--(MX37:MX45&lt;&gt;""),MX37:MX45-MW37:MW45))</f>
        <v/>
      </c>
      <c r="MY46" s="218">
        <f>IF(COUNT(MX37:MX45,MY37:MY45)=0,"",SUMPRODUCT(--(MX37:MX45&lt;&gt;""),--(MY37:MY45&lt;&gt;""),MY37:MY45-MX37:MX45))</f>
        <v/>
      </c>
      <c r="MZ46" s="218">
        <f>IF(COUNT(MY37:MY45,MZ37:MZ45)=0,"",SUMPRODUCT(--(MY37:MY45&lt;&gt;""),--(MZ37:MZ45&lt;&gt;""),MZ37:MZ45-MY37:MY45))</f>
        <v/>
      </c>
      <c r="NA46" s="218">
        <f>IF(COUNT(MZ37:MZ45,NA37:NA45)=0,"",SUMPRODUCT(--(MZ37:MZ45&lt;&gt;""),--(NA37:NA45&lt;&gt;""),NA37:NA45-MZ37:MZ45))</f>
        <v/>
      </c>
      <c r="NB46" s="218">
        <f>IF(COUNT(NA37:NA45,NB37:NB45)=0,"",SUMPRODUCT(--(NA37:NA45&lt;&gt;""),--(NB37:NB45&lt;&gt;""),NB37:NB45-NA37:NA45))</f>
        <v/>
      </c>
      <c r="NC46" s="219">
        <f>SUM(B46:NB46)</f>
        <v/>
      </c>
    </row>
    <row r="47" ht="54.75" customHeight="1" s="166"/>
    <row r="48" ht="30" customFormat="1" customHeight="1" s="208">
      <c r="A48" s="220" t="inlineStr">
        <is>
          <t>CHILLED WATER — METER READINGS</t>
        </is>
      </c>
    </row>
    <row r="49" ht="14.25" customHeight="1" s="166">
      <c r="A49" s="221" t="inlineStr">
        <is>
          <t>Daily meter readings by meter | Enter cumulative opening/closing meter readings only</t>
        </is>
      </c>
      <c r="B49" s="222" t="n"/>
      <c r="C49" s="222" t="n"/>
      <c r="D49" s="222" t="n"/>
      <c r="E49" s="222" t="n"/>
      <c r="F49" s="222" t="n"/>
      <c r="G49" s="222" t="n"/>
      <c r="H49" s="222" t="n"/>
      <c r="I49" s="222" t="n"/>
      <c r="J49" s="222" t="n"/>
      <c r="K49" s="222" t="n"/>
      <c r="L49" s="222" t="n"/>
    </row>
    <row r="50" ht="54" customHeight="1" s="166">
      <c r="A50" s="211" t="inlineStr">
        <is>
          <t>Meter / Area</t>
        </is>
      </c>
      <c r="B50" s="212" t="n">
        <v>46296</v>
      </c>
      <c r="C50" s="212" t="n">
        <v>46297</v>
      </c>
      <c r="D50" s="212" t="n">
        <v>46298</v>
      </c>
      <c r="E50" s="212" t="n">
        <v>46299</v>
      </c>
      <c r="F50" s="212" t="n">
        <v>46300</v>
      </c>
      <c r="G50" s="212" t="n">
        <v>46301</v>
      </c>
      <c r="H50" s="212" t="n">
        <v>46302</v>
      </c>
      <c r="I50" s="212" t="n">
        <v>46303</v>
      </c>
      <c r="J50" s="212" t="n">
        <v>46304</v>
      </c>
      <c r="K50" s="212" t="n">
        <v>46305</v>
      </c>
      <c r="L50" s="212" t="n">
        <v>46306</v>
      </c>
      <c r="M50" s="212" t="n">
        <v>46307</v>
      </c>
      <c r="N50" s="212" t="n">
        <v>46308</v>
      </c>
      <c r="O50" s="212" t="n">
        <v>46309</v>
      </c>
      <c r="P50" s="212" t="n">
        <v>46310</v>
      </c>
      <c r="Q50" s="212" t="n">
        <v>46311</v>
      </c>
      <c r="R50" s="212" t="n">
        <v>46312</v>
      </c>
      <c r="S50" s="212" t="n">
        <v>46313</v>
      </c>
      <c r="T50" s="212" t="n">
        <v>46314</v>
      </c>
      <c r="U50" s="212" t="n">
        <v>46315</v>
      </c>
      <c r="V50" s="212" t="n">
        <v>46316</v>
      </c>
      <c r="W50" s="212" t="n">
        <v>46317</v>
      </c>
      <c r="X50" s="212" t="n">
        <v>46318</v>
      </c>
      <c r="Y50" s="212" t="n">
        <v>46319</v>
      </c>
      <c r="Z50" s="212" t="n">
        <v>46320</v>
      </c>
      <c r="AA50" s="212" t="n">
        <v>46321</v>
      </c>
      <c r="AB50" s="212" t="n">
        <v>46322</v>
      </c>
      <c r="AC50" s="212" t="n">
        <v>46323</v>
      </c>
      <c r="AD50" s="212" t="n">
        <v>46324</v>
      </c>
      <c r="AE50" s="212" t="n">
        <v>46325</v>
      </c>
      <c r="AF50" s="212" t="n">
        <v>46326</v>
      </c>
      <c r="AG50" s="212" t="n">
        <v>46327</v>
      </c>
      <c r="AH50" s="212" t="n">
        <v>46328</v>
      </c>
      <c r="AI50" s="212" t="n">
        <v>46329</v>
      </c>
      <c r="AJ50" s="212" t="n">
        <v>46330</v>
      </c>
      <c r="AK50" s="212" t="n">
        <v>46331</v>
      </c>
      <c r="AL50" s="212" t="n">
        <v>46332</v>
      </c>
      <c r="AM50" s="212" t="n">
        <v>46333</v>
      </c>
      <c r="AN50" s="212" t="n">
        <v>46334</v>
      </c>
      <c r="AO50" s="212" t="n">
        <v>46335</v>
      </c>
      <c r="AP50" s="212" t="n">
        <v>46336</v>
      </c>
      <c r="AQ50" s="212" t="n">
        <v>46337</v>
      </c>
      <c r="AR50" s="212" t="n">
        <v>46338</v>
      </c>
      <c r="AS50" s="212" t="n">
        <v>46339</v>
      </c>
      <c r="AT50" s="212" t="n">
        <v>46340</v>
      </c>
      <c r="AU50" s="212" t="n">
        <v>46341</v>
      </c>
      <c r="AV50" s="212" t="n">
        <v>46342</v>
      </c>
      <c r="AW50" s="212" t="n">
        <v>46343</v>
      </c>
      <c r="AX50" s="212" t="n">
        <v>46344</v>
      </c>
      <c r="AY50" s="212" t="n">
        <v>46345</v>
      </c>
      <c r="AZ50" s="212" t="n">
        <v>46346</v>
      </c>
      <c r="BA50" s="212" t="n">
        <v>46347</v>
      </c>
      <c r="BB50" s="212" t="n">
        <v>46348</v>
      </c>
      <c r="BC50" s="212" t="n">
        <v>46349</v>
      </c>
      <c r="BD50" s="212" t="n">
        <v>46350</v>
      </c>
      <c r="BE50" s="212" t="n">
        <v>46351</v>
      </c>
      <c r="BF50" s="212" t="n">
        <v>46352</v>
      </c>
      <c r="BG50" s="212" t="n">
        <v>46353</v>
      </c>
      <c r="BH50" s="212" t="n">
        <v>46354</v>
      </c>
      <c r="BI50" s="212" t="n">
        <v>46355</v>
      </c>
      <c r="BJ50" s="212" t="n">
        <v>46356</v>
      </c>
      <c r="BK50" s="212" t="n">
        <v>46357</v>
      </c>
      <c r="BL50" s="212" t="n">
        <v>46358</v>
      </c>
      <c r="BM50" s="212" t="n">
        <v>46359</v>
      </c>
      <c r="BN50" s="212" t="n">
        <v>46360</v>
      </c>
      <c r="BO50" s="212" t="n">
        <v>46361</v>
      </c>
      <c r="BP50" s="212" t="n">
        <v>46362</v>
      </c>
      <c r="BQ50" s="212" t="n">
        <v>46363</v>
      </c>
      <c r="BR50" s="212" t="n">
        <v>46364</v>
      </c>
      <c r="BS50" s="212" t="n">
        <v>46365</v>
      </c>
      <c r="BT50" s="212" t="n">
        <v>46366</v>
      </c>
      <c r="BU50" s="212" t="n">
        <v>46367</v>
      </c>
      <c r="BV50" s="212" t="n">
        <v>46368</v>
      </c>
      <c r="BW50" s="212" t="n">
        <v>46369</v>
      </c>
      <c r="BX50" s="212" t="n">
        <v>46370</v>
      </c>
      <c r="BY50" s="212" t="n">
        <v>46371</v>
      </c>
      <c r="BZ50" s="212" t="n">
        <v>46372</v>
      </c>
      <c r="CA50" s="212" t="n">
        <v>46373</v>
      </c>
      <c r="CB50" s="212" t="n">
        <v>46374</v>
      </c>
      <c r="CC50" s="212" t="n">
        <v>46375</v>
      </c>
      <c r="CD50" s="212" t="n">
        <v>46376</v>
      </c>
      <c r="CE50" s="212" t="n">
        <v>46377</v>
      </c>
      <c r="CF50" s="212" t="n">
        <v>46378</v>
      </c>
      <c r="CG50" s="212" t="n">
        <v>46379</v>
      </c>
      <c r="CH50" s="212" t="n">
        <v>46380</v>
      </c>
      <c r="CI50" s="212" t="n">
        <v>46381</v>
      </c>
      <c r="CJ50" s="212" t="n">
        <v>46382</v>
      </c>
      <c r="CK50" s="212" t="n">
        <v>46383</v>
      </c>
      <c r="CL50" s="212" t="n">
        <v>46384</v>
      </c>
      <c r="CM50" s="212" t="n">
        <v>46385</v>
      </c>
      <c r="CN50" s="212" t="n">
        <v>46386</v>
      </c>
      <c r="CO50" s="212" t="n">
        <v>46387</v>
      </c>
      <c r="CP50" s="212" t="n">
        <v>46388</v>
      </c>
      <c r="CQ50" s="212" t="n">
        <v>46389</v>
      </c>
      <c r="CR50" s="212" t="n">
        <v>46390</v>
      </c>
      <c r="CS50" s="212" t="n">
        <v>46391</v>
      </c>
      <c r="CT50" s="212" t="n">
        <v>46392</v>
      </c>
      <c r="CU50" s="212" t="n">
        <v>46393</v>
      </c>
      <c r="CV50" s="212" t="n">
        <v>46394</v>
      </c>
      <c r="CW50" s="212" t="n">
        <v>46395</v>
      </c>
      <c r="CX50" s="212" t="n">
        <v>46396</v>
      </c>
      <c r="CY50" s="212" t="n">
        <v>46397</v>
      </c>
      <c r="CZ50" s="212" t="n">
        <v>46398</v>
      </c>
      <c r="DA50" s="212" t="n">
        <v>46399</v>
      </c>
      <c r="DB50" s="212" t="n">
        <v>46400</v>
      </c>
      <c r="DC50" s="212" t="n">
        <v>46401</v>
      </c>
      <c r="DD50" s="212" t="n">
        <v>46402</v>
      </c>
      <c r="DE50" s="212" t="n">
        <v>46403</v>
      </c>
      <c r="DF50" s="212" t="n">
        <v>46404</v>
      </c>
      <c r="DG50" s="212" t="n">
        <v>46405</v>
      </c>
      <c r="DH50" s="212" t="n">
        <v>46406</v>
      </c>
      <c r="DI50" s="212" t="n">
        <v>46407</v>
      </c>
      <c r="DJ50" s="212" t="n">
        <v>46408</v>
      </c>
      <c r="DK50" s="212" t="n">
        <v>46409</v>
      </c>
      <c r="DL50" s="212" t="n">
        <v>46410</v>
      </c>
      <c r="DM50" s="212" t="n">
        <v>46411</v>
      </c>
      <c r="DN50" s="212" t="n">
        <v>46412</v>
      </c>
      <c r="DO50" s="212" t="n">
        <v>46413</v>
      </c>
      <c r="DP50" s="212" t="n">
        <v>46414</v>
      </c>
      <c r="DQ50" s="212" t="n">
        <v>46415</v>
      </c>
      <c r="DR50" s="212" t="n">
        <v>46416</v>
      </c>
      <c r="DS50" s="212" t="n">
        <v>46417</v>
      </c>
      <c r="DT50" s="212" t="n">
        <v>46418</v>
      </c>
      <c r="DU50" s="212" t="n">
        <v>46419</v>
      </c>
      <c r="DV50" s="212" t="n">
        <v>46420</v>
      </c>
      <c r="DW50" s="212" t="n">
        <v>46421</v>
      </c>
      <c r="DX50" s="212" t="n">
        <v>46422</v>
      </c>
      <c r="DY50" s="212" t="n">
        <v>46423</v>
      </c>
      <c r="DZ50" s="212" t="n">
        <v>46424</v>
      </c>
      <c r="EA50" s="212" t="n">
        <v>46425</v>
      </c>
      <c r="EB50" s="212" t="n">
        <v>46426</v>
      </c>
      <c r="EC50" s="212" t="n">
        <v>46427</v>
      </c>
      <c r="ED50" s="212" t="n">
        <v>46428</v>
      </c>
      <c r="EE50" s="212" t="n">
        <v>46429</v>
      </c>
      <c r="EF50" s="212" t="n">
        <v>46430</v>
      </c>
      <c r="EG50" s="212" t="n">
        <v>46431</v>
      </c>
      <c r="EH50" s="212" t="n">
        <v>46432</v>
      </c>
      <c r="EI50" s="212" t="n">
        <v>46433</v>
      </c>
      <c r="EJ50" s="212" t="n">
        <v>46434</v>
      </c>
      <c r="EK50" s="212" t="n">
        <v>46435</v>
      </c>
      <c r="EL50" s="212" t="n">
        <v>46436</v>
      </c>
      <c r="EM50" s="212" t="n">
        <v>46437</v>
      </c>
      <c r="EN50" s="212" t="n">
        <v>46438</v>
      </c>
      <c r="EO50" s="212" t="n">
        <v>46439</v>
      </c>
      <c r="EP50" s="212" t="n">
        <v>46440</v>
      </c>
      <c r="EQ50" s="212" t="n">
        <v>46441</v>
      </c>
      <c r="ER50" s="212" t="n">
        <v>46442</v>
      </c>
      <c r="ES50" s="212" t="n">
        <v>46443</v>
      </c>
      <c r="ET50" s="212" t="n">
        <v>46444</v>
      </c>
      <c r="EU50" s="212" t="n">
        <v>46445</v>
      </c>
      <c r="EV50" s="212" t="n">
        <v>46446</v>
      </c>
      <c r="EW50" s="212" t="n">
        <v>46447</v>
      </c>
      <c r="EX50" s="212" t="n">
        <v>46448</v>
      </c>
      <c r="EY50" s="212" t="n">
        <v>46449</v>
      </c>
      <c r="EZ50" s="212" t="n">
        <v>46450</v>
      </c>
      <c r="FA50" s="212" t="n">
        <v>46451</v>
      </c>
      <c r="FB50" s="212" t="n">
        <v>46452</v>
      </c>
      <c r="FC50" s="212" t="n">
        <v>46453</v>
      </c>
      <c r="FD50" s="212" t="n">
        <v>46454</v>
      </c>
      <c r="FE50" s="212" t="n">
        <v>46455</v>
      </c>
      <c r="FF50" s="212" t="n">
        <v>46456</v>
      </c>
      <c r="FG50" s="212" t="n">
        <v>46457</v>
      </c>
      <c r="FH50" s="212" t="n">
        <v>46458</v>
      </c>
      <c r="FI50" s="212" t="n">
        <v>46459</v>
      </c>
      <c r="FJ50" s="212" t="n">
        <v>46460</v>
      </c>
      <c r="FK50" s="212" t="n">
        <v>46461</v>
      </c>
      <c r="FL50" s="212" t="n">
        <v>46462</v>
      </c>
      <c r="FM50" s="212" t="n">
        <v>46463</v>
      </c>
      <c r="FN50" s="212" t="n">
        <v>46464</v>
      </c>
      <c r="FO50" s="212" t="n">
        <v>46465</v>
      </c>
      <c r="FP50" s="212" t="n">
        <v>46466</v>
      </c>
      <c r="FQ50" s="212" t="n">
        <v>46467</v>
      </c>
      <c r="FR50" s="212" t="n">
        <v>46468</v>
      </c>
      <c r="FS50" s="212" t="n">
        <v>46469</v>
      </c>
      <c r="FT50" s="212" t="n">
        <v>46470</v>
      </c>
      <c r="FU50" s="212" t="n">
        <v>46471</v>
      </c>
      <c r="FV50" s="212" t="n">
        <v>46472</v>
      </c>
      <c r="FW50" s="212" t="n">
        <v>46473</v>
      </c>
      <c r="FX50" s="212" t="n">
        <v>46474</v>
      </c>
      <c r="FY50" s="212" t="n">
        <v>46475</v>
      </c>
      <c r="FZ50" s="212" t="n">
        <v>46476</v>
      </c>
      <c r="GA50" s="212" t="n">
        <v>46477</v>
      </c>
      <c r="GB50" s="212" t="n">
        <v>46478</v>
      </c>
      <c r="GC50" s="212" t="n">
        <v>46479</v>
      </c>
      <c r="GD50" s="212" t="n">
        <v>46480</v>
      </c>
      <c r="GE50" s="212" t="n">
        <v>46481</v>
      </c>
      <c r="GF50" s="212" t="n">
        <v>46482</v>
      </c>
      <c r="GG50" s="212" t="n">
        <v>46483</v>
      </c>
      <c r="GH50" s="212" t="n">
        <v>46484</v>
      </c>
      <c r="GI50" s="212" t="n">
        <v>46485</v>
      </c>
      <c r="GJ50" s="212" t="n">
        <v>46486</v>
      </c>
      <c r="GK50" s="212" t="n">
        <v>46487</v>
      </c>
      <c r="GL50" s="212" t="n">
        <v>46488</v>
      </c>
      <c r="GM50" s="212" t="n">
        <v>46489</v>
      </c>
      <c r="GN50" s="212" t="n">
        <v>46490</v>
      </c>
      <c r="GO50" s="212" t="n">
        <v>46491</v>
      </c>
      <c r="GP50" s="212" t="n">
        <v>46492</v>
      </c>
      <c r="GQ50" s="212" t="n">
        <v>46493</v>
      </c>
      <c r="GR50" s="212" t="n">
        <v>46494</v>
      </c>
      <c r="GS50" s="212" t="n">
        <v>46495</v>
      </c>
      <c r="GT50" s="212" t="n">
        <v>46496</v>
      </c>
      <c r="GU50" s="212" t="n">
        <v>46497</v>
      </c>
      <c r="GV50" s="212" t="n">
        <v>46498</v>
      </c>
      <c r="GW50" s="212" t="n">
        <v>46499</v>
      </c>
      <c r="GX50" s="212" t="n">
        <v>46500</v>
      </c>
      <c r="GY50" s="212" t="n">
        <v>46501</v>
      </c>
      <c r="GZ50" s="212" t="n">
        <v>46502</v>
      </c>
      <c r="HA50" s="212" t="n">
        <v>46503</v>
      </c>
      <c r="HB50" s="212" t="n">
        <v>46504</v>
      </c>
      <c r="HC50" s="212" t="n">
        <v>46505</v>
      </c>
      <c r="HD50" s="212" t="n">
        <v>46506</v>
      </c>
      <c r="HE50" s="212" t="n">
        <v>46507</v>
      </c>
      <c r="HF50" s="212" t="n">
        <v>46508</v>
      </c>
      <c r="HG50" s="212" t="n">
        <v>46509</v>
      </c>
      <c r="HH50" s="212" t="n">
        <v>46510</v>
      </c>
      <c r="HI50" s="212" t="n">
        <v>46511</v>
      </c>
      <c r="HJ50" s="212" t="n">
        <v>46512</v>
      </c>
      <c r="HK50" s="212" t="n">
        <v>46513</v>
      </c>
      <c r="HL50" s="212" t="n">
        <v>46514</v>
      </c>
      <c r="HM50" s="212" t="n">
        <v>46515</v>
      </c>
      <c r="HN50" s="212" t="n">
        <v>46516</v>
      </c>
      <c r="HO50" s="212" t="n">
        <v>46517</v>
      </c>
      <c r="HP50" s="212" t="n">
        <v>46518</v>
      </c>
      <c r="HQ50" s="212" t="n">
        <v>46519</v>
      </c>
      <c r="HR50" s="212" t="n">
        <v>46520</v>
      </c>
      <c r="HS50" s="212" t="n">
        <v>46521</v>
      </c>
      <c r="HT50" s="212" t="n">
        <v>46522</v>
      </c>
      <c r="HU50" s="212" t="n">
        <v>46523</v>
      </c>
      <c r="HV50" s="212" t="n">
        <v>46524</v>
      </c>
      <c r="HW50" s="212" t="n">
        <v>46525</v>
      </c>
      <c r="HX50" s="212" t="n">
        <v>46526</v>
      </c>
      <c r="HY50" s="212" t="n">
        <v>46527</v>
      </c>
      <c r="HZ50" s="212" t="n">
        <v>46528</v>
      </c>
      <c r="IA50" s="212" t="n">
        <v>46529</v>
      </c>
      <c r="IB50" s="212" t="n">
        <v>46530</v>
      </c>
      <c r="IC50" s="212" t="n">
        <v>46531</v>
      </c>
      <c r="ID50" s="212" t="n">
        <v>46532</v>
      </c>
      <c r="IE50" s="212" t="n">
        <v>46533</v>
      </c>
      <c r="IF50" s="212" t="n">
        <v>46534</v>
      </c>
      <c r="IG50" s="212" t="n">
        <v>46535</v>
      </c>
      <c r="IH50" s="212" t="n">
        <v>46536</v>
      </c>
      <c r="II50" s="212" t="n">
        <v>46537</v>
      </c>
      <c r="IJ50" s="212" t="n">
        <v>46538</v>
      </c>
      <c r="IK50" s="212" t="n">
        <v>46539</v>
      </c>
      <c r="IL50" s="212" t="n">
        <v>46540</v>
      </c>
      <c r="IM50" s="212" t="n">
        <v>46541</v>
      </c>
      <c r="IN50" s="212" t="n">
        <v>46542</v>
      </c>
      <c r="IO50" s="212" t="n">
        <v>46543</v>
      </c>
      <c r="IP50" s="212" t="n">
        <v>46544</v>
      </c>
      <c r="IQ50" s="212" t="n">
        <v>46545</v>
      </c>
      <c r="IR50" s="212" t="n">
        <v>46546</v>
      </c>
      <c r="IS50" s="212" t="n">
        <v>46547</v>
      </c>
      <c r="IT50" s="212" t="n">
        <v>46548</v>
      </c>
      <c r="IU50" s="212" t="n">
        <v>46549</v>
      </c>
      <c r="IV50" s="212" t="n">
        <v>46550</v>
      </c>
      <c r="IW50" s="212" t="n">
        <v>46551</v>
      </c>
      <c r="IX50" s="212" t="n">
        <v>46552</v>
      </c>
      <c r="IY50" s="212" t="n">
        <v>46553</v>
      </c>
      <c r="IZ50" s="212" t="n">
        <v>46554</v>
      </c>
      <c r="JA50" s="212" t="n">
        <v>46555</v>
      </c>
      <c r="JB50" s="212" t="n">
        <v>46556</v>
      </c>
      <c r="JC50" s="212" t="n">
        <v>46557</v>
      </c>
      <c r="JD50" s="212" t="n">
        <v>46558</v>
      </c>
      <c r="JE50" s="212" t="n">
        <v>46559</v>
      </c>
      <c r="JF50" s="212" t="n">
        <v>46560</v>
      </c>
      <c r="JG50" s="212" t="n">
        <v>46561</v>
      </c>
      <c r="JH50" s="212" t="n">
        <v>46562</v>
      </c>
      <c r="JI50" s="212" t="n">
        <v>46563</v>
      </c>
      <c r="JJ50" s="212" t="n">
        <v>46564</v>
      </c>
      <c r="JK50" s="212" t="n">
        <v>46565</v>
      </c>
      <c r="JL50" s="212" t="n">
        <v>46566</v>
      </c>
      <c r="JM50" s="212" t="n">
        <v>46567</v>
      </c>
      <c r="JN50" s="212" t="n">
        <v>46568</v>
      </c>
      <c r="JO50" s="212" t="n">
        <v>46569</v>
      </c>
      <c r="JP50" s="212" t="n">
        <v>46570</v>
      </c>
      <c r="JQ50" s="212" t="n">
        <v>46571</v>
      </c>
      <c r="JR50" s="212" t="n">
        <v>46572</v>
      </c>
      <c r="JS50" s="212" t="n">
        <v>46573</v>
      </c>
      <c r="JT50" s="212" t="n">
        <v>46574</v>
      </c>
      <c r="JU50" s="212" t="n">
        <v>46575</v>
      </c>
      <c r="JV50" s="212" t="n">
        <v>46576</v>
      </c>
      <c r="JW50" s="212" t="n">
        <v>46577</v>
      </c>
      <c r="JX50" s="212" t="n">
        <v>46578</v>
      </c>
      <c r="JY50" s="212" t="n">
        <v>46579</v>
      </c>
      <c r="JZ50" s="212" t="n">
        <v>46580</v>
      </c>
      <c r="KA50" s="212" t="n">
        <v>46581</v>
      </c>
      <c r="KB50" s="212" t="n">
        <v>46582</v>
      </c>
      <c r="KC50" s="212" t="n">
        <v>46583</v>
      </c>
      <c r="KD50" s="212" t="n">
        <v>46584</v>
      </c>
      <c r="KE50" s="212" t="n">
        <v>46585</v>
      </c>
      <c r="KF50" s="212" t="n">
        <v>46586</v>
      </c>
      <c r="KG50" s="212" t="n">
        <v>46587</v>
      </c>
      <c r="KH50" s="212" t="n">
        <v>46588</v>
      </c>
      <c r="KI50" s="212" t="n">
        <v>46589</v>
      </c>
      <c r="KJ50" s="212" t="n">
        <v>46590</v>
      </c>
      <c r="KK50" s="212" t="n">
        <v>46591</v>
      </c>
      <c r="KL50" s="212" t="n">
        <v>46592</v>
      </c>
      <c r="KM50" s="212" t="n">
        <v>46593</v>
      </c>
      <c r="KN50" s="212" t="n">
        <v>46594</v>
      </c>
      <c r="KO50" s="212" t="n">
        <v>46595</v>
      </c>
      <c r="KP50" s="212" t="n">
        <v>46596</v>
      </c>
      <c r="KQ50" s="212" t="n">
        <v>46597</v>
      </c>
      <c r="KR50" s="212" t="n">
        <v>46598</v>
      </c>
      <c r="KS50" s="212" t="n">
        <v>46599</v>
      </c>
      <c r="KT50" s="212" t="n">
        <v>46600</v>
      </c>
      <c r="KU50" s="212" t="n">
        <v>46601</v>
      </c>
      <c r="KV50" s="212" t="n">
        <v>46602</v>
      </c>
      <c r="KW50" s="212" t="n">
        <v>46603</v>
      </c>
      <c r="KX50" s="212" t="n">
        <v>46604</v>
      </c>
      <c r="KY50" s="212" t="n">
        <v>46605</v>
      </c>
      <c r="KZ50" s="212" t="n">
        <v>46606</v>
      </c>
      <c r="LA50" s="212" t="n">
        <v>46607</v>
      </c>
      <c r="LB50" s="212" t="n">
        <v>46608</v>
      </c>
      <c r="LC50" s="212" t="n">
        <v>46609</v>
      </c>
      <c r="LD50" s="212" t="n">
        <v>46610</v>
      </c>
      <c r="LE50" s="212" t="n">
        <v>46611</v>
      </c>
      <c r="LF50" s="212" t="n">
        <v>46612</v>
      </c>
      <c r="LG50" s="212" t="n">
        <v>46613</v>
      </c>
      <c r="LH50" s="212" t="n">
        <v>46614</v>
      </c>
      <c r="LI50" s="212" t="n">
        <v>46615</v>
      </c>
      <c r="LJ50" s="212" t="n">
        <v>46616</v>
      </c>
      <c r="LK50" s="212" t="n">
        <v>46617</v>
      </c>
      <c r="LL50" s="212" t="n">
        <v>46618</v>
      </c>
      <c r="LM50" s="212" t="n">
        <v>46619</v>
      </c>
      <c r="LN50" s="212" t="n">
        <v>46620</v>
      </c>
      <c r="LO50" s="212" t="n">
        <v>46621</v>
      </c>
      <c r="LP50" s="212" t="n">
        <v>46622</v>
      </c>
      <c r="LQ50" s="212" t="n">
        <v>46623</v>
      </c>
      <c r="LR50" s="212" t="n">
        <v>46624</v>
      </c>
      <c r="LS50" s="212" t="n">
        <v>46625</v>
      </c>
      <c r="LT50" s="212" t="n">
        <v>46626</v>
      </c>
      <c r="LU50" s="212" t="n">
        <v>46627</v>
      </c>
      <c r="LV50" s="212" t="n">
        <v>46628</v>
      </c>
      <c r="LW50" s="212" t="n">
        <v>46629</v>
      </c>
      <c r="LX50" s="212" t="n">
        <v>46630</v>
      </c>
      <c r="LY50" s="212" t="n">
        <v>46631</v>
      </c>
      <c r="LZ50" s="212" t="n">
        <v>46632</v>
      </c>
      <c r="MA50" s="212" t="n">
        <v>46633</v>
      </c>
      <c r="MB50" s="212" t="n">
        <v>46634</v>
      </c>
      <c r="MC50" s="212" t="n">
        <v>46635</v>
      </c>
      <c r="MD50" s="212" t="n">
        <v>46636</v>
      </c>
      <c r="ME50" s="212" t="n">
        <v>46637</v>
      </c>
      <c r="MF50" s="212" t="n">
        <v>46638</v>
      </c>
      <c r="MG50" s="212" t="n">
        <v>46639</v>
      </c>
      <c r="MH50" s="212" t="n">
        <v>46640</v>
      </c>
      <c r="MI50" s="212" t="n">
        <v>46641</v>
      </c>
      <c r="MJ50" s="212" t="n">
        <v>46642</v>
      </c>
      <c r="MK50" s="212" t="n">
        <v>46643</v>
      </c>
      <c r="ML50" s="212" t="n">
        <v>46644</v>
      </c>
      <c r="MM50" s="212" t="n">
        <v>46645</v>
      </c>
      <c r="MN50" s="212" t="n">
        <v>46646</v>
      </c>
      <c r="MO50" s="212" t="n">
        <v>46647</v>
      </c>
      <c r="MP50" s="212" t="n">
        <v>46648</v>
      </c>
      <c r="MQ50" s="212" t="n">
        <v>46649</v>
      </c>
      <c r="MR50" s="212" t="n">
        <v>46650</v>
      </c>
      <c r="MS50" s="212" t="n">
        <v>46651</v>
      </c>
      <c r="MT50" s="212" t="n">
        <v>46652</v>
      </c>
      <c r="MU50" s="212" t="n">
        <v>46653</v>
      </c>
      <c r="MV50" s="212" t="n">
        <v>46654</v>
      </c>
      <c r="MW50" s="212" t="n">
        <v>46655</v>
      </c>
      <c r="MX50" s="212" t="n">
        <v>46656</v>
      </c>
      <c r="MY50" s="212" t="n">
        <v>46657</v>
      </c>
      <c r="MZ50" s="212" t="n">
        <v>46658</v>
      </c>
      <c r="NA50" s="212" t="n">
        <v>46659</v>
      </c>
      <c r="NB50" s="212" t="n">
        <v>46660</v>
      </c>
      <c r="NC50" s="213" t="inlineStr">
        <is>
          <t>Annual Total</t>
        </is>
      </c>
    </row>
    <row r="51" ht="14.25" customHeight="1" s="166">
      <c r="A51" s="214" t="inlineStr">
        <is>
          <t>BTU-20-TR-00-01</t>
        </is>
      </c>
      <c r="B51" s="215" t="n"/>
      <c r="C51" s="215" t="n"/>
      <c r="D51" s="215" t="n"/>
      <c r="E51" s="215" t="n"/>
      <c r="F51" s="215" t="n"/>
      <c r="G51" s="215" t="n"/>
      <c r="H51" s="215" t="n"/>
      <c r="I51" s="215" t="n"/>
      <c r="J51" s="215" t="n"/>
      <c r="K51" s="215" t="n"/>
      <c r="L51" s="215" t="n"/>
      <c r="M51" s="215" t="n"/>
      <c r="N51" s="215" t="n"/>
      <c r="O51" s="215" t="n"/>
      <c r="P51" s="215" t="n"/>
      <c r="Q51" s="215" t="n"/>
      <c r="R51" s="215" t="n"/>
      <c r="S51" s="215" t="n"/>
      <c r="T51" s="215" t="n"/>
      <c r="U51" s="215" t="n"/>
      <c r="V51" s="215" t="n"/>
      <c r="W51" s="215" t="n"/>
      <c r="X51" s="215" t="n"/>
      <c r="Y51" s="215" t="n"/>
      <c r="Z51" s="215" t="n"/>
      <c r="AA51" s="215" t="n"/>
      <c r="AB51" s="215" t="n"/>
      <c r="AC51" s="215" t="n"/>
      <c r="AD51" s="215" t="n"/>
      <c r="AE51" s="215" t="n"/>
      <c r="AF51" s="215" t="n"/>
      <c r="AG51" s="215" t="n"/>
      <c r="AH51" s="215" t="n"/>
      <c r="AI51" s="215" t="n"/>
      <c r="AJ51" s="215" t="n"/>
      <c r="AK51" s="215" t="n"/>
      <c r="AL51" s="215" t="n"/>
      <c r="AM51" s="215" t="n"/>
      <c r="AN51" s="215" t="n"/>
      <c r="AO51" s="215" t="n"/>
      <c r="AP51" s="215" t="n"/>
      <c r="AQ51" s="215" t="n"/>
      <c r="AR51" s="215" t="n"/>
      <c r="AS51" s="215" t="n"/>
      <c r="AT51" s="215" t="n"/>
      <c r="AU51" s="215" t="n"/>
      <c r="AV51" s="215" t="n"/>
      <c r="AW51" s="215" t="n"/>
      <c r="AX51" s="215" t="n"/>
      <c r="AY51" s="215" t="n"/>
      <c r="AZ51" s="215" t="n"/>
      <c r="BA51" s="215" t="n"/>
      <c r="BB51" s="215" t="n"/>
      <c r="BC51" s="215" t="n"/>
      <c r="BD51" s="215" t="n"/>
      <c r="BE51" s="215" t="n"/>
      <c r="BF51" s="215" t="n"/>
      <c r="BG51" s="215" t="n"/>
      <c r="BH51" s="215" t="n"/>
      <c r="BI51" s="215" t="n"/>
      <c r="BJ51" s="215" t="n"/>
      <c r="BK51" s="215" t="n"/>
      <c r="BL51" s="215" t="n"/>
      <c r="BM51" s="215" t="n"/>
      <c r="BN51" s="215" t="n"/>
      <c r="BO51" s="215" t="n"/>
      <c r="BP51" s="215" t="n"/>
      <c r="BQ51" s="215" t="n"/>
      <c r="BR51" s="215" t="n"/>
      <c r="BS51" s="215" t="n"/>
      <c r="BT51" s="215" t="n"/>
      <c r="BU51" s="215" t="n"/>
      <c r="BV51" s="215" t="n"/>
      <c r="BW51" s="215" t="n"/>
      <c r="BX51" s="215" t="n"/>
      <c r="BY51" s="215" t="n"/>
      <c r="BZ51" s="215" t="n"/>
      <c r="CA51" s="215" t="n"/>
      <c r="CB51" s="215" t="n"/>
      <c r="CC51" s="215" t="n"/>
      <c r="CD51" s="215" t="n"/>
      <c r="CE51" s="215" t="n"/>
      <c r="CF51" s="215" t="n"/>
      <c r="CG51" s="215" t="n"/>
      <c r="CH51" s="215" t="n"/>
      <c r="CI51" s="215" t="n"/>
      <c r="CJ51" s="215" t="n"/>
      <c r="CK51" s="215" t="n"/>
      <c r="CL51" s="215" t="n"/>
      <c r="CM51" s="215" t="n"/>
      <c r="CN51" s="215" t="n"/>
      <c r="CO51" s="215" t="n"/>
      <c r="CP51" s="215" t="n"/>
      <c r="CQ51" s="215" t="n"/>
      <c r="CR51" s="215" t="n"/>
      <c r="CS51" s="215" t="n"/>
      <c r="CT51" s="215" t="n"/>
      <c r="CU51" s="215" t="n"/>
      <c r="CV51" s="215" t="n"/>
      <c r="CW51" s="215" t="n"/>
      <c r="CX51" s="215" t="n"/>
      <c r="CY51" s="215" t="n"/>
      <c r="CZ51" s="215" t="n"/>
      <c r="DA51" s="215" t="n"/>
      <c r="DB51" s="215" t="n"/>
      <c r="DC51" s="215" t="n"/>
      <c r="DD51" s="215" t="n"/>
      <c r="DE51" s="215" t="n"/>
      <c r="DF51" s="215" t="n"/>
      <c r="DG51" s="215" t="n"/>
      <c r="DH51" s="215" t="n"/>
      <c r="DI51" s="215" t="n"/>
      <c r="DJ51" s="215" t="n"/>
      <c r="DK51" s="215" t="n"/>
      <c r="DL51" s="215" t="n"/>
      <c r="DM51" s="215" t="n"/>
      <c r="DN51" s="215" t="n"/>
      <c r="DO51" s="215" t="n"/>
      <c r="DP51" s="215" t="n"/>
      <c r="DQ51" s="215" t="n"/>
      <c r="DR51" s="215" t="n"/>
      <c r="DS51" s="215" t="n"/>
      <c r="DT51" s="215" t="n"/>
      <c r="DU51" s="215" t="n"/>
      <c r="DV51" s="215" t="n"/>
      <c r="DW51" s="215" t="n"/>
      <c r="DX51" s="215" t="n"/>
      <c r="DY51" s="215" t="n"/>
      <c r="DZ51" s="215" t="n"/>
      <c r="EA51" s="215" t="n"/>
      <c r="EB51" s="215" t="n"/>
      <c r="EC51" s="215" t="n"/>
      <c r="ED51" s="215" t="n"/>
      <c r="EE51" s="215" t="n"/>
      <c r="EF51" s="215" t="n"/>
      <c r="EG51" s="215" t="n"/>
      <c r="EH51" s="215" t="n"/>
      <c r="EI51" s="215" t="n"/>
      <c r="EJ51" s="215" t="n"/>
      <c r="EK51" s="215" t="n"/>
      <c r="EL51" s="215" t="n"/>
      <c r="EM51" s="215" t="n"/>
      <c r="EN51" s="215" t="n"/>
      <c r="EO51" s="215" t="n"/>
      <c r="EP51" s="215" t="n"/>
      <c r="EQ51" s="215" t="n"/>
      <c r="ER51" s="215" t="n"/>
      <c r="ES51" s="215" t="n"/>
      <c r="ET51" s="215" t="n"/>
      <c r="EU51" s="215" t="n"/>
      <c r="EV51" s="215" t="n"/>
      <c r="EW51" s="215" t="n"/>
      <c r="EX51" s="215" t="n"/>
      <c r="EY51" s="215" t="n"/>
      <c r="EZ51" s="215" t="n"/>
      <c r="FA51" s="215" t="n"/>
      <c r="FB51" s="215" t="n"/>
      <c r="FC51" s="215" t="n"/>
      <c r="FD51" s="215" t="n"/>
      <c r="FE51" s="215" t="n"/>
      <c r="FF51" s="215" t="n"/>
      <c r="FG51" s="215" t="n"/>
      <c r="FH51" s="215" t="n"/>
      <c r="FI51" s="215" t="n"/>
      <c r="FJ51" s="215" t="n"/>
      <c r="FK51" s="215" t="n"/>
      <c r="FL51" s="215" t="n"/>
      <c r="FM51" s="215" t="n"/>
      <c r="FN51" s="215" t="n"/>
      <c r="FO51" s="215" t="n"/>
      <c r="FP51" s="215" t="n"/>
      <c r="FQ51" s="215" t="n"/>
      <c r="FR51" s="215" t="n"/>
      <c r="FS51" s="215" t="n"/>
      <c r="FT51" s="215" t="n"/>
      <c r="FU51" s="215" t="n"/>
      <c r="FV51" s="215" t="n"/>
      <c r="FW51" s="215" t="n"/>
      <c r="FX51" s="215" t="n"/>
      <c r="FY51" s="215" t="n"/>
      <c r="FZ51" s="215" t="n"/>
      <c r="GA51" s="215" t="n"/>
      <c r="GB51" s="215" t="n"/>
      <c r="GC51" s="215" t="n"/>
      <c r="GD51" s="215" t="n"/>
      <c r="GE51" s="215" t="n"/>
      <c r="GF51" s="215" t="n"/>
      <c r="GG51" s="215" t="n"/>
      <c r="GH51" s="215" t="n"/>
      <c r="GI51" s="215" t="n"/>
      <c r="GJ51" s="215" t="n"/>
      <c r="GK51" s="215" t="n"/>
      <c r="GL51" s="215" t="n"/>
      <c r="GM51" s="215" t="n"/>
      <c r="GN51" s="215" t="n"/>
      <c r="GO51" s="215" t="n"/>
      <c r="GP51" s="215" t="n"/>
      <c r="GQ51" s="215" t="n"/>
      <c r="GR51" s="215" t="n"/>
      <c r="GS51" s="215" t="n"/>
      <c r="GT51" s="215" t="n"/>
      <c r="GU51" s="215" t="n"/>
      <c r="GV51" s="215" t="n"/>
      <c r="GW51" s="215" t="n"/>
      <c r="GX51" s="215" t="n"/>
      <c r="GY51" s="215" t="n"/>
      <c r="GZ51" s="215" t="n"/>
      <c r="HA51" s="215" t="n"/>
      <c r="HB51" s="215" t="n"/>
      <c r="HC51" s="215" t="n"/>
      <c r="HD51" s="215" t="n"/>
      <c r="HE51" s="215" t="n"/>
      <c r="HF51" s="215" t="n"/>
      <c r="HG51" s="215" t="n"/>
      <c r="HH51" s="215" t="n"/>
      <c r="HI51" s="215" t="n"/>
      <c r="HJ51" s="215" t="n"/>
      <c r="HK51" s="215" t="n"/>
      <c r="HL51" s="215" t="n"/>
      <c r="HM51" s="215" t="n"/>
      <c r="HN51" s="215" t="n"/>
      <c r="HO51" s="215" t="n"/>
      <c r="HP51" s="215" t="n"/>
      <c r="HQ51" s="215" t="n"/>
      <c r="HR51" s="215" t="n"/>
      <c r="HS51" s="215" t="n"/>
      <c r="HT51" s="215" t="n"/>
      <c r="HU51" s="215" t="n"/>
      <c r="HV51" s="215" t="n"/>
      <c r="HW51" s="215" t="n"/>
      <c r="HX51" s="215" t="n"/>
      <c r="HY51" s="215" t="n"/>
      <c r="HZ51" s="215" t="n"/>
      <c r="IA51" s="215" t="n"/>
      <c r="IB51" s="215" t="n"/>
      <c r="IC51" s="215" t="n"/>
      <c r="ID51" s="215" t="n"/>
      <c r="IE51" s="215" t="n"/>
      <c r="IF51" s="215" t="n"/>
      <c r="IG51" s="215" t="n"/>
      <c r="IH51" s="215" t="n"/>
      <c r="II51" s="215" t="n"/>
      <c r="IJ51" s="215" t="n"/>
      <c r="IK51" s="215" t="n"/>
      <c r="IL51" s="215" t="n"/>
      <c r="IM51" s="215" t="n"/>
      <c r="IN51" s="215" t="n"/>
      <c r="IO51" s="215" t="n"/>
      <c r="IP51" s="215" t="n"/>
      <c r="IQ51" s="215" t="n"/>
      <c r="IR51" s="215" t="n"/>
      <c r="IS51" s="215" t="n"/>
      <c r="IT51" s="215" t="n"/>
      <c r="IU51" s="215" t="n"/>
      <c r="IV51" s="215" t="n"/>
      <c r="IW51" s="215" t="n"/>
      <c r="IX51" s="215" t="n"/>
      <c r="IY51" s="215" t="n"/>
      <c r="IZ51" s="215" t="n"/>
      <c r="JA51" s="215" t="n"/>
      <c r="JB51" s="215" t="n"/>
      <c r="JC51" s="215" t="n"/>
      <c r="JD51" s="215" t="n"/>
      <c r="JE51" s="215" t="n"/>
      <c r="JF51" s="215" t="n"/>
      <c r="JG51" s="215" t="n"/>
      <c r="JH51" s="215" t="n"/>
      <c r="JI51" s="215" t="n"/>
      <c r="JJ51" s="215" t="n"/>
      <c r="JK51" s="215" t="n"/>
      <c r="JL51" s="215" t="n"/>
      <c r="JM51" s="215" t="n"/>
      <c r="JN51" s="215" t="n"/>
      <c r="JO51" s="215" t="n"/>
      <c r="JP51" s="215" t="n"/>
      <c r="JQ51" s="215" t="n"/>
      <c r="JR51" s="215" t="n"/>
      <c r="JS51" s="215" t="n"/>
      <c r="JT51" s="215" t="n"/>
      <c r="JU51" s="215" t="n"/>
      <c r="JV51" s="215" t="n"/>
      <c r="JW51" s="215" t="n"/>
      <c r="JX51" s="215" t="n"/>
      <c r="JY51" s="215" t="n"/>
      <c r="JZ51" s="215" t="n"/>
      <c r="KA51" s="215" t="n"/>
      <c r="KB51" s="215" t="n"/>
      <c r="KC51" s="215" t="n"/>
      <c r="KD51" s="215" t="n"/>
      <c r="KE51" s="215" t="n"/>
      <c r="KF51" s="215" t="n"/>
      <c r="KG51" s="215" t="n"/>
      <c r="KH51" s="215" t="n"/>
      <c r="KI51" s="215" t="n"/>
      <c r="KJ51" s="215" t="n"/>
      <c r="KK51" s="215" t="n"/>
      <c r="KL51" s="215" t="n"/>
      <c r="KM51" s="215" t="n"/>
      <c r="KN51" s="215" t="n"/>
      <c r="KO51" s="215" t="n"/>
      <c r="KP51" s="215" t="n"/>
      <c r="KQ51" s="215" t="n"/>
      <c r="KR51" s="215" t="n"/>
      <c r="KS51" s="215" t="n"/>
      <c r="KT51" s="215" t="n"/>
      <c r="KU51" s="215" t="n"/>
      <c r="KV51" s="215" t="n"/>
      <c r="KW51" s="215" t="n"/>
      <c r="KX51" s="215" t="n"/>
      <c r="KY51" s="215" t="n"/>
      <c r="KZ51" s="215" t="n"/>
      <c r="LA51" s="215" t="n"/>
      <c r="LB51" s="215" t="n"/>
      <c r="LC51" s="215" t="n"/>
      <c r="LD51" s="215" t="n"/>
      <c r="LE51" s="215" t="n"/>
      <c r="LF51" s="215" t="n"/>
      <c r="LG51" s="215" t="n"/>
      <c r="LH51" s="215" t="n"/>
      <c r="LI51" s="215" t="n"/>
      <c r="LJ51" s="215" t="n"/>
      <c r="LK51" s="215" t="n"/>
      <c r="LL51" s="215" t="n"/>
      <c r="LM51" s="215" t="n"/>
      <c r="LN51" s="215" t="n"/>
      <c r="LO51" s="215" t="n"/>
      <c r="LP51" s="215" t="n"/>
      <c r="LQ51" s="215" t="n"/>
      <c r="LR51" s="215" t="n"/>
      <c r="LS51" s="215" t="n"/>
      <c r="LT51" s="215" t="n"/>
      <c r="LU51" s="215" t="n"/>
      <c r="LV51" s="215" t="n"/>
      <c r="LW51" s="215" t="n"/>
      <c r="LX51" s="215" t="n"/>
      <c r="LY51" s="215" t="n"/>
      <c r="LZ51" s="215" t="n"/>
      <c r="MA51" s="215" t="n"/>
      <c r="MB51" s="215" t="n"/>
      <c r="MC51" s="215" t="n"/>
      <c r="MD51" s="215" t="n"/>
      <c r="ME51" s="215" t="n"/>
      <c r="MF51" s="215" t="n"/>
      <c r="MG51" s="215" t="n"/>
      <c r="MH51" s="215" t="n"/>
      <c r="MI51" s="215" t="n"/>
      <c r="MJ51" s="215" t="n"/>
      <c r="MK51" s="215" t="n"/>
      <c r="ML51" s="215" t="n"/>
      <c r="MM51" s="215" t="n"/>
      <c r="MN51" s="215" t="n"/>
      <c r="MO51" s="215" t="n"/>
      <c r="MP51" s="215" t="n"/>
      <c r="MQ51" s="215" t="n"/>
      <c r="MR51" s="215" t="n"/>
      <c r="MS51" s="215" t="n"/>
      <c r="MT51" s="215" t="n"/>
      <c r="MU51" s="215" t="n"/>
      <c r="MV51" s="215" t="n"/>
      <c r="MW51" s="215" t="n"/>
      <c r="MX51" s="215" t="n"/>
      <c r="MY51" s="215" t="n"/>
      <c r="MZ51" s="215" t="n"/>
      <c r="NA51" s="215" t="n"/>
      <c r="NB51" s="215" t="n"/>
      <c r="NC51" s="216">
        <f>SUM(B51:NB51)</f>
        <v/>
      </c>
    </row>
    <row r="52" ht="14.25" customHeight="1" s="166">
      <c r="A52" s="214" t="inlineStr">
        <is>
          <t>BTU-20-CR-00-01</t>
        </is>
      </c>
      <c r="B52" s="215" t="n"/>
      <c r="C52" s="215" t="n"/>
      <c r="D52" s="215" t="n"/>
      <c r="E52" s="215" t="n"/>
      <c r="F52" s="215" t="n"/>
      <c r="G52" s="215" t="n"/>
      <c r="H52" s="215" t="n"/>
      <c r="I52" s="215" t="n"/>
      <c r="J52" s="215" t="n"/>
      <c r="K52" s="215" t="n"/>
      <c r="L52" s="215" t="n"/>
      <c r="M52" s="215" t="n"/>
      <c r="N52" s="215" t="n"/>
      <c r="O52" s="215" t="n"/>
      <c r="P52" s="215" t="n"/>
      <c r="Q52" s="215" t="n"/>
      <c r="R52" s="215" t="n"/>
      <c r="S52" s="215" t="n"/>
      <c r="T52" s="215" t="n"/>
      <c r="U52" s="215" t="n"/>
      <c r="V52" s="215" t="n"/>
      <c r="W52" s="215" t="n"/>
      <c r="X52" s="215" t="n"/>
      <c r="Y52" s="215" t="n"/>
      <c r="Z52" s="215" t="n"/>
      <c r="AA52" s="215" t="n"/>
      <c r="AB52" s="215" t="n"/>
      <c r="AC52" s="215" t="n"/>
      <c r="AD52" s="215" t="n"/>
      <c r="AE52" s="215" t="n"/>
      <c r="AF52" s="215" t="n"/>
      <c r="AG52" s="215" t="n"/>
      <c r="AH52" s="215" t="n"/>
      <c r="AI52" s="215" t="n"/>
      <c r="AJ52" s="215" t="n"/>
      <c r="AK52" s="215" t="n"/>
      <c r="AL52" s="215" t="n"/>
      <c r="AM52" s="215" t="n"/>
      <c r="AN52" s="215" t="n"/>
      <c r="AO52" s="215" t="n"/>
      <c r="AP52" s="215" t="n"/>
      <c r="AQ52" s="215" t="n"/>
      <c r="AR52" s="215" t="n"/>
      <c r="AS52" s="215" t="n"/>
      <c r="AT52" s="215" t="n"/>
      <c r="AU52" s="215" t="n"/>
      <c r="AV52" s="215" t="n"/>
      <c r="AW52" s="215" t="n"/>
      <c r="AX52" s="215" t="n"/>
      <c r="AY52" s="215" t="n"/>
      <c r="AZ52" s="215" t="n"/>
      <c r="BA52" s="215" t="n"/>
      <c r="BB52" s="215" t="n"/>
      <c r="BC52" s="215" t="n"/>
      <c r="BD52" s="215" t="n"/>
      <c r="BE52" s="215" t="n"/>
      <c r="BF52" s="215" t="n"/>
      <c r="BG52" s="215" t="n"/>
      <c r="BH52" s="215" t="n"/>
      <c r="BI52" s="215" t="n"/>
      <c r="BJ52" s="215" t="n"/>
      <c r="BK52" s="215" t="n"/>
      <c r="BL52" s="215" t="n"/>
      <c r="BM52" s="215" t="n"/>
      <c r="BN52" s="215" t="n"/>
      <c r="BO52" s="215" t="n"/>
      <c r="BP52" s="215" t="n"/>
      <c r="BQ52" s="215" t="n"/>
      <c r="BR52" s="215" t="n"/>
      <c r="BS52" s="215" t="n"/>
      <c r="BT52" s="215" t="n"/>
      <c r="BU52" s="215" t="n"/>
      <c r="BV52" s="215" t="n"/>
      <c r="BW52" s="215" t="n"/>
      <c r="BX52" s="215" t="n"/>
      <c r="BY52" s="215" t="n"/>
      <c r="BZ52" s="215" t="n"/>
      <c r="CA52" s="215" t="n"/>
      <c r="CB52" s="215" t="n"/>
      <c r="CC52" s="215" t="n"/>
      <c r="CD52" s="215" t="n"/>
      <c r="CE52" s="215" t="n"/>
      <c r="CF52" s="215" t="n"/>
      <c r="CG52" s="215" t="n"/>
      <c r="CH52" s="215" t="n"/>
      <c r="CI52" s="215" t="n"/>
      <c r="CJ52" s="215" t="n"/>
      <c r="CK52" s="215" t="n"/>
      <c r="CL52" s="215" t="n"/>
      <c r="CM52" s="215" t="n"/>
      <c r="CN52" s="215" t="n"/>
      <c r="CO52" s="215" t="n"/>
      <c r="CP52" s="215" t="n"/>
      <c r="CQ52" s="215" t="n"/>
      <c r="CR52" s="215" t="n"/>
      <c r="CS52" s="215" t="n"/>
      <c r="CT52" s="215" t="n"/>
      <c r="CU52" s="215" t="n"/>
      <c r="CV52" s="215" t="n"/>
      <c r="CW52" s="215" t="n"/>
      <c r="CX52" s="215" t="n"/>
      <c r="CY52" s="215" t="n"/>
      <c r="CZ52" s="215" t="n"/>
      <c r="DA52" s="215" t="n"/>
      <c r="DB52" s="215" t="n"/>
      <c r="DC52" s="215" t="n"/>
      <c r="DD52" s="215" t="n"/>
      <c r="DE52" s="215" t="n"/>
      <c r="DF52" s="215" t="n"/>
      <c r="DG52" s="215" t="n"/>
      <c r="DH52" s="215" t="n"/>
      <c r="DI52" s="215" t="n"/>
      <c r="DJ52" s="215" t="n"/>
      <c r="DK52" s="215" t="n"/>
      <c r="DL52" s="215" t="n"/>
      <c r="DM52" s="215" t="n"/>
      <c r="DN52" s="215" t="n"/>
      <c r="DO52" s="215" t="n"/>
      <c r="DP52" s="215" t="n"/>
      <c r="DQ52" s="215" t="n"/>
      <c r="DR52" s="215" t="n"/>
      <c r="DS52" s="215" t="n"/>
      <c r="DT52" s="215" t="n"/>
      <c r="DU52" s="215" t="n"/>
      <c r="DV52" s="215" t="n"/>
      <c r="DW52" s="215" t="n"/>
      <c r="DX52" s="215" t="n"/>
      <c r="DY52" s="215" t="n"/>
      <c r="DZ52" s="215" t="n"/>
      <c r="EA52" s="215" t="n"/>
      <c r="EB52" s="215" t="n"/>
      <c r="EC52" s="215" t="n"/>
      <c r="ED52" s="215" t="n"/>
      <c r="EE52" s="215" t="n"/>
      <c r="EF52" s="215" t="n"/>
      <c r="EG52" s="215" t="n"/>
      <c r="EH52" s="215" t="n"/>
      <c r="EI52" s="215" t="n"/>
      <c r="EJ52" s="215" t="n"/>
      <c r="EK52" s="215" t="n"/>
      <c r="EL52" s="215" t="n"/>
      <c r="EM52" s="215" t="n"/>
      <c r="EN52" s="215" t="n"/>
      <c r="EO52" s="215" t="n"/>
      <c r="EP52" s="215" t="n"/>
      <c r="EQ52" s="215" t="n"/>
      <c r="ER52" s="215" t="n"/>
      <c r="ES52" s="215" t="n"/>
      <c r="ET52" s="215" t="n"/>
      <c r="EU52" s="215" t="n"/>
      <c r="EV52" s="215" t="n"/>
      <c r="EW52" s="215" t="n"/>
      <c r="EX52" s="215" t="n"/>
      <c r="EY52" s="215" t="n"/>
      <c r="EZ52" s="215" t="n"/>
      <c r="FA52" s="215" t="n"/>
      <c r="FB52" s="215" t="n"/>
      <c r="FC52" s="215" t="n"/>
      <c r="FD52" s="215" t="n"/>
      <c r="FE52" s="215" t="n"/>
      <c r="FF52" s="215" t="n"/>
      <c r="FG52" s="215" t="n"/>
      <c r="FH52" s="215" t="n"/>
      <c r="FI52" s="215" t="n"/>
      <c r="FJ52" s="215" t="n"/>
      <c r="FK52" s="215" t="n"/>
      <c r="FL52" s="215" t="n"/>
      <c r="FM52" s="215" t="n"/>
      <c r="FN52" s="215" t="n"/>
      <c r="FO52" s="215" t="n"/>
      <c r="FP52" s="215" t="n"/>
      <c r="FQ52" s="215" t="n"/>
      <c r="FR52" s="215" t="n"/>
      <c r="FS52" s="215" t="n"/>
      <c r="FT52" s="215" t="n"/>
      <c r="FU52" s="215" t="n"/>
      <c r="FV52" s="215" t="n"/>
      <c r="FW52" s="215" t="n"/>
      <c r="FX52" s="215" t="n"/>
      <c r="FY52" s="215" t="n"/>
      <c r="FZ52" s="215" t="n"/>
      <c r="GA52" s="215" t="n"/>
      <c r="GB52" s="215" t="n"/>
      <c r="GC52" s="215" t="n"/>
      <c r="GD52" s="215" t="n"/>
      <c r="GE52" s="215" t="n"/>
      <c r="GF52" s="215" t="n"/>
      <c r="GG52" s="215" t="n"/>
      <c r="GH52" s="215" t="n"/>
      <c r="GI52" s="215" t="n"/>
      <c r="GJ52" s="215" t="n"/>
      <c r="GK52" s="215" t="n"/>
      <c r="GL52" s="215" t="n"/>
      <c r="GM52" s="215" t="n"/>
      <c r="GN52" s="215" t="n"/>
      <c r="GO52" s="215" t="n"/>
      <c r="GP52" s="215" t="n"/>
      <c r="GQ52" s="215" t="n"/>
      <c r="GR52" s="215" t="n"/>
      <c r="GS52" s="215" t="n"/>
      <c r="GT52" s="215" t="n"/>
      <c r="GU52" s="215" t="n"/>
      <c r="GV52" s="215" t="n"/>
      <c r="GW52" s="215" t="n"/>
      <c r="GX52" s="215" t="n"/>
      <c r="GY52" s="215" t="n"/>
      <c r="GZ52" s="215" t="n"/>
      <c r="HA52" s="215" t="n"/>
      <c r="HB52" s="215" t="n"/>
      <c r="HC52" s="215" t="n"/>
      <c r="HD52" s="215" t="n"/>
      <c r="HE52" s="215" t="n"/>
      <c r="HF52" s="215" t="n"/>
      <c r="HG52" s="215" t="n"/>
      <c r="HH52" s="215" t="n"/>
      <c r="HI52" s="215" t="n"/>
      <c r="HJ52" s="215" t="n"/>
      <c r="HK52" s="215" t="n"/>
      <c r="HL52" s="215" t="n"/>
      <c r="HM52" s="215" t="n"/>
      <c r="HN52" s="215" t="n"/>
      <c r="HO52" s="215" t="n"/>
      <c r="HP52" s="215" t="n"/>
      <c r="HQ52" s="215" t="n"/>
      <c r="HR52" s="215" t="n"/>
      <c r="HS52" s="215" t="n"/>
      <c r="HT52" s="215" t="n"/>
      <c r="HU52" s="215" t="n"/>
      <c r="HV52" s="215" t="n"/>
      <c r="HW52" s="215" t="n"/>
      <c r="HX52" s="215" t="n"/>
      <c r="HY52" s="215" t="n"/>
      <c r="HZ52" s="215" t="n"/>
      <c r="IA52" s="215" t="n"/>
      <c r="IB52" s="215" t="n"/>
      <c r="IC52" s="215" t="n"/>
      <c r="ID52" s="215" t="n"/>
      <c r="IE52" s="215" t="n"/>
      <c r="IF52" s="215" t="n"/>
      <c r="IG52" s="215" t="n"/>
      <c r="IH52" s="215" t="n"/>
      <c r="II52" s="215" t="n"/>
      <c r="IJ52" s="215" t="n"/>
      <c r="IK52" s="215" t="n"/>
      <c r="IL52" s="215" t="n"/>
      <c r="IM52" s="215" t="n"/>
      <c r="IN52" s="215" t="n"/>
      <c r="IO52" s="215" t="n"/>
      <c r="IP52" s="215" t="n"/>
      <c r="IQ52" s="215" t="n"/>
      <c r="IR52" s="215" t="n"/>
      <c r="IS52" s="215" t="n"/>
      <c r="IT52" s="215" t="n"/>
      <c r="IU52" s="215" t="n"/>
      <c r="IV52" s="215" t="n"/>
      <c r="IW52" s="215" t="n"/>
      <c r="IX52" s="215" t="n"/>
      <c r="IY52" s="215" t="n"/>
      <c r="IZ52" s="215" t="n"/>
      <c r="JA52" s="215" t="n"/>
      <c r="JB52" s="215" t="n"/>
      <c r="JC52" s="215" t="n"/>
      <c r="JD52" s="215" t="n"/>
      <c r="JE52" s="215" t="n"/>
      <c r="JF52" s="215" t="n"/>
      <c r="JG52" s="215" t="n"/>
      <c r="JH52" s="215" t="n"/>
      <c r="JI52" s="215" t="n"/>
      <c r="JJ52" s="215" t="n"/>
      <c r="JK52" s="215" t="n"/>
      <c r="JL52" s="215" t="n"/>
      <c r="JM52" s="215" t="n"/>
      <c r="JN52" s="215" t="n"/>
      <c r="JO52" s="215" t="n"/>
      <c r="JP52" s="215" t="n"/>
      <c r="JQ52" s="215" t="n"/>
      <c r="JR52" s="215" t="n"/>
      <c r="JS52" s="215" t="n"/>
      <c r="JT52" s="215" t="n"/>
      <c r="JU52" s="215" t="n"/>
      <c r="JV52" s="215" t="n"/>
      <c r="JW52" s="215" t="n"/>
      <c r="JX52" s="215" t="n"/>
      <c r="JY52" s="215" t="n"/>
      <c r="JZ52" s="215" t="n"/>
      <c r="KA52" s="215" t="n"/>
      <c r="KB52" s="215" t="n"/>
      <c r="KC52" s="215" t="n"/>
      <c r="KD52" s="215" t="n"/>
      <c r="KE52" s="215" t="n"/>
      <c r="KF52" s="215" t="n"/>
      <c r="KG52" s="215" t="n"/>
      <c r="KH52" s="215" t="n"/>
      <c r="KI52" s="215" t="n"/>
      <c r="KJ52" s="215" t="n"/>
      <c r="KK52" s="215" t="n"/>
      <c r="KL52" s="215" t="n"/>
      <c r="KM52" s="215" t="n"/>
      <c r="KN52" s="215" t="n"/>
      <c r="KO52" s="215" t="n"/>
      <c r="KP52" s="215" t="n"/>
      <c r="KQ52" s="215" t="n"/>
      <c r="KR52" s="215" t="n"/>
      <c r="KS52" s="215" t="n"/>
      <c r="KT52" s="215" t="n"/>
      <c r="KU52" s="215" t="n"/>
      <c r="KV52" s="215" t="n"/>
      <c r="KW52" s="215" t="n"/>
      <c r="KX52" s="215" t="n"/>
      <c r="KY52" s="215" t="n"/>
      <c r="KZ52" s="215" t="n"/>
      <c r="LA52" s="215" t="n"/>
      <c r="LB52" s="215" t="n"/>
      <c r="LC52" s="215" t="n"/>
      <c r="LD52" s="215" t="n"/>
      <c r="LE52" s="215" t="n"/>
      <c r="LF52" s="215" t="n"/>
      <c r="LG52" s="215" t="n"/>
      <c r="LH52" s="215" t="n"/>
      <c r="LI52" s="215" t="n"/>
      <c r="LJ52" s="215" t="n"/>
      <c r="LK52" s="215" t="n"/>
      <c r="LL52" s="215" t="n"/>
      <c r="LM52" s="215" t="n"/>
      <c r="LN52" s="215" t="n"/>
      <c r="LO52" s="215" t="n"/>
      <c r="LP52" s="215" t="n"/>
      <c r="LQ52" s="215" t="n"/>
      <c r="LR52" s="215" t="n"/>
      <c r="LS52" s="215" t="n"/>
      <c r="LT52" s="215" t="n"/>
      <c r="LU52" s="215" t="n"/>
      <c r="LV52" s="215" t="n"/>
      <c r="LW52" s="215" t="n"/>
      <c r="LX52" s="215" t="n"/>
      <c r="LY52" s="215" t="n"/>
      <c r="LZ52" s="215" t="n"/>
      <c r="MA52" s="215" t="n"/>
      <c r="MB52" s="215" t="n"/>
      <c r="MC52" s="215" t="n"/>
      <c r="MD52" s="215" t="n"/>
      <c r="ME52" s="215" t="n"/>
      <c r="MF52" s="215" t="n"/>
      <c r="MG52" s="215" t="n"/>
      <c r="MH52" s="215" t="n"/>
      <c r="MI52" s="215" t="n"/>
      <c r="MJ52" s="215" t="n"/>
      <c r="MK52" s="215" t="n"/>
      <c r="ML52" s="215" t="n"/>
      <c r="MM52" s="215" t="n"/>
      <c r="MN52" s="215" t="n"/>
      <c r="MO52" s="215" t="n"/>
      <c r="MP52" s="215" t="n"/>
      <c r="MQ52" s="215" t="n"/>
      <c r="MR52" s="215" t="n"/>
      <c r="MS52" s="215" t="n"/>
      <c r="MT52" s="215" t="n"/>
      <c r="MU52" s="215" t="n"/>
      <c r="MV52" s="215" t="n"/>
      <c r="MW52" s="215" t="n"/>
      <c r="MX52" s="215" t="n"/>
      <c r="MY52" s="215" t="n"/>
      <c r="MZ52" s="215" t="n"/>
      <c r="NA52" s="215" t="n"/>
      <c r="NB52" s="215" t="n"/>
      <c r="NC52" s="216">
        <f>SUM(B52:NB52)</f>
        <v/>
      </c>
    </row>
    <row r="53" ht="14.25" customHeight="1" s="166">
      <c r="A53" s="214" t="inlineStr">
        <is>
          <t>BTU-16-00-01</t>
        </is>
      </c>
      <c r="B53" s="215" t="n"/>
      <c r="C53" s="215" t="n"/>
      <c r="D53" s="215" t="n"/>
      <c r="E53" s="215" t="n"/>
      <c r="F53" s="215" t="n"/>
      <c r="G53" s="215" t="n"/>
      <c r="H53" s="215" t="n"/>
      <c r="I53" s="215" t="n"/>
      <c r="J53" s="215" t="n"/>
      <c r="K53" s="215" t="n"/>
      <c r="L53" s="215" t="n"/>
      <c r="M53" s="215" t="n"/>
      <c r="N53" s="215" t="n"/>
      <c r="O53" s="215" t="n"/>
      <c r="P53" s="215" t="n"/>
      <c r="Q53" s="215" t="n"/>
      <c r="R53" s="215" t="n"/>
      <c r="S53" s="215" t="n"/>
      <c r="T53" s="215" t="n"/>
      <c r="U53" s="215" t="n"/>
      <c r="V53" s="215" t="n"/>
      <c r="W53" s="215" t="n"/>
      <c r="X53" s="215" t="n"/>
      <c r="Y53" s="215" t="n"/>
      <c r="Z53" s="215" t="n"/>
      <c r="AA53" s="215" t="n"/>
      <c r="AB53" s="215" t="n"/>
      <c r="AC53" s="215" t="n"/>
      <c r="AD53" s="215" t="n"/>
      <c r="AE53" s="215" t="n"/>
      <c r="AF53" s="215" t="n"/>
      <c r="AG53" s="215" t="n"/>
      <c r="AH53" s="215" t="n"/>
      <c r="AI53" s="215" t="n"/>
      <c r="AJ53" s="215" t="n"/>
      <c r="AK53" s="215" t="n"/>
      <c r="AL53" s="215" t="n"/>
      <c r="AM53" s="215" t="n"/>
      <c r="AN53" s="215" t="n"/>
      <c r="AO53" s="215" t="n"/>
      <c r="AP53" s="215" t="n"/>
      <c r="AQ53" s="215" t="n"/>
      <c r="AR53" s="215" t="n"/>
      <c r="AS53" s="215" t="n"/>
      <c r="AT53" s="215" t="n"/>
      <c r="AU53" s="215" t="n"/>
      <c r="AV53" s="215" t="n"/>
      <c r="AW53" s="215" t="n"/>
      <c r="AX53" s="215" t="n"/>
      <c r="AY53" s="215" t="n"/>
      <c r="AZ53" s="215" t="n"/>
      <c r="BA53" s="215" t="n"/>
      <c r="BB53" s="215" t="n"/>
      <c r="BC53" s="215" t="n"/>
      <c r="BD53" s="215" t="n"/>
      <c r="BE53" s="215" t="n"/>
      <c r="BF53" s="215" t="n"/>
      <c r="BG53" s="215" t="n"/>
      <c r="BH53" s="215" t="n"/>
      <c r="BI53" s="215" t="n"/>
      <c r="BJ53" s="215" t="n"/>
      <c r="BK53" s="215" t="n"/>
      <c r="BL53" s="215" t="n"/>
      <c r="BM53" s="215" t="n"/>
      <c r="BN53" s="215" t="n"/>
      <c r="BO53" s="215" t="n"/>
      <c r="BP53" s="215" t="n"/>
      <c r="BQ53" s="215" t="n"/>
      <c r="BR53" s="215" t="n"/>
      <c r="BS53" s="215" t="n"/>
      <c r="BT53" s="215" t="n"/>
      <c r="BU53" s="215" t="n"/>
      <c r="BV53" s="215" t="n"/>
      <c r="BW53" s="215" t="n"/>
      <c r="BX53" s="215" t="n"/>
      <c r="BY53" s="215" t="n"/>
      <c r="BZ53" s="215" t="n"/>
      <c r="CA53" s="215" t="n"/>
      <c r="CB53" s="215" t="n"/>
      <c r="CC53" s="215" t="n"/>
      <c r="CD53" s="215" t="n"/>
      <c r="CE53" s="215" t="n"/>
      <c r="CF53" s="215" t="n"/>
      <c r="CG53" s="215" t="n"/>
      <c r="CH53" s="215" t="n"/>
      <c r="CI53" s="215" t="n"/>
      <c r="CJ53" s="215" t="n"/>
      <c r="CK53" s="215" t="n"/>
      <c r="CL53" s="215" t="n"/>
      <c r="CM53" s="215" t="n"/>
      <c r="CN53" s="215" t="n"/>
      <c r="CO53" s="215" t="n"/>
      <c r="CP53" s="215" t="n"/>
      <c r="CQ53" s="215" t="n"/>
      <c r="CR53" s="215" t="n"/>
      <c r="CS53" s="215" t="n"/>
      <c r="CT53" s="215" t="n"/>
      <c r="CU53" s="215" t="n"/>
      <c r="CV53" s="215" t="n"/>
      <c r="CW53" s="215" t="n"/>
      <c r="CX53" s="215" t="n"/>
      <c r="CY53" s="215" t="n"/>
      <c r="CZ53" s="215" t="n"/>
      <c r="DA53" s="215" t="n"/>
      <c r="DB53" s="215" t="n"/>
      <c r="DC53" s="215" t="n"/>
      <c r="DD53" s="215" t="n"/>
      <c r="DE53" s="215" t="n"/>
      <c r="DF53" s="215" t="n"/>
      <c r="DG53" s="215" t="n"/>
      <c r="DH53" s="215" t="n"/>
      <c r="DI53" s="215" t="n"/>
      <c r="DJ53" s="215" t="n"/>
      <c r="DK53" s="215" t="n"/>
      <c r="DL53" s="215" t="n"/>
      <c r="DM53" s="215" t="n"/>
      <c r="DN53" s="215" t="n"/>
      <c r="DO53" s="215" t="n"/>
      <c r="DP53" s="215" t="n"/>
      <c r="DQ53" s="215" t="n"/>
      <c r="DR53" s="215" t="n"/>
      <c r="DS53" s="215" t="n"/>
      <c r="DT53" s="215" t="n"/>
      <c r="DU53" s="215" t="n"/>
      <c r="DV53" s="215" t="n"/>
      <c r="DW53" s="215" t="n"/>
      <c r="DX53" s="215" t="n"/>
      <c r="DY53" s="215" t="n"/>
      <c r="DZ53" s="215" t="n"/>
      <c r="EA53" s="215" t="n"/>
      <c r="EB53" s="215" t="n"/>
      <c r="EC53" s="215" t="n"/>
      <c r="ED53" s="215" t="n"/>
      <c r="EE53" s="215" t="n"/>
      <c r="EF53" s="215" t="n"/>
      <c r="EG53" s="215" t="n"/>
      <c r="EH53" s="215" t="n"/>
      <c r="EI53" s="215" t="n"/>
      <c r="EJ53" s="215" t="n"/>
      <c r="EK53" s="215" t="n"/>
      <c r="EL53" s="215" t="n"/>
      <c r="EM53" s="215" t="n"/>
      <c r="EN53" s="215" t="n"/>
      <c r="EO53" s="215" t="n"/>
      <c r="EP53" s="215" t="n"/>
      <c r="EQ53" s="215" t="n"/>
      <c r="ER53" s="215" t="n"/>
      <c r="ES53" s="215" t="n"/>
      <c r="ET53" s="215" t="n"/>
      <c r="EU53" s="215" t="n"/>
      <c r="EV53" s="215" t="n"/>
      <c r="EW53" s="215" t="n"/>
      <c r="EX53" s="215" t="n"/>
      <c r="EY53" s="215" t="n"/>
      <c r="EZ53" s="215" t="n"/>
      <c r="FA53" s="215" t="n"/>
      <c r="FB53" s="215" t="n"/>
      <c r="FC53" s="215" t="n"/>
      <c r="FD53" s="215" t="n"/>
      <c r="FE53" s="215" t="n"/>
      <c r="FF53" s="215" t="n"/>
      <c r="FG53" s="215" t="n"/>
      <c r="FH53" s="215" t="n"/>
      <c r="FI53" s="215" t="n"/>
      <c r="FJ53" s="215" t="n"/>
      <c r="FK53" s="215" t="n"/>
      <c r="FL53" s="215" t="n"/>
      <c r="FM53" s="215" t="n"/>
      <c r="FN53" s="215" t="n"/>
      <c r="FO53" s="215" t="n"/>
      <c r="FP53" s="215" t="n"/>
      <c r="FQ53" s="215" t="n"/>
      <c r="FR53" s="215" t="n"/>
      <c r="FS53" s="215" t="n"/>
      <c r="FT53" s="215" t="n"/>
      <c r="FU53" s="215" t="n"/>
      <c r="FV53" s="215" t="n"/>
      <c r="FW53" s="215" t="n"/>
      <c r="FX53" s="215" t="n"/>
      <c r="FY53" s="215" t="n"/>
      <c r="FZ53" s="215" t="n"/>
      <c r="GA53" s="215" t="n"/>
      <c r="GB53" s="215" t="n"/>
      <c r="GC53" s="215" t="n"/>
      <c r="GD53" s="215" t="n"/>
      <c r="GE53" s="215" t="n"/>
      <c r="GF53" s="215" t="n"/>
      <c r="GG53" s="215" t="n"/>
      <c r="GH53" s="215" t="n"/>
      <c r="GI53" s="215" t="n"/>
      <c r="GJ53" s="215" t="n"/>
      <c r="GK53" s="215" t="n"/>
      <c r="GL53" s="215" t="n"/>
      <c r="GM53" s="215" t="n"/>
      <c r="GN53" s="215" t="n"/>
      <c r="GO53" s="215" t="n"/>
      <c r="GP53" s="215" t="n"/>
      <c r="GQ53" s="215" t="n"/>
      <c r="GR53" s="215" t="n"/>
      <c r="GS53" s="215" t="n"/>
      <c r="GT53" s="215" t="n"/>
      <c r="GU53" s="215" t="n"/>
      <c r="GV53" s="215" t="n"/>
      <c r="GW53" s="215" t="n"/>
      <c r="GX53" s="215" t="n"/>
      <c r="GY53" s="215" t="n"/>
      <c r="GZ53" s="215" t="n"/>
      <c r="HA53" s="215" t="n"/>
      <c r="HB53" s="215" t="n"/>
      <c r="HC53" s="215" t="n"/>
      <c r="HD53" s="215" t="n"/>
      <c r="HE53" s="215" t="n"/>
      <c r="HF53" s="215" t="n"/>
      <c r="HG53" s="215" t="n"/>
      <c r="HH53" s="215" t="n"/>
      <c r="HI53" s="215" t="n"/>
      <c r="HJ53" s="215" t="n"/>
      <c r="HK53" s="215" t="n"/>
      <c r="HL53" s="215" t="n"/>
      <c r="HM53" s="215" t="n"/>
      <c r="HN53" s="215" t="n"/>
      <c r="HO53" s="215" t="n"/>
      <c r="HP53" s="215" t="n"/>
      <c r="HQ53" s="215" t="n"/>
      <c r="HR53" s="215" t="n"/>
      <c r="HS53" s="215" t="n"/>
      <c r="HT53" s="215" t="n"/>
      <c r="HU53" s="215" t="n"/>
      <c r="HV53" s="215" t="n"/>
      <c r="HW53" s="215" t="n"/>
      <c r="HX53" s="215" t="n"/>
      <c r="HY53" s="215" t="n"/>
      <c r="HZ53" s="215" t="n"/>
      <c r="IA53" s="215" t="n"/>
      <c r="IB53" s="215" t="n"/>
      <c r="IC53" s="215" t="n"/>
      <c r="ID53" s="215" t="n"/>
      <c r="IE53" s="215" t="n"/>
      <c r="IF53" s="215" t="n"/>
      <c r="IG53" s="215" t="n"/>
      <c r="IH53" s="215" t="n"/>
      <c r="II53" s="215" t="n"/>
      <c r="IJ53" s="215" t="n"/>
      <c r="IK53" s="215" t="n"/>
      <c r="IL53" s="215" t="n"/>
      <c r="IM53" s="215" t="n"/>
      <c r="IN53" s="215" t="n"/>
      <c r="IO53" s="215" t="n"/>
      <c r="IP53" s="215" t="n"/>
      <c r="IQ53" s="215" t="n"/>
      <c r="IR53" s="215" t="n"/>
      <c r="IS53" s="215" t="n"/>
      <c r="IT53" s="215" t="n"/>
      <c r="IU53" s="215" t="n"/>
      <c r="IV53" s="215" t="n"/>
      <c r="IW53" s="215" t="n"/>
      <c r="IX53" s="215" t="n"/>
      <c r="IY53" s="215" t="n"/>
      <c r="IZ53" s="215" t="n"/>
      <c r="JA53" s="215" t="n"/>
      <c r="JB53" s="215" t="n"/>
      <c r="JC53" s="215" t="n"/>
      <c r="JD53" s="215" t="n"/>
      <c r="JE53" s="215" t="n"/>
      <c r="JF53" s="215" t="n"/>
      <c r="JG53" s="215" t="n"/>
      <c r="JH53" s="215" t="n"/>
      <c r="JI53" s="215" t="n"/>
      <c r="JJ53" s="215" t="n"/>
      <c r="JK53" s="215" t="n"/>
      <c r="JL53" s="215" t="n"/>
      <c r="JM53" s="215" t="n"/>
      <c r="JN53" s="215" t="n"/>
      <c r="JO53" s="215" t="n"/>
      <c r="JP53" s="215" t="n"/>
      <c r="JQ53" s="215" t="n"/>
      <c r="JR53" s="215" t="n"/>
      <c r="JS53" s="215" t="n"/>
      <c r="JT53" s="215" t="n"/>
      <c r="JU53" s="215" t="n"/>
      <c r="JV53" s="215" t="n"/>
      <c r="JW53" s="215" t="n"/>
      <c r="JX53" s="215" t="n"/>
      <c r="JY53" s="215" t="n"/>
      <c r="JZ53" s="215" t="n"/>
      <c r="KA53" s="215" t="n"/>
      <c r="KB53" s="215" t="n"/>
      <c r="KC53" s="215" t="n"/>
      <c r="KD53" s="215" t="n"/>
      <c r="KE53" s="215" t="n"/>
      <c r="KF53" s="215" t="n"/>
      <c r="KG53" s="215" t="n"/>
      <c r="KH53" s="215" t="n"/>
      <c r="KI53" s="215" t="n"/>
      <c r="KJ53" s="215" t="n"/>
      <c r="KK53" s="215" t="n"/>
      <c r="KL53" s="215" t="n"/>
      <c r="KM53" s="215" t="n"/>
      <c r="KN53" s="215" t="n"/>
      <c r="KO53" s="215" t="n"/>
      <c r="KP53" s="215" t="n"/>
      <c r="KQ53" s="215" t="n"/>
      <c r="KR53" s="215" t="n"/>
      <c r="KS53" s="215" t="n"/>
      <c r="KT53" s="215" t="n"/>
      <c r="KU53" s="215" t="n"/>
      <c r="KV53" s="215" t="n"/>
      <c r="KW53" s="215" t="n"/>
      <c r="KX53" s="215" t="n"/>
      <c r="KY53" s="215" t="n"/>
      <c r="KZ53" s="215" t="n"/>
      <c r="LA53" s="215" t="n"/>
      <c r="LB53" s="215" t="n"/>
      <c r="LC53" s="215" t="n"/>
      <c r="LD53" s="215" t="n"/>
      <c r="LE53" s="215" t="n"/>
      <c r="LF53" s="215" t="n"/>
      <c r="LG53" s="215" t="n"/>
      <c r="LH53" s="215" t="n"/>
      <c r="LI53" s="215" t="n"/>
      <c r="LJ53" s="215" t="n"/>
      <c r="LK53" s="215" t="n"/>
      <c r="LL53" s="215" t="n"/>
      <c r="LM53" s="215" t="n"/>
      <c r="LN53" s="215" t="n"/>
      <c r="LO53" s="215" t="n"/>
      <c r="LP53" s="215" t="n"/>
      <c r="LQ53" s="215" t="n"/>
      <c r="LR53" s="215" t="n"/>
      <c r="LS53" s="215" t="n"/>
      <c r="LT53" s="215" t="n"/>
      <c r="LU53" s="215" t="n"/>
      <c r="LV53" s="215" t="n"/>
      <c r="LW53" s="215" t="n"/>
      <c r="LX53" s="215" t="n"/>
      <c r="LY53" s="215" t="n"/>
      <c r="LZ53" s="215" t="n"/>
      <c r="MA53" s="215" t="n"/>
      <c r="MB53" s="215" t="n"/>
      <c r="MC53" s="215" t="n"/>
      <c r="MD53" s="215" t="n"/>
      <c r="ME53" s="215" t="n"/>
      <c r="MF53" s="215" t="n"/>
      <c r="MG53" s="215" t="n"/>
      <c r="MH53" s="215" t="n"/>
      <c r="MI53" s="215" t="n"/>
      <c r="MJ53" s="215" t="n"/>
      <c r="MK53" s="215" t="n"/>
      <c r="ML53" s="215" t="n"/>
      <c r="MM53" s="215" t="n"/>
      <c r="MN53" s="215" t="n"/>
      <c r="MO53" s="215" t="n"/>
      <c r="MP53" s="215" t="n"/>
      <c r="MQ53" s="215" t="n"/>
      <c r="MR53" s="215" t="n"/>
      <c r="MS53" s="215" t="n"/>
      <c r="MT53" s="215" t="n"/>
      <c r="MU53" s="215" t="n"/>
      <c r="MV53" s="215" t="n"/>
      <c r="MW53" s="215" t="n"/>
      <c r="MX53" s="215" t="n"/>
      <c r="MY53" s="215" t="n"/>
      <c r="MZ53" s="215" t="n"/>
      <c r="NA53" s="215" t="n"/>
      <c r="NB53" s="215" t="n"/>
      <c r="NC53" s="216">
        <f>SUM(B53:NB53)</f>
        <v/>
      </c>
    </row>
    <row r="54" ht="14.25" customHeight="1" s="166">
      <c r="A54" s="214" t="inlineStr">
        <is>
          <t>BTU-22-00-01</t>
        </is>
      </c>
      <c r="B54" s="215" t="n"/>
      <c r="C54" s="215" t="n"/>
      <c r="D54" s="215" t="n"/>
      <c r="E54" s="215" t="n"/>
      <c r="F54" s="215" t="n"/>
      <c r="G54" s="215" t="n"/>
      <c r="H54" s="215" t="n"/>
      <c r="I54" s="215" t="n"/>
      <c r="J54" s="215" t="n"/>
      <c r="K54" s="215" t="n"/>
      <c r="L54" s="215" t="n"/>
      <c r="M54" s="215" t="n"/>
      <c r="N54" s="215" t="n"/>
      <c r="O54" s="215" t="n"/>
      <c r="P54" s="215" t="n"/>
      <c r="Q54" s="215" t="n"/>
      <c r="R54" s="215" t="n"/>
      <c r="S54" s="215" t="n"/>
      <c r="T54" s="215" t="n"/>
      <c r="U54" s="215" t="n"/>
      <c r="V54" s="215" t="n"/>
      <c r="W54" s="215" t="n"/>
      <c r="X54" s="215" t="n"/>
      <c r="Y54" s="215" t="n"/>
      <c r="Z54" s="215" t="n"/>
      <c r="AA54" s="215" t="n"/>
      <c r="AB54" s="215" t="n"/>
      <c r="AC54" s="215" t="n"/>
      <c r="AD54" s="215" t="n"/>
      <c r="AE54" s="215" t="n"/>
      <c r="AF54" s="215" t="n"/>
      <c r="AG54" s="215" t="n"/>
      <c r="AH54" s="215" t="n"/>
      <c r="AI54" s="215" t="n"/>
      <c r="AJ54" s="215" t="n"/>
      <c r="AK54" s="215" t="n"/>
      <c r="AL54" s="215" t="n"/>
      <c r="AM54" s="215" t="n"/>
      <c r="AN54" s="215" t="n"/>
      <c r="AO54" s="215" t="n"/>
      <c r="AP54" s="215" t="n"/>
      <c r="AQ54" s="215" t="n"/>
      <c r="AR54" s="215" t="n"/>
      <c r="AS54" s="215" t="n"/>
      <c r="AT54" s="215" t="n"/>
      <c r="AU54" s="215" t="n"/>
      <c r="AV54" s="215" t="n"/>
      <c r="AW54" s="215" t="n"/>
      <c r="AX54" s="215" t="n"/>
      <c r="AY54" s="215" t="n"/>
      <c r="AZ54" s="215" t="n"/>
      <c r="BA54" s="215" t="n"/>
      <c r="BB54" s="215" t="n"/>
      <c r="BC54" s="215" t="n"/>
      <c r="BD54" s="215" t="n"/>
      <c r="BE54" s="215" t="n"/>
      <c r="BF54" s="215" t="n"/>
      <c r="BG54" s="215" t="n"/>
      <c r="BH54" s="215" t="n"/>
      <c r="BI54" s="215" t="n"/>
      <c r="BJ54" s="215" t="n"/>
      <c r="BK54" s="215" t="n"/>
      <c r="BL54" s="215" t="n"/>
      <c r="BM54" s="215" t="n"/>
      <c r="BN54" s="215" t="n"/>
      <c r="BO54" s="215" t="n"/>
      <c r="BP54" s="215" t="n"/>
      <c r="BQ54" s="215" t="n"/>
      <c r="BR54" s="215" t="n"/>
      <c r="BS54" s="215" t="n"/>
      <c r="BT54" s="215" t="n"/>
      <c r="BU54" s="215" t="n"/>
      <c r="BV54" s="215" t="n"/>
      <c r="BW54" s="215" t="n"/>
      <c r="BX54" s="215" t="n"/>
      <c r="BY54" s="215" t="n"/>
      <c r="BZ54" s="215" t="n"/>
      <c r="CA54" s="215" t="n"/>
      <c r="CB54" s="215" t="n"/>
      <c r="CC54" s="215" t="n"/>
      <c r="CD54" s="215" t="n"/>
      <c r="CE54" s="215" t="n"/>
      <c r="CF54" s="215" t="n"/>
      <c r="CG54" s="215" t="n"/>
      <c r="CH54" s="215" t="n"/>
      <c r="CI54" s="215" t="n"/>
      <c r="CJ54" s="215" t="n"/>
      <c r="CK54" s="215" t="n"/>
      <c r="CL54" s="215" t="n"/>
      <c r="CM54" s="215" t="n"/>
      <c r="CN54" s="215" t="n"/>
      <c r="CO54" s="215" t="n"/>
      <c r="CP54" s="215" t="n"/>
      <c r="CQ54" s="215" t="n"/>
      <c r="CR54" s="215" t="n"/>
      <c r="CS54" s="215" t="n"/>
      <c r="CT54" s="215" t="n"/>
      <c r="CU54" s="215" t="n"/>
      <c r="CV54" s="215" t="n"/>
      <c r="CW54" s="215" t="n"/>
      <c r="CX54" s="215" t="n"/>
      <c r="CY54" s="215" t="n"/>
      <c r="CZ54" s="215" t="n"/>
      <c r="DA54" s="215" t="n"/>
      <c r="DB54" s="215" t="n"/>
      <c r="DC54" s="215" t="n"/>
      <c r="DD54" s="215" t="n"/>
      <c r="DE54" s="215" t="n"/>
      <c r="DF54" s="215" t="n"/>
      <c r="DG54" s="215" t="n"/>
      <c r="DH54" s="215" t="n"/>
      <c r="DI54" s="215" t="n"/>
      <c r="DJ54" s="215" t="n"/>
      <c r="DK54" s="215" t="n"/>
      <c r="DL54" s="215" t="n"/>
      <c r="DM54" s="215" t="n"/>
      <c r="DN54" s="215" t="n"/>
      <c r="DO54" s="215" t="n"/>
      <c r="DP54" s="215" t="n"/>
      <c r="DQ54" s="215" t="n"/>
      <c r="DR54" s="215" t="n"/>
      <c r="DS54" s="215" t="n"/>
      <c r="DT54" s="215" t="n"/>
      <c r="DU54" s="215" t="n"/>
      <c r="DV54" s="215" t="n"/>
      <c r="DW54" s="215" t="n"/>
      <c r="DX54" s="215" t="n"/>
      <c r="DY54" s="215" t="n"/>
      <c r="DZ54" s="215" t="n"/>
      <c r="EA54" s="215" t="n"/>
      <c r="EB54" s="215" t="n"/>
      <c r="EC54" s="215" t="n"/>
      <c r="ED54" s="215" t="n"/>
      <c r="EE54" s="215" t="n"/>
      <c r="EF54" s="215" t="n"/>
      <c r="EG54" s="215" t="n"/>
      <c r="EH54" s="215" t="n"/>
      <c r="EI54" s="215" t="n"/>
      <c r="EJ54" s="215" t="n"/>
      <c r="EK54" s="215" t="n"/>
      <c r="EL54" s="215" t="n"/>
      <c r="EM54" s="215" t="n"/>
      <c r="EN54" s="215" t="n"/>
      <c r="EO54" s="215" t="n"/>
      <c r="EP54" s="215" t="n"/>
      <c r="EQ54" s="215" t="n"/>
      <c r="ER54" s="215" t="n"/>
      <c r="ES54" s="215" t="n"/>
      <c r="ET54" s="215" t="n"/>
      <c r="EU54" s="215" t="n"/>
      <c r="EV54" s="215" t="n"/>
      <c r="EW54" s="215" t="n"/>
      <c r="EX54" s="215" t="n"/>
      <c r="EY54" s="215" t="n"/>
      <c r="EZ54" s="215" t="n"/>
      <c r="FA54" s="215" t="n"/>
      <c r="FB54" s="215" t="n"/>
      <c r="FC54" s="215" t="n"/>
      <c r="FD54" s="215" t="n"/>
      <c r="FE54" s="215" t="n"/>
      <c r="FF54" s="215" t="n"/>
      <c r="FG54" s="215" t="n"/>
      <c r="FH54" s="215" t="n"/>
      <c r="FI54" s="215" t="n"/>
      <c r="FJ54" s="215" t="n"/>
      <c r="FK54" s="215" t="n"/>
      <c r="FL54" s="215" t="n"/>
      <c r="FM54" s="215" t="n"/>
      <c r="FN54" s="215" t="n"/>
      <c r="FO54" s="215" t="n"/>
      <c r="FP54" s="215" t="n"/>
      <c r="FQ54" s="215" t="n"/>
      <c r="FR54" s="215" t="n"/>
      <c r="FS54" s="215" t="n"/>
      <c r="FT54" s="215" t="n"/>
      <c r="FU54" s="215" t="n"/>
      <c r="FV54" s="215" t="n"/>
      <c r="FW54" s="215" t="n"/>
      <c r="FX54" s="215" t="n"/>
      <c r="FY54" s="215" t="n"/>
      <c r="FZ54" s="215" t="n"/>
      <c r="GA54" s="215" t="n"/>
      <c r="GB54" s="215" t="n"/>
      <c r="GC54" s="215" t="n"/>
      <c r="GD54" s="215" t="n"/>
      <c r="GE54" s="215" t="n"/>
      <c r="GF54" s="215" t="n"/>
      <c r="GG54" s="215" t="n"/>
      <c r="GH54" s="215" t="n"/>
      <c r="GI54" s="215" t="n"/>
      <c r="GJ54" s="215" t="n"/>
      <c r="GK54" s="215" t="n"/>
      <c r="GL54" s="215" t="n"/>
      <c r="GM54" s="215" t="n"/>
      <c r="GN54" s="215" t="n"/>
      <c r="GO54" s="215" t="n"/>
      <c r="GP54" s="215" t="n"/>
      <c r="GQ54" s="215" t="n"/>
      <c r="GR54" s="215" t="n"/>
      <c r="GS54" s="215" t="n"/>
      <c r="GT54" s="215" t="n"/>
      <c r="GU54" s="215" t="n"/>
      <c r="GV54" s="215" t="n"/>
      <c r="GW54" s="215" t="n"/>
      <c r="GX54" s="215" t="n"/>
      <c r="GY54" s="215" t="n"/>
      <c r="GZ54" s="215" t="n"/>
      <c r="HA54" s="215" t="n"/>
      <c r="HB54" s="215" t="n"/>
      <c r="HC54" s="215" t="n"/>
      <c r="HD54" s="215" t="n"/>
      <c r="HE54" s="215" t="n"/>
      <c r="HF54" s="215" t="n"/>
      <c r="HG54" s="215" t="n"/>
      <c r="HH54" s="215" t="n"/>
      <c r="HI54" s="215" t="n"/>
      <c r="HJ54" s="215" t="n"/>
      <c r="HK54" s="215" t="n"/>
      <c r="HL54" s="215" t="n"/>
      <c r="HM54" s="215" t="n"/>
      <c r="HN54" s="215" t="n"/>
      <c r="HO54" s="215" t="n"/>
      <c r="HP54" s="215" t="n"/>
      <c r="HQ54" s="215" t="n"/>
      <c r="HR54" s="215" t="n"/>
      <c r="HS54" s="215" t="n"/>
      <c r="HT54" s="215" t="n"/>
      <c r="HU54" s="215" t="n"/>
      <c r="HV54" s="215" t="n"/>
      <c r="HW54" s="215" t="n"/>
      <c r="HX54" s="215" t="n"/>
      <c r="HY54" s="215" t="n"/>
      <c r="HZ54" s="215" t="n"/>
      <c r="IA54" s="215" t="n"/>
      <c r="IB54" s="215" t="n"/>
      <c r="IC54" s="215" t="n"/>
      <c r="ID54" s="215" t="n"/>
      <c r="IE54" s="215" t="n"/>
      <c r="IF54" s="215" t="n"/>
      <c r="IG54" s="215" t="n"/>
      <c r="IH54" s="215" t="n"/>
      <c r="II54" s="215" t="n"/>
      <c r="IJ54" s="215" t="n"/>
      <c r="IK54" s="215" t="n"/>
      <c r="IL54" s="215" t="n"/>
      <c r="IM54" s="215" t="n"/>
      <c r="IN54" s="215" t="n"/>
      <c r="IO54" s="215" t="n"/>
      <c r="IP54" s="215" t="n"/>
      <c r="IQ54" s="215" t="n"/>
      <c r="IR54" s="215" t="n"/>
      <c r="IS54" s="215" t="n"/>
      <c r="IT54" s="215" t="n"/>
      <c r="IU54" s="215" t="n"/>
      <c r="IV54" s="215" t="n"/>
      <c r="IW54" s="215" t="n"/>
      <c r="IX54" s="215" t="n"/>
      <c r="IY54" s="215" t="n"/>
      <c r="IZ54" s="215" t="n"/>
      <c r="JA54" s="215" t="n"/>
      <c r="JB54" s="215" t="n"/>
      <c r="JC54" s="215" t="n"/>
      <c r="JD54" s="215" t="n"/>
      <c r="JE54" s="215" t="n"/>
      <c r="JF54" s="215" t="n"/>
      <c r="JG54" s="215" t="n"/>
      <c r="JH54" s="215" t="n"/>
      <c r="JI54" s="215" t="n"/>
      <c r="JJ54" s="215" t="n"/>
      <c r="JK54" s="215" t="n"/>
      <c r="JL54" s="215" t="n"/>
      <c r="JM54" s="215" t="n"/>
      <c r="JN54" s="215" t="n"/>
      <c r="JO54" s="215" t="n"/>
      <c r="JP54" s="215" t="n"/>
      <c r="JQ54" s="215" t="n"/>
      <c r="JR54" s="215" t="n"/>
      <c r="JS54" s="215" t="n"/>
      <c r="JT54" s="215" t="n"/>
      <c r="JU54" s="215" t="n"/>
      <c r="JV54" s="215" t="n"/>
      <c r="JW54" s="215" t="n"/>
      <c r="JX54" s="215" t="n"/>
      <c r="JY54" s="215" t="n"/>
      <c r="JZ54" s="215" t="n"/>
      <c r="KA54" s="215" t="n"/>
      <c r="KB54" s="215" t="n"/>
      <c r="KC54" s="215" t="n"/>
      <c r="KD54" s="215" t="n"/>
      <c r="KE54" s="215" t="n"/>
      <c r="KF54" s="215" t="n"/>
      <c r="KG54" s="215" t="n"/>
      <c r="KH54" s="215" t="n"/>
      <c r="KI54" s="215" t="n"/>
      <c r="KJ54" s="215" t="n"/>
      <c r="KK54" s="215" t="n"/>
      <c r="KL54" s="215" t="n"/>
      <c r="KM54" s="215" t="n"/>
      <c r="KN54" s="215" t="n"/>
      <c r="KO54" s="215" t="n"/>
      <c r="KP54" s="215" t="n"/>
      <c r="KQ54" s="215" t="n"/>
      <c r="KR54" s="215" t="n"/>
      <c r="KS54" s="215" t="n"/>
      <c r="KT54" s="215" t="n"/>
      <c r="KU54" s="215" t="n"/>
      <c r="KV54" s="215" t="n"/>
      <c r="KW54" s="215" t="n"/>
      <c r="KX54" s="215" t="n"/>
      <c r="KY54" s="215" t="n"/>
      <c r="KZ54" s="215" t="n"/>
      <c r="LA54" s="215" t="n"/>
      <c r="LB54" s="215" t="n"/>
      <c r="LC54" s="215" t="n"/>
      <c r="LD54" s="215" t="n"/>
      <c r="LE54" s="215" t="n"/>
      <c r="LF54" s="215" t="n"/>
      <c r="LG54" s="215" t="n"/>
      <c r="LH54" s="215" t="n"/>
      <c r="LI54" s="215" t="n"/>
      <c r="LJ54" s="215" t="n"/>
      <c r="LK54" s="215" t="n"/>
      <c r="LL54" s="215" t="n"/>
      <c r="LM54" s="215" t="n"/>
      <c r="LN54" s="215" t="n"/>
      <c r="LO54" s="215" t="n"/>
      <c r="LP54" s="215" t="n"/>
      <c r="LQ54" s="215" t="n"/>
      <c r="LR54" s="215" t="n"/>
      <c r="LS54" s="215" t="n"/>
      <c r="LT54" s="215" t="n"/>
      <c r="LU54" s="215" t="n"/>
      <c r="LV54" s="215" t="n"/>
      <c r="LW54" s="215" t="n"/>
      <c r="LX54" s="215" t="n"/>
      <c r="LY54" s="215" t="n"/>
      <c r="LZ54" s="215" t="n"/>
      <c r="MA54" s="215" t="n"/>
      <c r="MB54" s="215" t="n"/>
      <c r="MC54" s="215" t="n"/>
      <c r="MD54" s="215" t="n"/>
      <c r="ME54" s="215" t="n"/>
      <c r="MF54" s="215" t="n"/>
      <c r="MG54" s="215" t="n"/>
      <c r="MH54" s="215" t="n"/>
      <c r="MI54" s="215" t="n"/>
      <c r="MJ54" s="215" t="n"/>
      <c r="MK54" s="215" t="n"/>
      <c r="ML54" s="215" t="n"/>
      <c r="MM54" s="215" t="n"/>
      <c r="MN54" s="215" t="n"/>
      <c r="MO54" s="215" t="n"/>
      <c r="MP54" s="215" t="n"/>
      <c r="MQ54" s="215" t="n"/>
      <c r="MR54" s="215" t="n"/>
      <c r="MS54" s="215" t="n"/>
      <c r="MT54" s="215" t="n"/>
      <c r="MU54" s="215" t="n"/>
      <c r="MV54" s="215" t="n"/>
      <c r="MW54" s="215" t="n"/>
      <c r="MX54" s="215" t="n"/>
      <c r="MY54" s="215" t="n"/>
      <c r="MZ54" s="215" t="n"/>
      <c r="NA54" s="215" t="n"/>
      <c r="NB54" s="215" t="n"/>
      <c r="NC54" s="216">
        <f>SUM(B54:NB54)</f>
        <v/>
      </c>
    </row>
    <row r="55" ht="14.25" customHeight="1" s="166">
      <c r="A55" s="214" t="inlineStr">
        <is>
          <t>BTU-21-00-01</t>
        </is>
      </c>
      <c r="B55" s="215" t="n"/>
      <c r="C55" s="215" t="n"/>
      <c r="D55" s="215" t="n"/>
      <c r="E55" s="215" t="n"/>
      <c r="F55" s="215" t="n"/>
      <c r="G55" s="215" t="n"/>
      <c r="H55" s="215" t="n"/>
      <c r="I55" s="215" t="n"/>
      <c r="J55" s="215" t="n"/>
      <c r="K55" s="215" t="n"/>
      <c r="L55" s="215" t="n"/>
      <c r="M55" s="215" t="n"/>
      <c r="N55" s="215" t="n"/>
      <c r="O55" s="215" t="n"/>
      <c r="P55" s="215" t="n"/>
      <c r="Q55" s="215" t="n"/>
      <c r="R55" s="215" t="n"/>
      <c r="S55" s="215" t="n"/>
      <c r="T55" s="215" t="n"/>
      <c r="U55" s="215" t="n"/>
      <c r="V55" s="215" t="n"/>
      <c r="W55" s="215" t="n"/>
      <c r="X55" s="215" t="n"/>
      <c r="Y55" s="215" t="n"/>
      <c r="Z55" s="215" t="n"/>
      <c r="AA55" s="215" t="n"/>
      <c r="AB55" s="215" t="n"/>
      <c r="AC55" s="215" t="n"/>
      <c r="AD55" s="215" t="n"/>
      <c r="AE55" s="215" t="n"/>
      <c r="AF55" s="215" t="n"/>
      <c r="AG55" s="215" t="n"/>
      <c r="AH55" s="215" t="n"/>
      <c r="AI55" s="215" t="n"/>
      <c r="AJ55" s="215" t="n"/>
      <c r="AK55" s="215" t="n"/>
      <c r="AL55" s="215" t="n"/>
      <c r="AM55" s="215" t="n"/>
      <c r="AN55" s="215" t="n"/>
      <c r="AO55" s="215" t="n"/>
      <c r="AP55" s="215" t="n"/>
      <c r="AQ55" s="215" t="n"/>
      <c r="AR55" s="215" t="n"/>
      <c r="AS55" s="215" t="n"/>
      <c r="AT55" s="215" t="n"/>
      <c r="AU55" s="215" t="n"/>
      <c r="AV55" s="215" t="n"/>
      <c r="AW55" s="215" t="n"/>
      <c r="AX55" s="215" t="n"/>
      <c r="AY55" s="215" t="n"/>
      <c r="AZ55" s="215" t="n"/>
      <c r="BA55" s="215" t="n"/>
      <c r="BB55" s="215" t="n"/>
      <c r="BC55" s="215" t="n"/>
      <c r="BD55" s="215" t="n"/>
      <c r="BE55" s="215" t="n"/>
      <c r="BF55" s="215" t="n"/>
      <c r="BG55" s="215" t="n"/>
      <c r="BH55" s="215" t="n"/>
      <c r="BI55" s="215" t="n"/>
      <c r="BJ55" s="215" t="n"/>
      <c r="BK55" s="215" t="n"/>
      <c r="BL55" s="215" t="n"/>
      <c r="BM55" s="215" t="n"/>
      <c r="BN55" s="215" t="n"/>
      <c r="BO55" s="215" t="n"/>
      <c r="BP55" s="215" t="n"/>
      <c r="BQ55" s="215" t="n"/>
      <c r="BR55" s="215" t="n"/>
      <c r="BS55" s="215" t="n"/>
      <c r="BT55" s="215" t="n"/>
      <c r="BU55" s="215" t="n"/>
      <c r="BV55" s="215" t="n"/>
      <c r="BW55" s="215" t="n"/>
      <c r="BX55" s="215" t="n"/>
      <c r="BY55" s="215" t="n"/>
      <c r="BZ55" s="215" t="n"/>
      <c r="CA55" s="215" t="n"/>
      <c r="CB55" s="215" t="n"/>
      <c r="CC55" s="215" t="n"/>
      <c r="CD55" s="215" t="n"/>
      <c r="CE55" s="215" t="n"/>
      <c r="CF55" s="215" t="n"/>
      <c r="CG55" s="215" t="n"/>
      <c r="CH55" s="215" t="n"/>
      <c r="CI55" s="215" t="n"/>
      <c r="CJ55" s="215" t="n"/>
      <c r="CK55" s="215" t="n"/>
      <c r="CL55" s="215" t="n"/>
      <c r="CM55" s="215" t="n"/>
      <c r="CN55" s="215" t="n"/>
      <c r="CO55" s="215" t="n"/>
      <c r="CP55" s="215" t="n"/>
      <c r="CQ55" s="215" t="n"/>
      <c r="CR55" s="215" t="n"/>
      <c r="CS55" s="215" t="n"/>
      <c r="CT55" s="215" t="n"/>
      <c r="CU55" s="215" t="n"/>
      <c r="CV55" s="215" t="n"/>
      <c r="CW55" s="215" t="n"/>
      <c r="CX55" s="215" t="n"/>
      <c r="CY55" s="215" t="n"/>
      <c r="CZ55" s="215" t="n"/>
      <c r="DA55" s="215" t="n"/>
      <c r="DB55" s="215" t="n"/>
      <c r="DC55" s="215" t="n"/>
      <c r="DD55" s="215" t="n"/>
      <c r="DE55" s="215" t="n"/>
      <c r="DF55" s="215" t="n"/>
      <c r="DG55" s="215" t="n"/>
      <c r="DH55" s="215" t="n"/>
      <c r="DI55" s="215" t="n"/>
      <c r="DJ55" s="215" t="n"/>
      <c r="DK55" s="215" t="n"/>
      <c r="DL55" s="215" t="n"/>
      <c r="DM55" s="215" t="n"/>
      <c r="DN55" s="215" t="n"/>
      <c r="DO55" s="215" t="n"/>
      <c r="DP55" s="215" t="n"/>
      <c r="DQ55" s="215" t="n"/>
      <c r="DR55" s="215" t="n"/>
      <c r="DS55" s="215" t="n"/>
      <c r="DT55" s="215" t="n"/>
      <c r="DU55" s="215" t="n"/>
      <c r="DV55" s="215" t="n"/>
      <c r="DW55" s="215" t="n"/>
      <c r="DX55" s="215" t="n"/>
      <c r="DY55" s="215" t="n"/>
      <c r="DZ55" s="215" t="n"/>
      <c r="EA55" s="215" t="n"/>
      <c r="EB55" s="215" t="n"/>
      <c r="EC55" s="215" t="n"/>
      <c r="ED55" s="215" t="n"/>
      <c r="EE55" s="215" t="n"/>
      <c r="EF55" s="215" t="n"/>
      <c r="EG55" s="215" t="n"/>
      <c r="EH55" s="215" t="n"/>
      <c r="EI55" s="215" t="n"/>
      <c r="EJ55" s="215" t="n"/>
      <c r="EK55" s="215" t="n"/>
      <c r="EL55" s="215" t="n"/>
      <c r="EM55" s="215" t="n"/>
      <c r="EN55" s="215" t="n"/>
      <c r="EO55" s="215" t="n"/>
      <c r="EP55" s="215" t="n"/>
      <c r="EQ55" s="215" t="n"/>
      <c r="ER55" s="215" t="n"/>
      <c r="ES55" s="215" t="n"/>
      <c r="ET55" s="215" t="n"/>
      <c r="EU55" s="215" t="n"/>
      <c r="EV55" s="215" t="n"/>
      <c r="EW55" s="215" t="n"/>
      <c r="EX55" s="215" t="n"/>
      <c r="EY55" s="215" t="n"/>
      <c r="EZ55" s="215" t="n"/>
      <c r="FA55" s="215" t="n"/>
      <c r="FB55" s="215" t="n"/>
      <c r="FC55" s="215" t="n"/>
      <c r="FD55" s="215" t="n"/>
      <c r="FE55" s="215" t="n"/>
      <c r="FF55" s="215" t="n"/>
      <c r="FG55" s="215" t="n"/>
      <c r="FH55" s="215" t="n"/>
      <c r="FI55" s="215" t="n"/>
      <c r="FJ55" s="215" t="n"/>
      <c r="FK55" s="215" t="n"/>
      <c r="FL55" s="215" t="n"/>
      <c r="FM55" s="215" t="n"/>
      <c r="FN55" s="215" t="n"/>
      <c r="FO55" s="215" t="n"/>
      <c r="FP55" s="215" t="n"/>
      <c r="FQ55" s="215" t="n"/>
      <c r="FR55" s="215" t="n"/>
      <c r="FS55" s="215" t="n"/>
      <c r="FT55" s="215" t="n"/>
      <c r="FU55" s="215" t="n"/>
      <c r="FV55" s="215" t="n"/>
      <c r="FW55" s="215" t="n"/>
      <c r="FX55" s="215" t="n"/>
      <c r="FY55" s="215" t="n"/>
      <c r="FZ55" s="215" t="n"/>
      <c r="GA55" s="215" t="n"/>
      <c r="GB55" s="215" t="n"/>
      <c r="GC55" s="215" t="n"/>
      <c r="GD55" s="215" t="n"/>
      <c r="GE55" s="215" t="n"/>
      <c r="GF55" s="215" t="n"/>
      <c r="GG55" s="215" t="n"/>
      <c r="GH55" s="215" t="n"/>
      <c r="GI55" s="215" t="n"/>
      <c r="GJ55" s="215" t="n"/>
      <c r="GK55" s="215" t="n"/>
      <c r="GL55" s="215" t="n"/>
      <c r="GM55" s="215" t="n"/>
      <c r="GN55" s="215" t="n"/>
      <c r="GO55" s="215" t="n"/>
      <c r="GP55" s="215" t="n"/>
      <c r="GQ55" s="215" t="n"/>
      <c r="GR55" s="215" t="n"/>
      <c r="GS55" s="215" t="n"/>
      <c r="GT55" s="215" t="n"/>
      <c r="GU55" s="215" t="n"/>
      <c r="GV55" s="215" t="n"/>
      <c r="GW55" s="215" t="n"/>
      <c r="GX55" s="215" t="n"/>
      <c r="GY55" s="215" t="n"/>
      <c r="GZ55" s="215" t="n"/>
      <c r="HA55" s="215" t="n"/>
      <c r="HB55" s="215" t="n"/>
      <c r="HC55" s="215" t="n"/>
      <c r="HD55" s="215" t="n"/>
      <c r="HE55" s="215" t="n"/>
      <c r="HF55" s="215" t="n"/>
      <c r="HG55" s="215" t="n"/>
      <c r="HH55" s="215" t="n"/>
      <c r="HI55" s="215" t="n"/>
      <c r="HJ55" s="215" t="n"/>
      <c r="HK55" s="215" t="n"/>
      <c r="HL55" s="215" t="n"/>
      <c r="HM55" s="215" t="n"/>
      <c r="HN55" s="215" t="n"/>
      <c r="HO55" s="215" t="n"/>
      <c r="HP55" s="215" t="n"/>
      <c r="HQ55" s="215" t="n"/>
      <c r="HR55" s="215" t="n"/>
      <c r="HS55" s="215" t="n"/>
      <c r="HT55" s="215" t="n"/>
      <c r="HU55" s="215" t="n"/>
      <c r="HV55" s="215" t="n"/>
      <c r="HW55" s="215" t="n"/>
      <c r="HX55" s="215" t="n"/>
      <c r="HY55" s="215" t="n"/>
      <c r="HZ55" s="215" t="n"/>
      <c r="IA55" s="215" t="n"/>
      <c r="IB55" s="215" t="n"/>
      <c r="IC55" s="215" t="n"/>
      <c r="ID55" s="215" t="n"/>
      <c r="IE55" s="215" t="n"/>
      <c r="IF55" s="215" t="n"/>
      <c r="IG55" s="215" t="n"/>
      <c r="IH55" s="215" t="n"/>
      <c r="II55" s="215" t="n"/>
      <c r="IJ55" s="215" t="n"/>
      <c r="IK55" s="215" t="n"/>
      <c r="IL55" s="215" t="n"/>
      <c r="IM55" s="215" t="n"/>
      <c r="IN55" s="215" t="n"/>
      <c r="IO55" s="215" t="n"/>
      <c r="IP55" s="215" t="n"/>
      <c r="IQ55" s="215" t="n"/>
      <c r="IR55" s="215" t="n"/>
      <c r="IS55" s="215" t="n"/>
      <c r="IT55" s="215" t="n"/>
      <c r="IU55" s="215" t="n"/>
      <c r="IV55" s="215" t="n"/>
      <c r="IW55" s="215" t="n"/>
      <c r="IX55" s="215" t="n"/>
      <c r="IY55" s="215" t="n"/>
      <c r="IZ55" s="215" t="n"/>
      <c r="JA55" s="215" t="n"/>
      <c r="JB55" s="215" t="n"/>
      <c r="JC55" s="215" t="n"/>
      <c r="JD55" s="215" t="n"/>
      <c r="JE55" s="215" t="n"/>
      <c r="JF55" s="215" t="n"/>
      <c r="JG55" s="215" t="n"/>
      <c r="JH55" s="215" t="n"/>
      <c r="JI55" s="215" t="n"/>
      <c r="JJ55" s="215" t="n"/>
      <c r="JK55" s="215" t="n"/>
      <c r="JL55" s="215" t="n"/>
      <c r="JM55" s="215" t="n"/>
      <c r="JN55" s="215" t="n"/>
      <c r="JO55" s="215" t="n"/>
      <c r="JP55" s="215" t="n"/>
      <c r="JQ55" s="215" t="n"/>
      <c r="JR55" s="215" t="n"/>
      <c r="JS55" s="215" t="n"/>
      <c r="JT55" s="215" t="n"/>
      <c r="JU55" s="215" t="n"/>
      <c r="JV55" s="215" t="n"/>
      <c r="JW55" s="215" t="n"/>
      <c r="JX55" s="215" t="n"/>
      <c r="JY55" s="215" t="n"/>
      <c r="JZ55" s="215" t="n"/>
      <c r="KA55" s="215" t="n"/>
      <c r="KB55" s="215" t="n"/>
      <c r="KC55" s="215" t="n"/>
      <c r="KD55" s="215" t="n"/>
      <c r="KE55" s="215" t="n"/>
      <c r="KF55" s="215" t="n"/>
      <c r="KG55" s="215" t="n"/>
      <c r="KH55" s="215" t="n"/>
      <c r="KI55" s="215" t="n"/>
      <c r="KJ55" s="215" t="n"/>
      <c r="KK55" s="215" t="n"/>
      <c r="KL55" s="215" t="n"/>
      <c r="KM55" s="215" t="n"/>
      <c r="KN55" s="215" t="n"/>
      <c r="KO55" s="215" t="n"/>
      <c r="KP55" s="215" t="n"/>
      <c r="KQ55" s="215" t="n"/>
      <c r="KR55" s="215" t="n"/>
      <c r="KS55" s="215" t="n"/>
      <c r="KT55" s="215" t="n"/>
      <c r="KU55" s="215" t="n"/>
      <c r="KV55" s="215" t="n"/>
      <c r="KW55" s="215" t="n"/>
      <c r="KX55" s="215" t="n"/>
      <c r="KY55" s="215" t="n"/>
      <c r="KZ55" s="215" t="n"/>
      <c r="LA55" s="215" t="n"/>
      <c r="LB55" s="215" t="n"/>
      <c r="LC55" s="215" t="n"/>
      <c r="LD55" s="215" t="n"/>
      <c r="LE55" s="215" t="n"/>
      <c r="LF55" s="215" t="n"/>
      <c r="LG55" s="215" t="n"/>
      <c r="LH55" s="215" t="n"/>
      <c r="LI55" s="215" t="n"/>
      <c r="LJ55" s="215" t="n"/>
      <c r="LK55" s="215" t="n"/>
      <c r="LL55" s="215" t="n"/>
      <c r="LM55" s="215" t="n"/>
      <c r="LN55" s="215" t="n"/>
      <c r="LO55" s="215" t="n"/>
      <c r="LP55" s="215" t="n"/>
      <c r="LQ55" s="215" t="n"/>
      <c r="LR55" s="215" t="n"/>
      <c r="LS55" s="215" t="n"/>
      <c r="LT55" s="215" t="n"/>
      <c r="LU55" s="215" t="n"/>
      <c r="LV55" s="215" t="n"/>
      <c r="LW55" s="215" t="n"/>
      <c r="LX55" s="215" t="n"/>
      <c r="LY55" s="215" t="n"/>
      <c r="LZ55" s="215" t="n"/>
      <c r="MA55" s="215" t="n"/>
      <c r="MB55" s="215" t="n"/>
      <c r="MC55" s="215" t="n"/>
      <c r="MD55" s="215" t="n"/>
      <c r="ME55" s="215" t="n"/>
      <c r="MF55" s="215" t="n"/>
      <c r="MG55" s="215" t="n"/>
      <c r="MH55" s="215" t="n"/>
      <c r="MI55" s="215" t="n"/>
      <c r="MJ55" s="215" t="n"/>
      <c r="MK55" s="215" t="n"/>
      <c r="ML55" s="215" t="n"/>
      <c r="MM55" s="215" t="n"/>
      <c r="MN55" s="215" t="n"/>
      <c r="MO55" s="215" t="n"/>
      <c r="MP55" s="215" t="n"/>
      <c r="MQ55" s="215" t="n"/>
      <c r="MR55" s="215" t="n"/>
      <c r="MS55" s="215" t="n"/>
      <c r="MT55" s="215" t="n"/>
      <c r="MU55" s="215" t="n"/>
      <c r="MV55" s="215" t="n"/>
      <c r="MW55" s="215" t="n"/>
      <c r="MX55" s="215" t="n"/>
      <c r="MY55" s="215" t="n"/>
      <c r="MZ55" s="215" t="n"/>
      <c r="NA55" s="215" t="n"/>
      <c r="NB55" s="215" t="n"/>
      <c r="NC55" s="216">
        <f>SUM(B55:NB55)</f>
        <v/>
      </c>
    </row>
    <row r="56" ht="14.25" customHeight="1" s="166">
      <c r="A56" s="214" t="inlineStr">
        <is>
          <t>BTU-21-00-02</t>
        </is>
      </c>
      <c r="B56" s="215" t="n"/>
      <c r="C56" s="215" t="n"/>
      <c r="D56" s="215" t="n"/>
      <c r="E56" s="215" t="n"/>
      <c r="F56" s="215" t="n"/>
      <c r="G56" s="215" t="n"/>
      <c r="H56" s="215" t="n"/>
      <c r="I56" s="215" t="n"/>
      <c r="J56" s="215" t="n"/>
      <c r="K56" s="215" t="n"/>
      <c r="L56" s="215" t="n"/>
      <c r="M56" s="215" t="n"/>
      <c r="N56" s="215" t="n"/>
      <c r="O56" s="215" t="n"/>
      <c r="P56" s="215" t="n"/>
      <c r="Q56" s="215" t="n"/>
      <c r="R56" s="215" t="n"/>
      <c r="S56" s="215" t="n"/>
      <c r="T56" s="215" t="n"/>
      <c r="U56" s="215" t="n"/>
      <c r="V56" s="215" t="n"/>
      <c r="W56" s="215" t="n"/>
      <c r="X56" s="215" t="n"/>
      <c r="Y56" s="215" t="n"/>
      <c r="Z56" s="215" t="n"/>
      <c r="AA56" s="215" t="n"/>
      <c r="AB56" s="215" t="n"/>
      <c r="AC56" s="215" t="n"/>
      <c r="AD56" s="215" t="n"/>
      <c r="AE56" s="215" t="n"/>
      <c r="AF56" s="215" t="n"/>
      <c r="AG56" s="215" t="n"/>
      <c r="AH56" s="215" t="n"/>
      <c r="AI56" s="215" t="n"/>
      <c r="AJ56" s="215" t="n"/>
      <c r="AK56" s="215" t="n"/>
      <c r="AL56" s="215" t="n"/>
      <c r="AM56" s="215" t="n"/>
      <c r="AN56" s="215" t="n"/>
      <c r="AO56" s="215" t="n"/>
      <c r="AP56" s="215" t="n"/>
      <c r="AQ56" s="215" t="n"/>
      <c r="AR56" s="215" t="n"/>
      <c r="AS56" s="215" t="n"/>
      <c r="AT56" s="215" t="n"/>
      <c r="AU56" s="215" t="n"/>
      <c r="AV56" s="215" t="n"/>
      <c r="AW56" s="215" t="n"/>
      <c r="AX56" s="215" t="n"/>
      <c r="AY56" s="215" t="n"/>
      <c r="AZ56" s="215" t="n"/>
      <c r="BA56" s="215" t="n"/>
      <c r="BB56" s="215" t="n"/>
      <c r="BC56" s="215" t="n"/>
      <c r="BD56" s="215" t="n"/>
      <c r="BE56" s="215" t="n"/>
      <c r="BF56" s="215" t="n"/>
      <c r="BG56" s="215" t="n"/>
      <c r="BH56" s="215" t="n"/>
      <c r="BI56" s="215" t="n"/>
      <c r="BJ56" s="215" t="n"/>
      <c r="BK56" s="215" t="n"/>
      <c r="BL56" s="215" t="n"/>
      <c r="BM56" s="215" t="n"/>
      <c r="BN56" s="215" t="n"/>
      <c r="BO56" s="215" t="n"/>
      <c r="BP56" s="215" t="n"/>
      <c r="BQ56" s="215" t="n"/>
      <c r="BR56" s="215" t="n"/>
      <c r="BS56" s="215" t="n"/>
      <c r="BT56" s="215" t="n"/>
      <c r="BU56" s="215" t="n"/>
      <c r="BV56" s="215" t="n"/>
      <c r="BW56" s="215" t="n"/>
      <c r="BX56" s="215" t="n"/>
      <c r="BY56" s="215" t="n"/>
      <c r="BZ56" s="215" t="n"/>
      <c r="CA56" s="215" t="n"/>
      <c r="CB56" s="215" t="n"/>
      <c r="CC56" s="215" t="n"/>
      <c r="CD56" s="215" t="n"/>
      <c r="CE56" s="215" t="n"/>
      <c r="CF56" s="215" t="n"/>
      <c r="CG56" s="215" t="n"/>
      <c r="CH56" s="215" t="n"/>
      <c r="CI56" s="215" t="n"/>
      <c r="CJ56" s="215" t="n"/>
      <c r="CK56" s="215" t="n"/>
      <c r="CL56" s="215" t="n"/>
      <c r="CM56" s="215" t="n"/>
      <c r="CN56" s="215" t="n"/>
      <c r="CO56" s="215" t="n"/>
      <c r="CP56" s="215" t="n"/>
      <c r="CQ56" s="215" t="n"/>
      <c r="CR56" s="215" t="n"/>
      <c r="CS56" s="215" t="n"/>
      <c r="CT56" s="215" t="n"/>
      <c r="CU56" s="215" t="n"/>
      <c r="CV56" s="215" t="n"/>
      <c r="CW56" s="215" t="n"/>
      <c r="CX56" s="215" t="n"/>
      <c r="CY56" s="215" t="n"/>
      <c r="CZ56" s="215" t="n"/>
      <c r="DA56" s="215" t="n"/>
      <c r="DB56" s="215" t="n"/>
      <c r="DC56" s="215" t="n"/>
      <c r="DD56" s="215" t="n"/>
      <c r="DE56" s="215" t="n"/>
      <c r="DF56" s="215" t="n"/>
      <c r="DG56" s="215" t="n"/>
      <c r="DH56" s="215" t="n"/>
      <c r="DI56" s="215" t="n"/>
      <c r="DJ56" s="215" t="n"/>
      <c r="DK56" s="215" t="n"/>
      <c r="DL56" s="215" t="n"/>
      <c r="DM56" s="215" t="n"/>
      <c r="DN56" s="215" t="n"/>
      <c r="DO56" s="215" t="n"/>
      <c r="DP56" s="215" t="n"/>
      <c r="DQ56" s="215" t="n"/>
      <c r="DR56" s="215" t="n"/>
      <c r="DS56" s="215" t="n"/>
      <c r="DT56" s="215" t="n"/>
      <c r="DU56" s="215" t="n"/>
      <c r="DV56" s="215" t="n"/>
      <c r="DW56" s="215" t="n"/>
      <c r="DX56" s="215" t="n"/>
      <c r="DY56" s="215" t="n"/>
      <c r="DZ56" s="215" t="n"/>
      <c r="EA56" s="215" t="n"/>
      <c r="EB56" s="215" t="n"/>
      <c r="EC56" s="215" t="n"/>
      <c r="ED56" s="215" t="n"/>
      <c r="EE56" s="215" t="n"/>
      <c r="EF56" s="215" t="n"/>
      <c r="EG56" s="215" t="n"/>
      <c r="EH56" s="215" t="n"/>
      <c r="EI56" s="215" t="n"/>
      <c r="EJ56" s="215" t="n"/>
      <c r="EK56" s="215" t="n"/>
      <c r="EL56" s="215" t="n"/>
      <c r="EM56" s="215" t="n"/>
      <c r="EN56" s="215" t="n"/>
      <c r="EO56" s="215" t="n"/>
      <c r="EP56" s="215" t="n"/>
      <c r="EQ56" s="215" t="n"/>
      <c r="ER56" s="215" t="n"/>
      <c r="ES56" s="215" t="n"/>
      <c r="ET56" s="215" t="n"/>
      <c r="EU56" s="215" t="n"/>
      <c r="EV56" s="215" t="n"/>
      <c r="EW56" s="215" t="n"/>
      <c r="EX56" s="215" t="n"/>
      <c r="EY56" s="215" t="n"/>
      <c r="EZ56" s="215" t="n"/>
      <c r="FA56" s="215" t="n"/>
      <c r="FB56" s="215" t="n"/>
      <c r="FC56" s="215" t="n"/>
      <c r="FD56" s="215" t="n"/>
      <c r="FE56" s="215" t="n"/>
      <c r="FF56" s="215" t="n"/>
      <c r="FG56" s="215" t="n"/>
      <c r="FH56" s="215" t="n"/>
      <c r="FI56" s="215" t="n"/>
      <c r="FJ56" s="215" t="n"/>
      <c r="FK56" s="215" t="n"/>
      <c r="FL56" s="215" t="n"/>
      <c r="FM56" s="215" t="n"/>
      <c r="FN56" s="215" t="n"/>
      <c r="FO56" s="215" t="n"/>
      <c r="FP56" s="215" t="n"/>
      <c r="FQ56" s="215" t="n"/>
      <c r="FR56" s="215" t="n"/>
      <c r="FS56" s="215" t="n"/>
      <c r="FT56" s="215" t="n"/>
      <c r="FU56" s="215" t="n"/>
      <c r="FV56" s="215" t="n"/>
      <c r="FW56" s="215" t="n"/>
      <c r="FX56" s="215" t="n"/>
      <c r="FY56" s="215" t="n"/>
      <c r="FZ56" s="215" t="n"/>
      <c r="GA56" s="215" t="n"/>
      <c r="GB56" s="215" t="n"/>
      <c r="GC56" s="215" t="n"/>
      <c r="GD56" s="215" t="n"/>
      <c r="GE56" s="215" t="n"/>
      <c r="GF56" s="215" t="n"/>
      <c r="GG56" s="215" t="n"/>
      <c r="GH56" s="215" t="n"/>
      <c r="GI56" s="215" t="n"/>
      <c r="GJ56" s="215" t="n"/>
      <c r="GK56" s="215" t="n"/>
      <c r="GL56" s="215" t="n"/>
      <c r="GM56" s="215" t="n"/>
      <c r="GN56" s="215" t="n"/>
      <c r="GO56" s="215" t="n"/>
      <c r="GP56" s="215" t="n"/>
      <c r="GQ56" s="215" t="n"/>
      <c r="GR56" s="215" t="n"/>
      <c r="GS56" s="215" t="n"/>
      <c r="GT56" s="215" t="n"/>
      <c r="GU56" s="215" t="n"/>
      <c r="GV56" s="215" t="n"/>
      <c r="GW56" s="215" t="n"/>
      <c r="GX56" s="215" t="n"/>
      <c r="GY56" s="215" t="n"/>
      <c r="GZ56" s="215" t="n"/>
      <c r="HA56" s="215" t="n"/>
      <c r="HB56" s="215" t="n"/>
      <c r="HC56" s="215" t="n"/>
      <c r="HD56" s="215" t="n"/>
      <c r="HE56" s="215" t="n"/>
      <c r="HF56" s="215" t="n"/>
      <c r="HG56" s="215" t="n"/>
      <c r="HH56" s="215" t="n"/>
      <c r="HI56" s="215" t="n"/>
      <c r="HJ56" s="215" t="n"/>
      <c r="HK56" s="215" t="n"/>
      <c r="HL56" s="215" t="n"/>
      <c r="HM56" s="215" t="n"/>
      <c r="HN56" s="215" t="n"/>
      <c r="HO56" s="215" t="n"/>
      <c r="HP56" s="215" t="n"/>
      <c r="HQ56" s="215" t="n"/>
      <c r="HR56" s="215" t="n"/>
      <c r="HS56" s="215" t="n"/>
      <c r="HT56" s="215" t="n"/>
      <c r="HU56" s="215" t="n"/>
      <c r="HV56" s="215" t="n"/>
      <c r="HW56" s="215" t="n"/>
      <c r="HX56" s="215" t="n"/>
      <c r="HY56" s="215" t="n"/>
      <c r="HZ56" s="215" t="n"/>
      <c r="IA56" s="215" t="n"/>
      <c r="IB56" s="215" t="n"/>
      <c r="IC56" s="215" t="n"/>
      <c r="ID56" s="215" t="n"/>
      <c r="IE56" s="215" t="n"/>
      <c r="IF56" s="215" t="n"/>
      <c r="IG56" s="215" t="n"/>
      <c r="IH56" s="215" t="n"/>
      <c r="II56" s="215" t="n"/>
      <c r="IJ56" s="215" t="n"/>
      <c r="IK56" s="215" t="n"/>
      <c r="IL56" s="215" t="n"/>
      <c r="IM56" s="215" t="n"/>
      <c r="IN56" s="215" t="n"/>
      <c r="IO56" s="215" t="n"/>
      <c r="IP56" s="215" t="n"/>
      <c r="IQ56" s="215" t="n"/>
      <c r="IR56" s="215" t="n"/>
      <c r="IS56" s="215" t="n"/>
      <c r="IT56" s="215" t="n"/>
      <c r="IU56" s="215" t="n"/>
      <c r="IV56" s="215" t="n"/>
      <c r="IW56" s="215" t="n"/>
      <c r="IX56" s="215" t="n"/>
      <c r="IY56" s="215" t="n"/>
      <c r="IZ56" s="215" t="n"/>
      <c r="JA56" s="215" t="n"/>
      <c r="JB56" s="215" t="n"/>
      <c r="JC56" s="215" t="n"/>
      <c r="JD56" s="215" t="n"/>
      <c r="JE56" s="215" t="n"/>
      <c r="JF56" s="215" t="n"/>
      <c r="JG56" s="215" t="n"/>
      <c r="JH56" s="215" t="n"/>
      <c r="JI56" s="215" t="n"/>
      <c r="JJ56" s="215" t="n"/>
      <c r="JK56" s="215" t="n"/>
      <c r="JL56" s="215" t="n"/>
      <c r="JM56" s="215" t="n"/>
      <c r="JN56" s="215" t="n"/>
      <c r="JO56" s="215" t="n"/>
      <c r="JP56" s="215" t="n"/>
      <c r="JQ56" s="215" t="n"/>
      <c r="JR56" s="215" t="n"/>
      <c r="JS56" s="215" t="n"/>
      <c r="JT56" s="215" t="n"/>
      <c r="JU56" s="215" t="n"/>
      <c r="JV56" s="215" t="n"/>
      <c r="JW56" s="215" t="n"/>
      <c r="JX56" s="215" t="n"/>
      <c r="JY56" s="215" t="n"/>
      <c r="JZ56" s="215" t="n"/>
      <c r="KA56" s="215" t="n"/>
      <c r="KB56" s="215" t="n"/>
      <c r="KC56" s="215" t="n"/>
      <c r="KD56" s="215" t="n"/>
      <c r="KE56" s="215" t="n"/>
      <c r="KF56" s="215" t="n"/>
      <c r="KG56" s="215" t="n"/>
      <c r="KH56" s="215" t="n"/>
      <c r="KI56" s="215" t="n"/>
      <c r="KJ56" s="215" t="n"/>
      <c r="KK56" s="215" t="n"/>
      <c r="KL56" s="215" t="n"/>
      <c r="KM56" s="215" t="n"/>
      <c r="KN56" s="215" t="n"/>
      <c r="KO56" s="215" t="n"/>
      <c r="KP56" s="215" t="n"/>
      <c r="KQ56" s="215" t="n"/>
      <c r="KR56" s="215" t="n"/>
      <c r="KS56" s="215" t="n"/>
      <c r="KT56" s="215" t="n"/>
      <c r="KU56" s="215" t="n"/>
      <c r="KV56" s="215" t="n"/>
      <c r="KW56" s="215" t="n"/>
      <c r="KX56" s="215" t="n"/>
      <c r="KY56" s="215" t="n"/>
      <c r="KZ56" s="215" t="n"/>
      <c r="LA56" s="215" t="n"/>
      <c r="LB56" s="215" t="n"/>
      <c r="LC56" s="215" t="n"/>
      <c r="LD56" s="215" t="n"/>
      <c r="LE56" s="215" t="n"/>
      <c r="LF56" s="215" t="n"/>
      <c r="LG56" s="215" t="n"/>
      <c r="LH56" s="215" t="n"/>
      <c r="LI56" s="215" t="n"/>
      <c r="LJ56" s="215" t="n"/>
      <c r="LK56" s="215" t="n"/>
      <c r="LL56" s="215" t="n"/>
      <c r="LM56" s="215" t="n"/>
      <c r="LN56" s="215" t="n"/>
      <c r="LO56" s="215" t="n"/>
      <c r="LP56" s="215" t="n"/>
      <c r="LQ56" s="215" t="n"/>
      <c r="LR56" s="215" t="n"/>
      <c r="LS56" s="215" t="n"/>
      <c r="LT56" s="215" t="n"/>
      <c r="LU56" s="215" t="n"/>
      <c r="LV56" s="215" t="n"/>
      <c r="LW56" s="215" t="n"/>
      <c r="LX56" s="215" t="n"/>
      <c r="LY56" s="215" t="n"/>
      <c r="LZ56" s="215" t="n"/>
      <c r="MA56" s="215" t="n"/>
      <c r="MB56" s="215" t="n"/>
      <c r="MC56" s="215" t="n"/>
      <c r="MD56" s="215" t="n"/>
      <c r="ME56" s="215" t="n"/>
      <c r="MF56" s="215" t="n"/>
      <c r="MG56" s="215" t="n"/>
      <c r="MH56" s="215" t="n"/>
      <c r="MI56" s="215" t="n"/>
      <c r="MJ56" s="215" t="n"/>
      <c r="MK56" s="215" t="n"/>
      <c r="ML56" s="215" t="n"/>
      <c r="MM56" s="215" t="n"/>
      <c r="MN56" s="215" t="n"/>
      <c r="MO56" s="215" t="n"/>
      <c r="MP56" s="215" t="n"/>
      <c r="MQ56" s="215" t="n"/>
      <c r="MR56" s="215" t="n"/>
      <c r="MS56" s="215" t="n"/>
      <c r="MT56" s="215" t="n"/>
      <c r="MU56" s="215" t="n"/>
      <c r="MV56" s="215" t="n"/>
      <c r="MW56" s="215" t="n"/>
      <c r="MX56" s="215" t="n"/>
      <c r="MY56" s="215" t="n"/>
      <c r="MZ56" s="215" t="n"/>
      <c r="NA56" s="215" t="n"/>
      <c r="NB56" s="215" t="n"/>
      <c r="NC56" s="216">
        <f>SUM(B56:NB56)</f>
        <v/>
      </c>
    </row>
    <row r="57" ht="14.25" customHeight="1" s="166">
      <c r="A57" s="214" t="inlineStr">
        <is>
          <t>BTU-26-03-01</t>
        </is>
      </c>
      <c r="B57" s="215" t="n"/>
      <c r="C57" s="215" t="n"/>
      <c r="D57" s="215" t="n"/>
      <c r="E57" s="215" t="n"/>
      <c r="F57" s="215" t="n"/>
      <c r="G57" s="215" t="n"/>
      <c r="H57" s="215" t="n"/>
      <c r="I57" s="215" t="n"/>
      <c r="J57" s="215" t="n"/>
      <c r="K57" s="215" t="n"/>
      <c r="L57" s="215" t="n"/>
      <c r="M57" s="215" t="n"/>
      <c r="N57" s="215" t="n"/>
      <c r="O57" s="215" t="n"/>
      <c r="P57" s="215" t="n"/>
      <c r="Q57" s="215" t="n"/>
      <c r="R57" s="215" t="n"/>
      <c r="S57" s="215" t="n"/>
      <c r="T57" s="215" t="n"/>
      <c r="U57" s="215" t="n"/>
      <c r="V57" s="215" t="n"/>
      <c r="W57" s="215" t="n"/>
      <c r="X57" s="215" t="n"/>
      <c r="Y57" s="215" t="n"/>
      <c r="Z57" s="215" t="n"/>
      <c r="AA57" s="215" t="n"/>
      <c r="AB57" s="215" t="n"/>
      <c r="AC57" s="215" t="n"/>
      <c r="AD57" s="215" t="n"/>
      <c r="AE57" s="215" t="n"/>
      <c r="AF57" s="215" t="n"/>
      <c r="AG57" s="215" t="n"/>
      <c r="AH57" s="215" t="n"/>
      <c r="AI57" s="215" t="n"/>
      <c r="AJ57" s="215" t="n"/>
      <c r="AK57" s="215" t="n"/>
      <c r="AL57" s="215" t="n"/>
      <c r="AM57" s="215" t="n"/>
      <c r="AN57" s="215" t="n"/>
      <c r="AO57" s="215" t="n"/>
      <c r="AP57" s="215" t="n"/>
      <c r="AQ57" s="215" t="n"/>
      <c r="AR57" s="215" t="n"/>
      <c r="AS57" s="215" t="n"/>
      <c r="AT57" s="215" t="n"/>
      <c r="AU57" s="215" t="n"/>
      <c r="AV57" s="215" t="n"/>
      <c r="AW57" s="215" t="n"/>
      <c r="AX57" s="215" t="n"/>
      <c r="AY57" s="215" t="n"/>
      <c r="AZ57" s="215" t="n"/>
      <c r="BA57" s="215" t="n"/>
      <c r="BB57" s="215" t="n"/>
      <c r="BC57" s="215" t="n"/>
      <c r="BD57" s="215" t="n"/>
      <c r="BE57" s="215" t="n"/>
      <c r="BF57" s="215" t="n"/>
      <c r="BG57" s="215" t="n"/>
      <c r="BH57" s="215" t="n"/>
      <c r="BI57" s="215" t="n"/>
      <c r="BJ57" s="215" t="n"/>
      <c r="BK57" s="215" t="n"/>
      <c r="BL57" s="215" t="n"/>
      <c r="BM57" s="215" t="n"/>
      <c r="BN57" s="215" t="n"/>
      <c r="BO57" s="215" t="n"/>
      <c r="BP57" s="215" t="n"/>
      <c r="BQ57" s="215" t="n"/>
      <c r="BR57" s="215" t="n"/>
      <c r="BS57" s="215" t="n"/>
      <c r="BT57" s="215" t="n"/>
      <c r="BU57" s="215" t="n"/>
      <c r="BV57" s="215" t="n"/>
      <c r="BW57" s="215" t="n"/>
      <c r="BX57" s="215" t="n"/>
      <c r="BY57" s="215" t="n"/>
      <c r="BZ57" s="215" t="n"/>
      <c r="CA57" s="215" t="n"/>
      <c r="CB57" s="215" t="n"/>
      <c r="CC57" s="215" t="n"/>
      <c r="CD57" s="215" t="n"/>
      <c r="CE57" s="215" t="n"/>
      <c r="CF57" s="215" t="n"/>
      <c r="CG57" s="215" t="n"/>
      <c r="CH57" s="215" t="n"/>
      <c r="CI57" s="215" t="n"/>
      <c r="CJ57" s="215" t="n"/>
      <c r="CK57" s="215" t="n"/>
      <c r="CL57" s="215" t="n"/>
      <c r="CM57" s="215" t="n"/>
      <c r="CN57" s="215" t="n"/>
      <c r="CO57" s="215" t="n"/>
      <c r="CP57" s="215" t="n"/>
      <c r="CQ57" s="215" t="n"/>
      <c r="CR57" s="215" t="n"/>
      <c r="CS57" s="215" t="n"/>
      <c r="CT57" s="215" t="n"/>
      <c r="CU57" s="215" t="n"/>
      <c r="CV57" s="215" t="n"/>
      <c r="CW57" s="215" t="n"/>
      <c r="CX57" s="215" t="n"/>
      <c r="CY57" s="215" t="n"/>
      <c r="CZ57" s="215" t="n"/>
      <c r="DA57" s="215" t="n"/>
      <c r="DB57" s="215" t="n"/>
      <c r="DC57" s="215" t="n"/>
      <c r="DD57" s="215" t="n"/>
      <c r="DE57" s="215" t="n"/>
      <c r="DF57" s="215" t="n"/>
      <c r="DG57" s="215" t="n"/>
      <c r="DH57" s="215" t="n"/>
      <c r="DI57" s="215" t="n"/>
      <c r="DJ57" s="215" t="n"/>
      <c r="DK57" s="215" t="n"/>
      <c r="DL57" s="215" t="n"/>
      <c r="DM57" s="215" t="n"/>
      <c r="DN57" s="215" t="n"/>
      <c r="DO57" s="215" t="n"/>
      <c r="DP57" s="215" t="n"/>
      <c r="DQ57" s="215" t="n"/>
      <c r="DR57" s="215" t="n"/>
      <c r="DS57" s="215" t="n"/>
      <c r="DT57" s="215" t="n"/>
      <c r="DU57" s="215" t="n"/>
      <c r="DV57" s="215" t="n"/>
      <c r="DW57" s="215" t="n"/>
      <c r="DX57" s="215" t="n"/>
      <c r="DY57" s="215" t="n"/>
      <c r="DZ57" s="215" t="n"/>
      <c r="EA57" s="215" t="n"/>
      <c r="EB57" s="215" t="n"/>
      <c r="EC57" s="215" t="n"/>
      <c r="ED57" s="215" t="n"/>
      <c r="EE57" s="215" t="n"/>
      <c r="EF57" s="215" t="n"/>
      <c r="EG57" s="215" t="n"/>
      <c r="EH57" s="215" t="n"/>
      <c r="EI57" s="215" t="n"/>
      <c r="EJ57" s="215" t="n"/>
      <c r="EK57" s="215" t="n"/>
      <c r="EL57" s="215" t="n"/>
      <c r="EM57" s="215" t="n"/>
      <c r="EN57" s="215" t="n"/>
      <c r="EO57" s="215" t="n"/>
      <c r="EP57" s="215" t="n"/>
      <c r="EQ57" s="215" t="n"/>
      <c r="ER57" s="215" t="n"/>
      <c r="ES57" s="215" t="n"/>
      <c r="ET57" s="215" t="n"/>
      <c r="EU57" s="215" t="n"/>
      <c r="EV57" s="215" t="n"/>
      <c r="EW57" s="215" t="n"/>
      <c r="EX57" s="215" t="n"/>
      <c r="EY57" s="215" t="n"/>
      <c r="EZ57" s="215" t="n"/>
      <c r="FA57" s="215" t="n"/>
      <c r="FB57" s="215" t="n"/>
      <c r="FC57" s="215" t="n"/>
      <c r="FD57" s="215" t="n"/>
      <c r="FE57" s="215" t="n"/>
      <c r="FF57" s="215" t="n"/>
      <c r="FG57" s="215" t="n"/>
      <c r="FH57" s="215" t="n"/>
      <c r="FI57" s="215" t="n"/>
      <c r="FJ57" s="215" t="n"/>
      <c r="FK57" s="215" t="n"/>
      <c r="FL57" s="215" t="n"/>
      <c r="FM57" s="215" t="n"/>
      <c r="FN57" s="215" t="n"/>
      <c r="FO57" s="215" t="n"/>
      <c r="FP57" s="215" t="n"/>
      <c r="FQ57" s="215" t="n"/>
      <c r="FR57" s="215" t="n"/>
      <c r="FS57" s="215" t="n"/>
      <c r="FT57" s="215" t="n"/>
      <c r="FU57" s="215" t="n"/>
      <c r="FV57" s="215" t="n"/>
      <c r="FW57" s="215" t="n"/>
      <c r="FX57" s="215" t="n"/>
      <c r="FY57" s="215" t="n"/>
      <c r="FZ57" s="215" t="n"/>
      <c r="GA57" s="215" t="n"/>
      <c r="GB57" s="215" t="n"/>
      <c r="GC57" s="215" t="n"/>
      <c r="GD57" s="215" t="n"/>
      <c r="GE57" s="215" t="n"/>
      <c r="GF57" s="215" t="n"/>
      <c r="GG57" s="215" t="n"/>
      <c r="GH57" s="215" t="n"/>
      <c r="GI57" s="215" t="n"/>
      <c r="GJ57" s="215" t="n"/>
      <c r="GK57" s="215" t="n"/>
      <c r="GL57" s="215" t="n"/>
      <c r="GM57" s="215" t="n"/>
      <c r="GN57" s="215" t="n"/>
      <c r="GO57" s="215" t="n"/>
      <c r="GP57" s="215" t="n"/>
      <c r="GQ57" s="215" t="n"/>
      <c r="GR57" s="215" t="n"/>
      <c r="GS57" s="215" t="n"/>
      <c r="GT57" s="215" t="n"/>
      <c r="GU57" s="215" t="n"/>
      <c r="GV57" s="215" t="n"/>
      <c r="GW57" s="215" t="n"/>
      <c r="GX57" s="215" t="n"/>
      <c r="GY57" s="215" t="n"/>
      <c r="GZ57" s="215" t="n"/>
      <c r="HA57" s="215" t="n"/>
      <c r="HB57" s="215" t="n"/>
      <c r="HC57" s="215" t="n"/>
      <c r="HD57" s="215" t="n"/>
      <c r="HE57" s="215" t="n"/>
      <c r="HF57" s="215" t="n"/>
      <c r="HG57" s="215" t="n"/>
      <c r="HH57" s="215" t="n"/>
      <c r="HI57" s="215" t="n"/>
      <c r="HJ57" s="215" t="n"/>
      <c r="HK57" s="215" t="n"/>
      <c r="HL57" s="215" t="n"/>
      <c r="HM57" s="215" t="n"/>
      <c r="HN57" s="215" t="n"/>
      <c r="HO57" s="215" t="n"/>
      <c r="HP57" s="215" t="n"/>
      <c r="HQ57" s="215" t="n"/>
      <c r="HR57" s="215" t="n"/>
      <c r="HS57" s="215" t="n"/>
      <c r="HT57" s="215" t="n"/>
      <c r="HU57" s="215" t="n"/>
      <c r="HV57" s="215" t="n"/>
      <c r="HW57" s="215" t="n"/>
      <c r="HX57" s="215" t="n"/>
      <c r="HY57" s="215" t="n"/>
      <c r="HZ57" s="215" t="n"/>
      <c r="IA57" s="215" t="n"/>
      <c r="IB57" s="215" t="n"/>
      <c r="IC57" s="215" t="n"/>
      <c r="ID57" s="215" t="n"/>
      <c r="IE57" s="215" t="n"/>
      <c r="IF57" s="215" t="n"/>
      <c r="IG57" s="215" t="n"/>
      <c r="IH57" s="215" t="n"/>
      <c r="II57" s="215" t="n"/>
      <c r="IJ57" s="215" t="n"/>
      <c r="IK57" s="215" t="n"/>
      <c r="IL57" s="215" t="n"/>
      <c r="IM57" s="215" t="n"/>
      <c r="IN57" s="215" t="n"/>
      <c r="IO57" s="215" t="n"/>
      <c r="IP57" s="215" t="n"/>
      <c r="IQ57" s="215" t="n"/>
      <c r="IR57" s="215" t="n"/>
      <c r="IS57" s="215" t="n"/>
      <c r="IT57" s="215" t="n"/>
      <c r="IU57" s="215" t="n"/>
      <c r="IV57" s="215" t="n"/>
      <c r="IW57" s="215" t="n"/>
      <c r="IX57" s="215" t="n"/>
      <c r="IY57" s="215" t="n"/>
      <c r="IZ57" s="215" t="n"/>
      <c r="JA57" s="215" t="n"/>
      <c r="JB57" s="215" t="n"/>
      <c r="JC57" s="215" t="n"/>
      <c r="JD57" s="215" t="n"/>
      <c r="JE57" s="215" t="n"/>
      <c r="JF57" s="215" t="n"/>
      <c r="JG57" s="215" t="n"/>
      <c r="JH57" s="215" t="n"/>
      <c r="JI57" s="215" t="n"/>
      <c r="JJ57" s="215" t="n"/>
      <c r="JK57" s="215" t="n"/>
      <c r="JL57" s="215" t="n"/>
      <c r="JM57" s="215" t="n"/>
      <c r="JN57" s="215" t="n"/>
      <c r="JO57" s="215" t="n"/>
      <c r="JP57" s="215" t="n"/>
      <c r="JQ57" s="215" t="n"/>
      <c r="JR57" s="215" t="n"/>
      <c r="JS57" s="215" t="n"/>
      <c r="JT57" s="215" t="n"/>
      <c r="JU57" s="215" t="n"/>
      <c r="JV57" s="215" t="n"/>
      <c r="JW57" s="215" t="n"/>
      <c r="JX57" s="215" t="n"/>
      <c r="JY57" s="215" t="n"/>
      <c r="JZ57" s="215" t="n"/>
      <c r="KA57" s="215" t="n"/>
      <c r="KB57" s="215" t="n"/>
      <c r="KC57" s="215" t="n"/>
      <c r="KD57" s="215" t="n"/>
      <c r="KE57" s="215" t="n"/>
      <c r="KF57" s="215" t="n"/>
      <c r="KG57" s="215" t="n"/>
      <c r="KH57" s="215" t="n"/>
      <c r="KI57" s="215" t="n"/>
      <c r="KJ57" s="215" t="n"/>
      <c r="KK57" s="215" t="n"/>
      <c r="KL57" s="215" t="n"/>
      <c r="KM57" s="215" t="n"/>
      <c r="KN57" s="215" t="n"/>
      <c r="KO57" s="215" t="n"/>
      <c r="KP57" s="215" t="n"/>
      <c r="KQ57" s="215" t="n"/>
      <c r="KR57" s="215" t="n"/>
      <c r="KS57" s="215" t="n"/>
      <c r="KT57" s="215" t="n"/>
      <c r="KU57" s="215" t="n"/>
      <c r="KV57" s="215" t="n"/>
      <c r="KW57" s="215" t="n"/>
      <c r="KX57" s="215" t="n"/>
      <c r="KY57" s="215" t="n"/>
      <c r="KZ57" s="215" t="n"/>
      <c r="LA57" s="215" t="n"/>
      <c r="LB57" s="215" t="n"/>
      <c r="LC57" s="215" t="n"/>
      <c r="LD57" s="215" t="n"/>
      <c r="LE57" s="215" t="n"/>
      <c r="LF57" s="215" t="n"/>
      <c r="LG57" s="215" t="n"/>
      <c r="LH57" s="215" t="n"/>
      <c r="LI57" s="215" t="n"/>
      <c r="LJ57" s="215" t="n"/>
      <c r="LK57" s="215" t="n"/>
      <c r="LL57" s="215" t="n"/>
      <c r="LM57" s="215" t="n"/>
      <c r="LN57" s="215" t="n"/>
      <c r="LO57" s="215" t="n"/>
      <c r="LP57" s="215" t="n"/>
      <c r="LQ57" s="215" t="n"/>
      <c r="LR57" s="215" t="n"/>
      <c r="LS57" s="215" t="n"/>
      <c r="LT57" s="215" t="n"/>
      <c r="LU57" s="215" t="n"/>
      <c r="LV57" s="215" t="n"/>
      <c r="LW57" s="215" t="n"/>
      <c r="LX57" s="215" t="n"/>
      <c r="LY57" s="215" t="n"/>
      <c r="LZ57" s="215" t="n"/>
      <c r="MA57" s="215" t="n"/>
      <c r="MB57" s="215" t="n"/>
      <c r="MC57" s="215" t="n"/>
      <c r="MD57" s="215" t="n"/>
      <c r="ME57" s="215" t="n"/>
      <c r="MF57" s="215" t="n"/>
      <c r="MG57" s="215" t="n"/>
      <c r="MH57" s="215" t="n"/>
      <c r="MI57" s="215" t="n"/>
      <c r="MJ57" s="215" t="n"/>
      <c r="MK57" s="215" t="n"/>
      <c r="ML57" s="215" t="n"/>
      <c r="MM57" s="215" t="n"/>
      <c r="MN57" s="215" t="n"/>
      <c r="MO57" s="215" t="n"/>
      <c r="MP57" s="215" t="n"/>
      <c r="MQ57" s="215" t="n"/>
      <c r="MR57" s="215" t="n"/>
      <c r="MS57" s="215" t="n"/>
      <c r="MT57" s="215" t="n"/>
      <c r="MU57" s="215" t="n"/>
      <c r="MV57" s="215" t="n"/>
      <c r="MW57" s="215" t="n"/>
      <c r="MX57" s="215" t="n"/>
      <c r="MY57" s="215" t="n"/>
      <c r="MZ57" s="215" t="n"/>
      <c r="NA57" s="215" t="n"/>
      <c r="NB57" s="215" t="n"/>
      <c r="NC57" s="216">
        <f>SUM(B57:NB57)</f>
        <v/>
      </c>
    </row>
    <row r="58" ht="14.25" customHeight="1" s="166">
      <c r="A58" s="214" t="inlineStr">
        <is>
          <t>BTU-15-01-01</t>
        </is>
      </c>
      <c r="B58" s="215" t="n"/>
      <c r="C58" s="215" t="n"/>
      <c r="D58" s="215" t="n"/>
      <c r="E58" s="215" t="n"/>
      <c r="F58" s="215" t="n"/>
      <c r="G58" s="215" t="n"/>
      <c r="H58" s="215" t="n"/>
      <c r="I58" s="215" t="n"/>
      <c r="J58" s="215" t="n"/>
      <c r="K58" s="215" t="n"/>
      <c r="L58" s="215" t="n"/>
      <c r="M58" s="215" t="n"/>
      <c r="N58" s="215" t="n"/>
      <c r="O58" s="215" t="n"/>
      <c r="P58" s="215" t="n"/>
      <c r="Q58" s="215" t="n"/>
      <c r="R58" s="215" t="n"/>
      <c r="S58" s="215" t="n"/>
      <c r="T58" s="215" t="n"/>
      <c r="U58" s="215" t="n"/>
      <c r="V58" s="215" t="n"/>
      <c r="W58" s="215" t="n"/>
      <c r="X58" s="215" t="n"/>
      <c r="Y58" s="215" t="n"/>
      <c r="Z58" s="215" t="n"/>
      <c r="AA58" s="215" t="n"/>
      <c r="AB58" s="215" t="n"/>
      <c r="AC58" s="215" t="n"/>
      <c r="AD58" s="215" t="n"/>
      <c r="AE58" s="215" t="n"/>
      <c r="AF58" s="215" t="n"/>
      <c r="AG58" s="215" t="n"/>
      <c r="AH58" s="215" t="n"/>
      <c r="AI58" s="215" t="n"/>
      <c r="AJ58" s="215" t="n"/>
      <c r="AK58" s="215" t="n"/>
      <c r="AL58" s="215" t="n"/>
      <c r="AM58" s="215" t="n"/>
      <c r="AN58" s="215" t="n"/>
      <c r="AO58" s="215" t="n"/>
      <c r="AP58" s="215" t="n"/>
      <c r="AQ58" s="215" t="n"/>
      <c r="AR58" s="215" t="n"/>
      <c r="AS58" s="215" t="n"/>
      <c r="AT58" s="215" t="n"/>
      <c r="AU58" s="215" t="n"/>
      <c r="AV58" s="215" t="n"/>
      <c r="AW58" s="215" t="n"/>
      <c r="AX58" s="215" t="n"/>
      <c r="AY58" s="215" t="n"/>
      <c r="AZ58" s="215" t="n"/>
      <c r="BA58" s="215" t="n"/>
      <c r="BB58" s="215" t="n"/>
      <c r="BC58" s="215" t="n"/>
      <c r="BD58" s="215" t="n"/>
      <c r="BE58" s="215" t="n"/>
      <c r="BF58" s="215" t="n"/>
      <c r="BG58" s="215" t="n"/>
      <c r="BH58" s="215" t="n"/>
      <c r="BI58" s="215" t="n"/>
      <c r="BJ58" s="215" t="n"/>
      <c r="BK58" s="215" t="n"/>
      <c r="BL58" s="215" t="n"/>
      <c r="BM58" s="215" t="n"/>
      <c r="BN58" s="215" t="n"/>
      <c r="BO58" s="215" t="n"/>
      <c r="BP58" s="215" t="n"/>
      <c r="BQ58" s="215" t="n"/>
      <c r="BR58" s="215" t="n"/>
      <c r="BS58" s="215" t="n"/>
      <c r="BT58" s="215" t="n"/>
      <c r="BU58" s="215" t="n"/>
      <c r="BV58" s="215" t="n"/>
      <c r="BW58" s="215" t="n"/>
      <c r="BX58" s="215" t="n"/>
      <c r="BY58" s="215" t="n"/>
      <c r="BZ58" s="215" t="n"/>
      <c r="CA58" s="215" t="n"/>
      <c r="CB58" s="215" t="n"/>
      <c r="CC58" s="215" t="n"/>
      <c r="CD58" s="215" t="n"/>
      <c r="CE58" s="215" t="n"/>
      <c r="CF58" s="215" t="n"/>
      <c r="CG58" s="215" t="n"/>
      <c r="CH58" s="215" t="n"/>
      <c r="CI58" s="215" t="n"/>
      <c r="CJ58" s="215" t="n"/>
      <c r="CK58" s="215" t="n"/>
      <c r="CL58" s="215" t="n"/>
      <c r="CM58" s="215" t="n"/>
      <c r="CN58" s="215" t="n"/>
      <c r="CO58" s="215" t="n"/>
      <c r="CP58" s="215" t="n"/>
      <c r="CQ58" s="215" t="n"/>
      <c r="CR58" s="215" t="n"/>
      <c r="CS58" s="215" t="n"/>
      <c r="CT58" s="215" t="n"/>
      <c r="CU58" s="215" t="n"/>
      <c r="CV58" s="215" t="n"/>
      <c r="CW58" s="215" t="n"/>
      <c r="CX58" s="215" t="n"/>
      <c r="CY58" s="215" t="n"/>
      <c r="CZ58" s="215" t="n"/>
      <c r="DA58" s="215" t="n"/>
      <c r="DB58" s="215" t="n"/>
      <c r="DC58" s="215" t="n"/>
      <c r="DD58" s="215" t="n"/>
      <c r="DE58" s="215" t="n"/>
      <c r="DF58" s="215" t="n"/>
      <c r="DG58" s="215" t="n"/>
      <c r="DH58" s="215" t="n"/>
      <c r="DI58" s="215" t="n"/>
      <c r="DJ58" s="215" t="n"/>
      <c r="DK58" s="215" t="n"/>
      <c r="DL58" s="215" t="n"/>
      <c r="DM58" s="215" t="n"/>
      <c r="DN58" s="215" t="n"/>
      <c r="DO58" s="215" t="n"/>
      <c r="DP58" s="215" t="n"/>
      <c r="DQ58" s="215" t="n"/>
      <c r="DR58" s="215" t="n"/>
      <c r="DS58" s="215" t="n"/>
      <c r="DT58" s="215" t="n"/>
      <c r="DU58" s="215" t="n"/>
      <c r="DV58" s="215" t="n"/>
      <c r="DW58" s="215" t="n"/>
      <c r="DX58" s="215" t="n"/>
      <c r="DY58" s="215" t="n"/>
      <c r="DZ58" s="215" t="n"/>
      <c r="EA58" s="215" t="n"/>
      <c r="EB58" s="215" t="n"/>
      <c r="EC58" s="215" t="n"/>
      <c r="ED58" s="215" t="n"/>
      <c r="EE58" s="215" t="n"/>
      <c r="EF58" s="215" t="n"/>
      <c r="EG58" s="215" t="n"/>
      <c r="EH58" s="215" t="n"/>
      <c r="EI58" s="215" t="n"/>
      <c r="EJ58" s="215" t="n"/>
      <c r="EK58" s="215" t="n"/>
      <c r="EL58" s="215" t="n"/>
      <c r="EM58" s="215" t="n"/>
      <c r="EN58" s="215" t="n"/>
      <c r="EO58" s="215" t="n"/>
      <c r="EP58" s="215" t="n"/>
      <c r="EQ58" s="215" t="n"/>
      <c r="ER58" s="215" t="n"/>
      <c r="ES58" s="215" t="n"/>
      <c r="ET58" s="215" t="n"/>
      <c r="EU58" s="215" t="n"/>
      <c r="EV58" s="215" t="n"/>
      <c r="EW58" s="215" t="n"/>
      <c r="EX58" s="215" t="n"/>
      <c r="EY58" s="215" t="n"/>
      <c r="EZ58" s="215" t="n"/>
      <c r="FA58" s="215" t="n"/>
      <c r="FB58" s="215" t="n"/>
      <c r="FC58" s="215" t="n"/>
      <c r="FD58" s="215" t="n"/>
      <c r="FE58" s="215" t="n"/>
      <c r="FF58" s="215" t="n"/>
      <c r="FG58" s="215" t="n"/>
      <c r="FH58" s="215" t="n"/>
      <c r="FI58" s="215" t="n"/>
      <c r="FJ58" s="215" t="n"/>
      <c r="FK58" s="215" t="n"/>
      <c r="FL58" s="215" t="n"/>
      <c r="FM58" s="215" t="n"/>
      <c r="FN58" s="215" t="n"/>
      <c r="FO58" s="215" t="n"/>
      <c r="FP58" s="215" t="n"/>
      <c r="FQ58" s="215" t="n"/>
      <c r="FR58" s="215" t="n"/>
      <c r="FS58" s="215" t="n"/>
      <c r="FT58" s="215" t="n"/>
      <c r="FU58" s="215" t="n"/>
      <c r="FV58" s="215" t="n"/>
      <c r="FW58" s="215" t="n"/>
      <c r="FX58" s="215" t="n"/>
      <c r="FY58" s="215" t="n"/>
      <c r="FZ58" s="215" t="n"/>
      <c r="GA58" s="215" t="n"/>
      <c r="GB58" s="215" t="n"/>
      <c r="GC58" s="215" t="n"/>
      <c r="GD58" s="215" t="n"/>
      <c r="GE58" s="215" t="n"/>
      <c r="GF58" s="215" t="n"/>
      <c r="GG58" s="215" t="n"/>
      <c r="GH58" s="215" t="n"/>
      <c r="GI58" s="215" t="n"/>
      <c r="GJ58" s="215" t="n"/>
      <c r="GK58" s="215" t="n"/>
      <c r="GL58" s="215" t="n"/>
      <c r="GM58" s="215" t="n"/>
      <c r="GN58" s="215" t="n"/>
      <c r="GO58" s="215" t="n"/>
      <c r="GP58" s="215" t="n"/>
      <c r="GQ58" s="215" t="n"/>
      <c r="GR58" s="215" t="n"/>
      <c r="GS58" s="215" t="n"/>
      <c r="GT58" s="215" t="n"/>
      <c r="GU58" s="215" t="n"/>
      <c r="GV58" s="215" t="n"/>
      <c r="GW58" s="215" t="n"/>
      <c r="GX58" s="215" t="n"/>
      <c r="GY58" s="215" t="n"/>
      <c r="GZ58" s="215" t="n"/>
      <c r="HA58" s="215" t="n"/>
      <c r="HB58" s="215" t="n"/>
      <c r="HC58" s="215" t="n"/>
      <c r="HD58" s="215" t="n"/>
      <c r="HE58" s="215" t="n"/>
      <c r="HF58" s="215" t="n"/>
      <c r="HG58" s="215" t="n"/>
      <c r="HH58" s="215" t="n"/>
      <c r="HI58" s="215" t="n"/>
      <c r="HJ58" s="215" t="n"/>
      <c r="HK58" s="215" t="n"/>
      <c r="HL58" s="215" t="n"/>
      <c r="HM58" s="215" t="n"/>
      <c r="HN58" s="215" t="n"/>
      <c r="HO58" s="215" t="n"/>
      <c r="HP58" s="215" t="n"/>
      <c r="HQ58" s="215" t="n"/>
      <c r="HR58" s="215" t="n"/>
      <c r="HS58" s="215" t="n"/>
      <c r="HT58" s="215" t="n"/>
      <c r="HU58" s="215" t="n"/>
      <c r="HV58" s="215" t="n"/>
      <c r="HW58" s="215" t="n"/>
      <c r="HX58" s="215" t="n"/>
      <c r="HY58" s="215" t="n"/>
      <c r="HZ58" s="215" t="n"/>
      <c r="IA58" s="215" t="n"/>
      <c r="IB58" s="215" t="n"/>
      <c r="IC58" s="215" t="n"/>
      <c r="ID58" s="215" t="n"/>
      <c r="IE58" s="215" t="n"/>
      <c r="IF58" s="215" t="n"/>
      <c r="IG58" s="215" t="n"/>
      <c r="IH58" s="215" t="n"/>
      <c r="II58" s="215" t="n"/>
      <c r="IJ58" s="215" t="n"/>
      <c r="IK58" s="215" t="n"/>
      <c r="IL58" s="215" t="n"/>
      <c r="IM58" s="215" t="n"/>
      <c r="IN58" s="215" t="n"/>
      <c r="IO58" s="215" t="n"/>
      <c r="IP58" s="215" t="n"/>
      <c r="IQ58" s="215" t="n"/>
      <c r="IR58" s="215" t="n"/>
      <c r="IS58" s="215" t="n"/>
      <c r="IT58" s="215" t="n"/>
      <c r="IU58" s="215" t="n"/>
      <c r="IV58" s="215" t="n"/>
      <c r="IW58" s="215" t="n"/>
      <c r="IX58" s="215" t="n"/>
      <c r="IY58" s="215" t="n"/>
      <c r="IZ58" s="215" t="n"/>
      <c r="JA58" s="215" t="n"/>
      <c r="JB58" s="215" t="n"/>
      <c r="JC58" s="215" t="n"/>
      <c r="JD58" s="215" t="n"/>
      <c r="JE58" s="215" t="n"/>
      <c r="JF58" s="215" t="n"/>
      <c r="JG58" s="215" t="n"/>
      <c r="JH58" s="215" t="n"/>
      <c r="JI58" s="215" t="n"/>
      <c r="JJ58" s="215" t="n"/>
      <c r="JK58" s="215" t="n"/>
      <c r="JL58" s="215" t="n"/>
      <c r="JM58" s="215" t="n"/>
      <c r="JN58" s="215" t="n"/>
      <c r="JO58" s="215" t="n"/>
      <c r="JP58" s="215" t="n"/>
      <c r="JQ58" s="215" t="n"/>
      <c r="JR58" s="215" t="n"/>
      <c r="JS58" s="215" t="n"/>
      <c r="JT58" s="215" t="n"/>
      <c r="JU58" s="215" t="n"/>
      <c r="JV58" s="215" t="n"/>
      <c r="JW58" s="215" t="n"/>
      <c r="JX58" s="215" t="n"/>
      <c r="JY58" s="215" t="n"/>
      <c r="JZ58" s="215" t="n"/>
      <c r="KA58" s="215" t="n"/>
      <c r="KB58" s="215" t="n"/>
      <c r="KC58" s="215" t="n"/>
      <c r="KD58" s="215" t="n"/>
      <c r="KE58" s="215" t="n"/>
      <c r="KF58" s="215" t="n"/>
      <c r="KG58" s="215" t="n"/>
      <c r="KH58" s="215" t="n"/>
      <c r="KI58" s="215" t="n"/>
      <c r="KJ58" s="215" t="n"/>
      <c r="KK58" s="215" t="n"/>
      <c r="KL58" s="215" t="n"/>
      <c r="KM58" s="215" t="n"/>
      <c r="KN58" s="215" t="n"/>
      <c r="KO58" s="215" t="n"/>
      <c r="KP58" s="215" t="n"/>
      <c r="KQ58" s="215" t="n"/>
      <c r="KR58" s="215" t="n"/>
      <c r="KS58" s="215" t="n"/>
      <c r="KT58" s="215" t="n"/>
      <c r="KU58" s="215" t="n"/>
      <c r="KV58" s="215" t="n"/>
      <c r="KW58" s="215" t="n"/>
      <c r="KX58" s="215" t="n"/>
      <c r="KY58" s="215" t="n"/>
      <c r="KZ58" s="215" t="n"/>
      <c r="LA58" s="215" t="n"/>
      <c r="LB58" s="215" t="n"/>
      <c r="LC58" s="215" t="n"/>
      <c r="LD58" s="215" t="n"/>
      <c r="LE58" s="215" t="n"/>
      <c r="LF58" s="215" t="n"/>
      <c r="LG58" s="215" t="n"/>
      <c r="LH58" s="215" t="n"/>
      <c r="LI58" s="215" t="n"/>
      <c r="LJ58" s="215" t="n"/>
      <c r="LK58" s="215" t="n"/>
      <c r="LL58" s="215" t="n"/>
      <c r="LM58" s="215" t="n"/>
      <c r="LN58" s="215" t="n"/>
      <c r="LO58" s="215" t="n"/>
      <c r="LP58" s="215" t="n"/>
      <c r="LQ58" s="215" t="n"/>
      <c r="LR58" s="215" t="n"/>
      <c r="LS58" s="215" t="n"/>
      <c r="LT58" s="215" t="n"/>
      <c r="LU58" s="215" t="n"/>
      <c r="LV58" s="215" t="n"/>
      <c r="LW58" s="215" t="n"/>
      <c r="LX58" s="215" t="n"/>
      <c r="LY58" s="215" t="n"/>
      <c r="LZ58" s="215" t="n"/>
      <c r="MA58" s="215" t="n"/>
      <c r="MB58" s="215" t="n"/>
      <c r="MC58" s="215" t="n"/>
      <c r="MD58" s="215" t="n"/>
      <c r="ME58" s="215" t="n"/>
      <c r="MF58" s="215" t="n"/>
      <c r="MG58" s="215" t="n"/>
      <c r="MH58" s="215" t="n"/>
      <c r="MI58" s="215" t="n"/>
      <c r="MJ58" s="215" t="n"/>
      <c r="MK58" s="215" t="n"/>
      <c r="ML58" s="215" t="n"/>
      <c r="MM58" s="215" t="n"/>
      <c r="MN58" s="215" t="n"/>
      <c r="MO58" s="215" t="n"/>
      <c r="MP58" s="215" t="n"/>
      <c r="MQ58" s="215" t="n"/>
      <c r="MR58" s="215" t="n"/>
      <c r="MS58" s="215" t="n"/>
      <c r="MT58" s="215" t="n"/>
      <c r="MU58" s="215" t="n"/>
      <c r="MV58" s="215" t="n"/>
      <c r="MW58" s="215" t="n"/>
      <c r="MX58" s="215" t="n"/>
      <c r="MY58" s="215" t="n"/>
      <c r="MZ58" s="215" t="n"/>
      <c r="NA58" s="215" t="n"/>
      <c r="NB58" s="215" t="n"/>
      <c r="NC58" s="216">
        <f>SUM(B58:NB58)</f>
        <v/>
      </c>
    </row>
    <row r="59" ht="14.25" customHeight="1" s="166">
      <c r="A59" s="214" t="inlineStr">
        <is>
          <t>BTU-15-01-02</t>
        </is>
      </c>
      <c r="B59" s="215" t="n"/>
      <c r="C59" s="215" t="n"/>
      <c r="D59" s="215" t="n"/>
      <c r="E59" s="215" t="n"/>
      <c r="F59" s="215" t="n"/>
      <c r="G59" s="215" t="n"/>
      <c r="H59" s="215" t="n"/>
      <c r="I59" s="215" t="n"/>
      <c r="J59" s="215" t="n"/>
      <c r="K59" s="215" t="n"/>
      <c r="L59" s="215" t="n"/>
      <c r="M59" s="215" t="n"/>
      <c r="N59" s="215" t="n"/>
      <c r="O59" s="215" t="n"/>
      <c r="P59" s="215" t="n"/>
      <c r="Q59" s="215" t="n"/>
      <c r="R59" s="215" t="n"/>
      <c r="S59" s="215" t="n"/>
      <c r="T59" s="215" t="n"/>
      <c r="U59" s="215" t="n"/>
      <c r="V59" s="215" t="n"/>
      <c r="W59" s="215" t="n"/>
      <c r="X59" s="215" t="n"/>
      <c r="Y59" s="215" t="n"/>
      <c r="Z59" s="215" t="n"/>
      <c r="AA59" s="215" t="n"/>
      <c r="AB59" s="215" t="n"/>
      <c r="AC59" s="215" t="n"/>
      <c r="AD59" s="215" t="n"/>
      <c r="AE59" s="215" t="n"/>
      <c r="AF59" s="215" t="n"/>
      <c r="AG59" s="215" t="n"/>
      <c r="AH59" s="215" t="n"/>
      <c r="AI59" s="215" t="n"/>
      <c r="AJ59" s="215" t="n"/>
      <c r="AK59" s="215" t="n"/>
      <c r="AL59" s="215" t="n"/>
      <c r="AM59" s="215" t="n"/>
      <c r="AN59" s="215" t="n"/>
      <c r="AO59" s="215" t="n"/>
      <c r="AP59" s="215" t="n"/>
      <c r="AQ59" s="215" t="n"/>
      <c r="AR59" s="215" t="n"/>
      <c r="AS59" s="215" t="n"/>
      <c r="AT59" s="215" t="n"/>
      <c r="AU59" s="215" t="n"/>
      <c r="AV59" s="215" t="n"/>
      <c r="AW59" s="215" t="n"/>
      <c r="AX59" s="215" t="n"/>
      <c r="AY59" s="215" t="n"/>
      <c r="AZ59" s="215" t="n"/>
      <c r="BA59" s="215" t="n"/>
      <c r="BB59" s="215" t="n"/>
      <c r="BC59" s="215" t="n"/>
      <c r="BD59" s="215" t="n"/>
      <c r="BE59" s="215" t="n"/>
      <c r="BF59" s="215" t="n"/>
      <c r="BG59" s="215" t="n"/>
      <c r="BH59" s="215" t="n"/>
      <c r="BI59" s="215" t="n"/>
      <c r="BJ59" s="215" t="n"/>
      <c r="BK59" s="215" t="n"/>
      <c r="BL59" s="215" t="n"/>
      <c r="BM59" s="215" t="n"/>
      <c r="BN59" s="215" t="n"/>
      <c r="BO59" s="215" t="n"/>
      <c r="BP59" s="215" t="n"/>
      <c r="BQ59" s="215" t="n"/>
      <c r="BR59" s="215" t="n"/>
      <c r="BS59" s="215" t="n"/>
      <c r="BT59" s="215" t="n"/>
      <c r="BU59" s="215" t="n"/>
      <c r="BV59" s="215" t="n"/>
      <c r="BW59" s="215" t="n"/>
      <c r="BX59" s="215" t="n"/>
      <c r="BY59" s="215" t="n"/>
      <c r="BZ59" s="215" t="n"/>
      <c r="CA59" s="215" t="n"/>
      <c r="CB59" s="215" t="n"/>
      <c r="CC59" s="215" t="n"/>
      <c r="CD59" s="215" t="n"/>
      <c r="CE59" s="215" t="n"/>
      <c r="CF59" s="215" t="n"/>
      <c r="CG59" s="215" t="n"/>
      <c r="CH59" s="215" t="n"/>
      <c r="CI59" s="215" t="n"/>
      <c r="CJ59" s="215" t="n"/>
      <c r="CK59" s="215" t="n"/>
      <c r="CL59" s="215" t="n"/>
      <c r="CM59" s="215" t="n"/>
      <c r="CN59" s="215" t="n"/>
      <c r="CO59" s="215" t="n"/>
      <c r="CP59" s="215" t="n"/>
      <c r="CQ59" s="215" t="n"/>
      <c r="CR59" s="215" t="n"/>
      <c r="CS59" s="215" t="n"/>
      <c r="CT59" s="215" t="n"/>
      <c r="CU59" s="215" t="n"/>
      <c r="CV59" s="215" t="n"/>
      <c r="CW59" s="215" t="n"/>
      <c r="CX59" s="215" t="n"/>
      <c r="CY59" s="215" t="n"/>
      <c r="CZ59" s="215" t="n"/>
      <c r="DA59" s="215" t="n"/>
      <c r="DB59" s="215" t="n"/>
      <c r="DC59" s="215" t="n"/>
      <c r="DD59" s="215" t="n"/>
      <c r="DE59" s="215" t="n"/>
      <c r="DF59" s="215" t="n"/>
      <c r="DG59" s="215" t="n"/>
      <c r="DH59" s="215" t="n"/>
      <c r="DI59" s="215" t="n"/>
      <c r="DJ59" s="215" t="n"/>
      <c r="DK59" s="215" t="n"/>
      <c r="DL59" s="215" t="n"/>
      <c r="DM59" s="215" t="n"/>
      <c r="DN59" s="215" t="n"/>
      <c r="DO59" s="215" t="n"/>
      <c r="DP59" s="215" t="n"/>
      <c r="DQ59" s="215" t="n"/>
      <c r="DR59" s="215" t="n"/>
      <c r="DS59" s="215" t="n"/>
      <c r="DT59" s="215" t="n"/>
      <c r="DU59" s="215" t="n"/>
      <c r="DV59" s="215" t="n"/>
      <c r="DW59" s="215" t="n"/>
      <c r="DX59" s="215" t="n"/>
      <c r="DY59" s="215" t="n"/>
      <c r="DZ59" s="215" t="n"/>
      <c r="EA59" s="215" t="n"/>
      <c r="EB59" s="215" t="n"/>
      <c r="EC59" s="215" t="n"/>
      <c r="ED59" s="215" t="n"/>
      <c r="EE59" s="215" t="n"/>
      <c r="EF59" s="215" t="n"/>
      <c r="EG59" s="215" t="n"/>
      <c r="EH59" s="215" t="n"/>
      <c r="EI59" s="215" t="n"/>
      <c r="EJ59" s="215" t="n"/>
      <c r="EK59" s="215" t="n"/>
      <c r="EL59" s="215" t="n"/>
      <c r="EM59" s="215" t="n"/>
      <c r="EN59" s="215" t="n"/>
      <c r="EO59" s="215" t="n"/>
      <c r="EP59" s="215" t="n"/>
      <c r="EQ59" s="215" t="n"/>
      <c r="ER59" s="215" t="n"/>
      <c r="ES59" s="215" t="n"/>
      <c r="ET59" s="215" t="n"/>
      <c r="EU59" s="215" t="n"/>
      <c r="EV59" s="215" t="n"/>
      <c r="EW59" s="215" t="n"/>
      <c r="EX59" s="215" t="n"/>
      <c r="EY59" s="215" t="n"/>
      <c r="EZ59" s="215" t="n"/>
      <c r="FA59" s="215" t="n"/>
      <c r="FB59" s="215" t="n"/>
      <c r="FC59" s="215" t="n"/>
      <c r="FD59" s="215" t="n"/>
      <c r="FE59" s="215" t="n"/>
      <c r="FF59" s="215" t="n"/>
      <c r="FG59" s="215" t="n"/>
      <c r="FH59" s="215" t="n"/>
      <c r="FI59" s="215" t="n"/>
      <c r="FJ59" s="215" t="n"/>
      <c r="FK59" s="215" t="n"/>
      <c r="FL59" s="215" t="n"/>
      <c r="FM59" s="215" t="n"/>
      <c r="FN59" s="215" t="n"/>
      <c r="FO59" s="215" t="n"/>
      <c r="FP59" s="215" t="n"/>
      <c r="FQ59" s="215" t="n"/>
      <c r="FR59" s="215" t="n"/>
      <c r="FS59" s="215" t="n"/>
      <c r="FT59" s="215" t="n"/>
      <c r="FU59" s="215" t="n"/>
      <c r="FV59" s="215" t="n"/>
      <c r="FW59" s="215" t="n"/>
      <c r="FX59" s="215" t="n"/>
      <c r="FY59" s="215" t="n"/>
      <c r="FZ59" s="215" t="n"/>
      <c r="GA59" s="215" t="n"/>
      <c r="GB59" s="215" t="n"/>
      <c r="GC59" s="215" t="n"/>
      <c r="GD59" s="215" t="n"/>
      <c r="GE59" s="215" t="n"/>
      <c r="GF59" s="215" t="n"/>
      <c r="GG59" s="215" t="n"/>
      <c r="GH59" s="215" t="n"/>
      <c r="GI59" s="215" t="n"/>
      <c r="GJ59" s="215" t="n"/>
      <c r="GK59" s="215" t="n"/>
      <c r="GL59" s="215" t="n"/>
      <c r="GM59" s="215" t="n"/>
      <c r="GN59" s="215" t="n"/>
      <c r="GO59" s="215" t="n"/>
      <c r="GP59" s="215" t="n"/>
      <c r="GQ59" s="215" t="n"/>
      <c r="GR59" s="215" t="n"/>
      <c r="GS59" s="215" t="n"/>
      <c r="GT59" s="215" t="n"/>
      <c r="GU59" s="215" t="n"/>
      <c r="GV59" s="215" t="n"/>
      <c r="GW59" s="215" t="n"/>
      <c r="GX59" s="215" t="n"/>
      <c r="GY59" s="215" t="n"/>
      <c r="GZ59" s="215" t="n"/>
      <c r="HA59" s="215" t="n"/>
      <c r="HB59" s="215" t="n"/>
      <c r="HC59" s="215" t="n"/>
      <c r="HD59" s="215" t="n"/>
      <c r="HE59" s="215" t="n"/>
      <c r="HF59" s="215" t="n"/>
      <c r="HG59" s="215" t="n"/>
      <c r="HH59" s="215" t="n"/>
      <c r="HI59" s="215" t="n"/>
      <c r="HJ59" s="215" t="n"/>
      <c r="HK59" s="215" t="n"/>
      <c r="HL59" s="215" t="n"/>
      <c r="HM59" s="215" t="n"/>
      <c r="HN59" s="215" t="n"/>
      <c r="HO59" s="215" t="n"/>
      <c r="HP59" s="215" t="n"/>
      <c r="HQ59" s="215" t="n"/>
      <c r="HR59" s="215" t="n"/>
      <c r="HS59" s="215" t="n"/>
      <c r="HT59" s="215" t="n"/>
      <c r="HU59" s="215" t="n"/>
      <c r="HV59" s="215" t="n"/>
      <c r="HW59" s="215" t="n"/>
      <c r="HX59" s="215" t="n"/>
      <c r="HY59" s="215" t="n"/>
      <c r="HZ59" s="215" t="n"/>
      <c r="IA59" s="215" t="n"/>
      <c r="IB59" s="215" t="n"/>
      <c r="IC59" s="215" t="n"/>
      <c r="ID59" s="215" t="n"/>
      <c r="IE59" s="215" t="n"/>
      <c r="IF59" s="215" t="n"/>
      <c r="IG59" s="215" t="n"/>
      <c r="IH59" s="215" t="n"/>
      <c r="II59" s="215" t="n"/>
      <c r="IJ59" s="215" t="n"/>
      <c r="IK59" s="215" t="n"/>
      <c r="IL59" s="215" t="n"/>
      <c r="IM59" s="215" t="n"/>
      <c r="IN59" s="215" t="n"/>
      <c r="IO59" s="215" t="n"/>
      <c r="IP59" s="215" t="n"/>
      <c r="IQ59" s="215" t="n"/>
      <c r="IR59" s="215" t="n"/>
      <c r="IS59" s="215" t="n"/>
      <c r="IT59" s="215" t="n"/>
      <c r="IU59" s="215" t="n"/>
      <c r="IV59" s="215" t="n"/>
      <c r="IW59" s="215" t="n"/>
      <c r="IX59" s="215" t="n"/>
      <c r="IY59" s="215" t="n"/>
      <c r="IZ59" s="215" t="n"/>
      <c r="JA59" s="215" t="n"/>
      <c r="JB59" s="215" t="n"/>
      <c r="JC59" s="215" t="n"/>
      <c r="JD59" s="215" t="n"/>
      <c r="JE59" s="215" t="n"/>
      <c r="JF59" s="215" t="n"/>
      <c r="JG59" s="215" t="n"/>
      <c r="JH59" s="215" t="n"/>
      <c r="JI59" s="215" t="n"/>
      <c r="JJ59" s="215" t="n"/>
      <c r="JK59" s="215" t="n"/>
      <c r="JL59" s="215" t="n"/>
      <c r="JM59" s="215" t="n"/>
      <c r="JN59" s="215" t="n"/>
      <c r="JO59" s="215" t="n"/>
      <c r="JP59" s="215" t="n"/>
      <c r="JQ59" s="215" t="n"/>
      <c r="JR59" s="215" t="n"/>
      <c r="JS59" s="215" t="n"/>
      <c r="JT59" s="215" t="n"/>
      <c r="JU59" s="215" t="n"/>
      <c r="JV59" s="215" t="n"/>
      <c r="JW59" s="215" t="n"/>
      <c r="JX59" s="215" t="n"/>
      <c r="JY59" s="215" t="n"/>
      <c r="JZ59" s="215" t="n"/>
      <c r="KA59" s="215" t="n"/>
      <c r="KB59" s="215" t="n"/>
      <c r="KC59" s="215" t="n"/>
      <c r="KD59" s="215" t="n"/>
      <c r="KE59" s="215" t="n"/>
      <c r="KF59" s="215" t="n"/>
      <c r="KG59" s="215" t="n"/>
      <c r="KH59" s="215" t="n"/>
      <c r="KI59" s="215" t="n"/>
      <c r="KJ59" s="215" t="n"/>
      <c r="KK59" s="215" t="n"/>
      <c r="KL59" s="215" t="n"/>
      <c r="KM59" s="215" t="n"/>
      <c r="KN59" s="215" t="n"/>
      <c r="KO59" s="215" t="n"/>
      <c r="KP59" s="215" t="n"/>
      <c r="KQ59" s="215" t="n"/>
      <c r="KR59" s="215" t="n"/>
      <c r="KS59" s="215" t="n"/>
      <c r="KT59" s="215" t="n"/>
      <c r="KU59" s="215" t="n"/>
      <c r="KV59" s="215" t="n"/>
      <c r="KW59" s="215" t="n"/>
      <c r="KX59" s="215" t="n"/>
      <c r="KY59" s="215" t="n"/>
      <c r="KZ59" s="215" t="n"/>
      <c r="LA59" s="215" t="n"/>
      <c r="LB59" s="215" t="n"/>
      <c r="LC59" s="215" t="n"/>
      <c r="LD59" s="215" t="n"/>
      <c r="LE59" s="215" t="n"/>
      <c r="LF59" s="215" t="n"/>
      <c r="LG59" s="215" t="n"/>
      <c r="LH59" s="215" t="n"/>
      <c r="LI59" s="215" t="n"/>
      <c r="LJ59" s="215" t="n"/>
      <c r="LK59" s="215" t="n"/>
      <c r="LL59" s="215" t="n"/>
      <c r="LM59" s="215" t="n"/>
      <c r="LN59" s="215" t="n"/>
      <c r="LO59" s="215" t="n"/>
      <c r="LP59" s="215" t="n"/>
      <c r="LQ59" s="215" t="n"/>
      <c r="LR59" s="215" t="n"/>
      <c r="LS59" s="215" t="n"/>
      <c r="LT59" s="215" t="n"/>
      <c r="LU59" s="215" t="n"/>
      <c r="LV59" s="215" t="n"/>
      <c r="LW59" s="215" t="n"/>
      <c r="LX59" s="215" t="n"/>
      <c r="LY59" s="215" t="n"/>
      <c r="LZ59" s="215" t="n"/>
      <c r="MA59" s="215" t="n"/>
      <c r="MB59" s="215" t="n"/>
      <c r="MC59" s="215" t="n"/>
      <c r="MD59" s="215" t="n"/>
      <c r="ME59" s="215" t="n"/>
      <c r="MF59" s="215" t="n"/>
      <c r="MG59" s="215" t="n"/>
      <c r="MH59" s="215" t="n"/>
      <c r="MI59" s="215" t="n"/>
      <c r="MJ59" s="215" t="n"/>
      <c r="MK59" s="215" t="n"/>
      <c r="ML59" s="215" t="n"/>
      <c r="MM59" s="215" t="n"/>
      <c r="MN59" s="215" t="n"/>
      <c r="MO59" s="215" t="n"/>
      <c r="MP59" s="215" t="n"/>
      <c r="MQ59" s="215" t="n"/>
      <c r="MR59" s="215" t="n"/>
      <c r="MS59" s="215" t="n"/>
      <c r="MT59" s="215" t="n"/>
      <c r="MU59" s="215" t="n"/>
      <c r="MV59" s="215" t="n"/>
      <c r="MW59" s="215" t="n"/>
      <c r="MX59" s="215" t="n"/>
      <c r="MY59" s="215" t="n"/>
      <c r="MZ59" s="215" t="n"/>
      <c r="NA59" s="215" t="n"/>
      <c r="NB59" s="215" t="n"/>
      <c r="NC59" s="216">
        <f>SUM(B59:NB59)</f>
        <v/>
      </c>
    </row>
    <row r="60" ht="14.25" customHeight="1" s="166">
      <c r="A60" s="214" t="inlineStr">
        <is>
          <t>BTU-15-01-03</t>
        </is>
      </c>
      <c r="B60" s="215" t="n"/>
      <c r="C60" s="215" t="n"/>
      <c r="D60" s="215" t="n"/>
      <c r="E60" s="215" t="n"/>
      <c r="F60" s="215" t="n"/>
      <c r="G60" s="215" t="n"/>
      <c r="H60" s="215" t="n"/>
      <c r="I60" s="215" t="n"/>
      <c r="J60" s="215" t="n"/>
      <c r="K60" s="215" t="n"/>
      <c r="L60" s="215" t="n"/>
      <c r="M60" s="215" t="n"/>
      <c r="N60" s="215" t="n"/>
      <c r="O60" s="215" t="n"/>
      <c r="P60" s="215" t="n"/>
      <c r="Q60" s="215" t="n"/>
      <c r="R60" s="215" t="n"/>
      <c r="S60" s="215" t="n"/>
      <c r="T60" s="215" t="n"/>
      <c r="U60" s="215" t="n"/>
      <c r="V60" s="215" t="n"/>
      <c r="W60" s="215" t="n"/>
      <c r="X60" s="215" t="n"/>
      <c r="Y60" s="215" t="n"/>
      <c r="Z60" s="215" t="n"/>
      <c r="AA60" s="215" t="n"/>
      <c r="AB60" s="215" t="n"/>
      <c r="AC60" s="215" t="n"/>
      <c r="AD60" s="215" t="n"/>
      <c r="AE60" s="215" t="n"/>
      <c r="AF60" s="215" t="n"/>
      <c r="AG60" s="215" t="n"/>
      <c r="AH60" s="215" t="n"/>
      <c r="AI60" s="215" t="n"/>
      <c r="AJ60" s="215" t="n"/>
      <c r="AK60" s="215" t="n"/>
      <c r="AL60" s="215" t="n"/>
      <c r="AM60" s="215" t="n"/>
      <c r="AN60" s="215" t="n"/>
      <c r="AO60" s="215" t="n"/>
      <c r="AP60" s="215" t="n"/>
      <c r="AQ60" s="215" t="n"/>
      <c r="AR60" s="215" t="n"/>
      <c r="AS60" s="215" t="n"/>
      <c r="AT60" s="215" t="n"/>
      <c r="AU60" s="215" t="n"/>
      <c r="AV60" s="215" t="n"/>
      <c r="AW60" s="215" t="n"/>
      <c r="AX60" s="215" t="n"/>
      <c r="AY60" s="215" t="n"/>
      <c r="AZ60" s="215" t="n"/>
      <c r="BA60" s="215" t="n"/>
      <c r="BB60" s="215" t="n"/>
      <c r="BC60" s="215" t="n"/>
      <c r="BD60" s="215" t="n"/>
      <c r="BE60" s="215" t="n"/>
      <c r="BF60" s="215" t="n"/>
      <c r="BG60" s="215" t="n"/>
      <c r="BH60" s="215" t="n"/>
      <c r="BI60" s="215" t="n"/>
      <c r="BJ60" s="215" t="n"/>
      <c r="BK60" s="215" t="n"/>
      <c r="BL60" s="215" t="n"/>
      <c r="BM60" s="215" t="n"/>
      <c r="BN60" s="215" t="n"/>
      <c r="BO60" s="215" t="n"/>
      <c r="BP60" s="215" t="n"/>
      <c r="BQ60" s="215" t="n"/>
      <c r="BR60" s="215" t="n"/>
      <c r="BS60" s="215" t="n"/>
      <c r="BT60" s="215" t="n"/>
      <c r="BU60" s="215" t="n"/>
      <c r="BV60" s="215" t="n"/>
      <c r="BW60" s="215" t="n"/>
      <c r="BX60" s="215" t="n"/>
      <c r="BY60" s="215" t="n"/>
      <c r="BZ60" s="215" t="n"/>
      <c r="CA60" s="215" t="n"/>
      <c r="CB60" s="215" t="n"/>
      <c r="CC60" s="215" t="n"/>
      <c r="CD60" s="215" t="n"/>
      <c r="CE60" s="215" t="n"/>
      <c r="CF60" s="215" t="n"/>
      <c r="CG60" s="215" t="n"/>
      <c r="CH60" s="215" t="n"/>
      <c r="CI60" s="215" t="n"/>
      <c r="CJ60" s="215" t="n"/>
      <c r="CK60" s="215" t="n"/>
      <c r="CL60" s="215" t="n"/>
      <c r="CM60" s="215" t="n"/>
      <c r="CN60" s="215" t="n"/>
      <c r="CO60" s="215" t="n"/>
      <c r="CP60" s="215" t="n"/>
      <c r="CQ60" s="215" t="n"/>
      <c r="CR60" s="215" t="n"/>
      <c r="CS60" s="215" t="n"/>
      <c r="CT60" s="215" t="n"/>
      <c r="CU60" s="215" t="n"/>
      <c r="CV60" s="215" t="n"/>
      <c r="CW60" s="215" t="n"/>
      <c r="CX60" s="215" t="n"/>
      <c r="CY60" s="215" t="n"/>
      <c r="CZ60" s="215" t="n"/>
      <c r="DA60" s="215" t="n"/>
      <c r="DB60" s="215" t="n"/>
      <c r="DC60" s="215" t="n"/>
      <c r="DD60" s="215" t="n"/>
      <c r="DE60" s="215" t="n"/>
      <c r="DF60" s="215" t="n"/>
      <c r="DG60" s="215" t="n"/>
      <c r="DH60" s="215" t="n"/>
      <c r="DI60" s="215" t="n"/>
      <c r="DJ60" s="215" t="n"/>
      <c r="DK60" s="215" t="n"/>
      <c r="DL60" s="215" t="n"/>
      <c r="DM60" s="215" t="n"/>
      <c r="DN60" s="215" t="n"/>
      <c r="DO60" s="215" t="n"/>
      <c r="DP60" s="215" t="n"/>
      <c r="DQ60" s="215" t="n"/>
      <c r="DR60" s="215" t="n"/>
      <c r="DS60" s="215" t="n"/>
      <c r="DT60" s="215" t="n"/>
      <c r="DU60" s="215" t="n"/>
      <c r="DV60" s="215" t="n"/>
      <c r="DW60" s="215" t="n"/>
      <c r="DX60" s="215" t="n"/>
      <c r="DY60" s="215" t="n"/>
      <c r="DZ60" s="215" t="n"/>
      <c r="EA60" s="215" t="n"/>
      <c r="EB60" s="215" t="n"/>
      <c r="EC60" s="215" t="n"/>
      <c r="ED60" s="215" t="n"/>
      <c r="EE60" s="215" t="n"/>
      <c r="EF60" s="215" t="n"/>
      <c r="EG60" s="215" t="n"/>
      <c r="EH60" s="215" t="n"/>
      <c r="EI60" s="215" t="n"/>
      <c r="EJ60" s="215" t="n"/>
      <c r="EK60" s="215" t="n"/>
      <c r="EL60" s="215" t="n"/>
      <c r="EM60" s="215" t="n"/>
      <c r="EN60" s="215" t="n"/>
      <c r="EO60" s="215" t="n"/>
      <c r="EP60" s="215" t="n"/>
      <c r="EQ60" s="215" t="n"/>
      <c r="ER60" s="215" t="n"/>
      <c r="ES60" s="215" t="n"/>
      <c r="ET60" s="215" t="n"/>
      <c r="EU60" s="215" t="n"/>
      <c r="EV60" s="215" t="n"/>
      <c r="EW60" s="215" t="n"/>
      <c r="EX60" s="215" t="n"/>
      <c r="EY60" s="215" t="n"/>
      <c r="EZ60" s="215" t="n"/>
      <c r="FA60" s="215" t="n"/>
      <c r="FB60" s="215" t="n"/>
      <c r="FC60" s="215" t="n"/>
      <c r="FD60" s="215" t="n"/>
      <c r="FE60" s="215" t="n"/>
      <c r="FF60" s="215" t="n"/>
      <c r="FG60" s="215" t="n"/>
      <c r="FH60" s="215" t="n"/>
      <c r="FI60" s="215" t="n"/>
      <c r="FJ60" s="215" t="n"/>
      <c r="FK60" s="215" t="n"/>
      <c r="FL60" s="215" t="n"/>
      <c r="FM60" s="215" t="n"/>
      <c r="FN60" s="215" t="n"/>
      <c r="FO60" s="215" t="n"/>
      <c r="FP60" s="215" t="n"/>
      <c r="FQ60" s="215" t="n"/>
      <c r="FR60" s="215" t="n"/>
      <c r="FS60" s="215" t="n"/>
      <c r="FT60" s="215" t="n"/>
      <c r="FU60" s="215" t="n"/>
      <c r="FV60" s="215" t="n"/>
      <c r="FW60" s="215" t="n"/>
      <c r="FX60" s="215" t="n"/>
      <c r="FY60" s="215" t="n"/>
      <c r="FZ60" s="215" t="n"/>
      <c r="GA60" s="215" t="n"/>
      <c r="GB60" s="215" t="n"/>
      <c r="GC60" s="215" t="n"/>
      <c r="GD60" s="215" t="n"/>
      <c r="GE60" s="215" t="n"/>
      <c r="GF60" s="215" t="n"/>
      <c r="GG60" s="215" t="n"/>
      <c r="GH60" s="215" t="n"/>
      <c r="GI60" s="215" t="n"/>
      <c r="GJ60" s="215" t="n"/>
      <c r="GK60" s="215" t="n"/>
      <c r="GL60" s="215" t="n"/>
      <c r="GM60" s="215" t="n"/>
      <c r="GN60" s="215" t="n"/>
      <c r="GO60" s="215" t="n"/>
      <c r="GP60" s="215" t="n"/>
      <c r="GQ60" s="215" t="n"/>
      <c r="GR60" s="215" t="n"/>
      <c r="GS60" s="215" t="n"/>
      <c r="GT60" s="215" t="n"/>
      <c r="GU60" s="215" t="n"/>
      <c r="GV60" s="215" t="n"/>
      <c r="GW60" s="215" t="n"/>
      <c r="GX60" s="215" t="n"/>
      <c r="GY60" s="215" t="n"/>
      <c r="GZ60" s="215" t="n"/>
      <c r="HA60" s="215" t="n"/>
      <c r="HB60" s="215" t="n"/>
      <c r="HC60" s="215" t="n"/>
      <c r="HD60" s="215" t="n"/>
      <c r="HE60" s="215" t="n"/>
      <c r="HF60" s="215" t="n"/>
      <c r="HG60" s="215" t="n"/>
      <c r="HH60" s="215" t="n"/>
      <c r="HI60" s="215" t="n"/>
      <c r="HJ60" s="215" t="n"/>
      <c r="HK60" s="215" t="n"/>
      <c r="HL60" s="215" t="n"/>
      <c r="HM60" s="215" t="n"/>
      <c r="HN60" s="215" t="n"/>
      <c r="HO60" s="215" t="n"/>
      <c r="HP60" s="215" t="n"/>
      <c r="HQ60" s="215" t="n"/>
      <c r="HR60" s="215" t="n"/>
      <c r="HS60" s="215" t="n"/>
      <c r="HT60" s="215" t="n"/>
      <c r="HU60" s="215" t="n"/>
      <c r="HV60" s="215" t="n"/>
      <c r="HW60" s="215" t="n"/>
      <c r="HX60" s="215" t="n"/>
      <c r="HY60" s="215" t="n"/>
      <c r="HZ60" s="215" t="n"/>
      <c r="IA60" s="215" t="n"/>
      <c r="IB60" s="215" t="n"/>
      <c r="IC60" s="215" t="n"/>
      <c r="ID60" s="215" t="n"/>
      <c r="IE60" s="215" t="n"/>
      <c r="IF60" s="215" t="n"/>
      <c r="IG60" s="215" t="n"/>
      <c r="IH60" s="215" t="n"/>
      <c r="II60" s="215" t="n"/>
      <c r="IJ60" s="215" t="n"/>
      <c r="IK60" s="215" t="n"/>
      <c r="IL60" s="215" t="n"/>
      <c r="IM60" s="215" t="n"/>
      <c r="IN60" s="215" t="n"/>
      <c r="IO60" s="215" t="n"/>
      <c r="IP60" s="215" t="n"/>
      <c r="IQ60" s="215" t="n"/>
      <c r="IR60" s="215" t="n"/>
      <c r="IS60" s="215" t="n"/>
      <c r="IT60" s="215" t="n"/>
      <c r="IU60" s="215" t="n"/>
      <c r="IV60" s="215" t="n"/>
      <c r="IW60" s="215" t="n"/>
      <c r="IX60" s="215" t="n"/>
      <c r="IY60" s="215" t="n"/>
      <c r="IZ60" s="215" t="n"/>
      <c r="JA60" s="215" t="n"/>
      <c r="JB60" s="215" t="n"/>
      <c r="JC60" s="215" t="n"/>
      <c r="JD60" s="215" t="n"/>
      <c r="JE60" s="215" t="n"/>
      <c r="JF60" s="215" t="n"/>
      <c r="JG60" s="215" t="n"/>
      <c r="JH60" s="215" t="n"/>
      <c r="JI60" s="215" t="n"/>
      <c r="JJ60" s="215" t="n"/>
      <c r="JK60" s="215" t="n"/>
      <c r="JL60" s="215" t="n"/>
      <c r="JM60" s="215" t="n"/>
      <c r="JN60" s="215" t="n"/>
      <c r="JO60" s="215" t="n"/>
      <c r="JP60" s="215" t="n"/>
      <c r="JQ60" s="215" t="n"/>
      <c r="JR60" s="215" t="n"/>
      <c r="JS60" s="215" t="n"/>
      <c r="JT60" s="215" t="n"/>
      <c r="JU60" s="215" t="n"/>
      <c r="JV60" s="215" t="n"/>
      <c r="JW60" s="215" t="n"/>
      <c r="JX60" s="215" t="n"/>
      <c r="JY60" s="215" t="n"/>
      <c r="JZ60" s="215" t="n"/>
      <c r="KA60" s="215" t="n"/>
      <c r="KB60" s="215" t="n"/>
      <c r="KC60" s="215" t="n"/>
      <c r="KD60" s="215" t="n"/>
      <c r="KE60" s="215" t="n"/>
      <c r="KF60" s="215" t="n"/>
      <c r="KG60" s="215" t="n"/>
      <c r="KH60" s="215" t="n"/>
      <c r="KI60" s="215" t="n"/>
      <c r="KJ60" s="215" t="n"/>
      <c r="KK60" s="215" t="n"/>
      <c r="KL60" s="215" t="n"/>
      <c r="KM60" s="215" t="n"/>
      <c r="KN60" s="215" t="n"/>
      <c r="KO60" s="215" t="n"/>
      <c r="KP60" s="215" t="n"/>
      <c r="KQ60" s="215" t="n"/>
      <c r="KR60" s="215" t="n"/>
      <c r="KS60" s="215" t="n"/>
      <c r="KT60" s="215" t="n"/>
      <c r="KU60" s="215" t="n"/>
      <c r="KV60" s="215" t="n"/>
      <c r="KW60" s="215" t="n"/>
      <c r="KX60" s="215" t="n"/>
      <c r="KY60" s="215" t="n"/>
      <c r="KZ60" s="215" t="n"/>
      <c r="LA60" s="215" t="n"/>
      <c r="LB60" s="215" t="n"/>
      <c r="LC60" s="215" t="n"/>
      <c r="LD60" s="215" t="n"/>
      <c r="LE60" s="215" t="n"/>
      <c r="LF60" s="215" t="n"/>
      <c r="LG60" s="215" t="n"/>
      <c r="LH60" s="215" t="n"/>
      <c r="LI60" s="215" t="n"/>
      <c r="LJ60" s="215" t="n"/>
      <c r="LK60" s="215" t="n"/>
      <c r="LL60" s="215" t="n"/>
      <c r="LM60" s="215" t="n"/>
      <c r="LN60" s="215" t="n"/>
      <c r="LO60" s="215" t="n"/>
      <c r="LP60" s="215" t="n"/>
      <c r="LQ60" s="215" t="n"/>
      <c r="LR60" s="215" t="n"/>
      <c r="LS60" s="215" t="n"/>
      <c r="LT60" s="215" t="n"/>
      <c r="LU60" s="215" t="n"/>
      <c r="LV60" s="215" t="n"/>
      <c r="LW60" s="215" t="n"/>
      <c r="LX60" s="215" t="n"/>
      <c r="LY60" s="215" t="n"/>
      <c r="LZ60" s="215" t="n"/>
      <c r="MA60" s="215" t="n"/>
      <c r="MB60" s="215" t="n"/>
      <c r="MC60" s="215" t="n"/>
      <c r="MD60" s="215" t="n"/>
      <c r="ME60" s="215" t="n"/>
      <c r="MF60" s="215" t="n"/>
      <c r="MG60" s="215" t="n"/>
      <c r="MH60" s="215" t="n"/>
      <c r="MI60" s="215" t="n"/>
      <c r="MJ60" s="215" t="n"/>
      <c r="MK60" s="215" t="n"/>
      <c r="ML60" s="215" t="n"/>
      <c r="MM60" s="215" t="n"/>
      <c r="MN60" s="215" t="n"/>
      <c r="MO60" s="215" t="n"/>
      <c r="MP60" s="215" t="n"/>
      <c r="MQ60" s="215" t="n"/>
      <c r="MR60" s="215" t="n"/>
      <c r="MS60" s="215" t="n"/>
      <c r="MT60" s="215" t="n"/>
      <c r="MU60" s="215" t="n"/>
      <c r="MV60" s="215" t="n"/>
      <c r="MW60" s="215" t="n"/>
      <c r="MX60" s="215" t="n"/>
      <c r="MY60" s="215" t="n"/>
      <c r="MZ60" s="215" t="n"/>
      <c r="NA60" s="215" t="n"/>
      <c r="NB60" s="215" t="n"/>
      <c r="NC60" s="216">
        <f>SUM(B60:NB60)</f>
        <v/>
      </c>
    </row>
    <row r="61" ht="14.25" customHeight="1" s="166">
      <c r="A61" s="214" t="inlineStr">
        <is>
          <t>BTU-60-RDE-01-01</t>
        </is>
      </c>
      <c r="B61" s="227" t="n"/>
      <c r="C61" s="227" t="n"/>
      <c r="D61" s="227" t="n"/>
      <c r="E61" s="227" t="n"/>
      <c r="F61" s="227" t="n"/>
      <c r="G61" s="227" t="n"/>
      <c r="H61" s="227" t="n"/>
      <c r="I61" s="227" t="n"/>
      <c r="J61" s="227" t="n"/>
      <c r="K61" s="227" t="n"/>
      <c r="L61" s="227" t="n"/>
      <c r="M61" s="227" t="n"/>
      <c r="N61" s="227" t="n"/>
      <c r="O61" s="227" t="n"/>
      <c r="P61" s="227" t="n"/>
      <c r="Q61" s="227" t="n"/>
      <c r="R61" s="227" t="n"/>
      <c r="S61" s="227" t="n"/>
      <c r="T61" s="227" t="n"/>
      <c r="U61" s="227" t="n"/>
      <c r="V61" s="227" t="n"/>
      <c r="W61" s="227" t="n"/>
      <c r="X61" s="227" t="n"/>
      <c r="Y61" s="227" t="n"/>
      <c r="Z61" s="227" t="n"/>
      <c r="AA61" s="227" t="n"/>
      <c r="AB61" s="227" t="n"/>
      <c r="AC61" s="227" t="n"/>
      <c r="AD61" s="227" t="n"/>
      <c r="AE61" s="227" t="n"/>
      <c r="AF61" s="227" t="n"/>
      <c r="AG61" s="227" t="n"/>
      <c r="AH61" s="227" t="n"/>
      <c r="AI61" s="227" t="n"/>
      <c r="AJ61" s="227" t="n"/>
      <c r="AK61" s="227" t="n"/>
      <c r="AL61" s="227" t="n"/>
      <c r="AM61" s="227" t="n"/>
      <c r="AN61" s="227" t="n"/>
      <c r="AO61" s="227" t="n"/>
      <c r="AP61" s="227" t="n"/>
      <c r="AQ61" s="227" t="n"/>
      <c r="AR61" s="227" t="n"/>
      <c r="AS61" s="227" t="n"/>
      <c r="AT61" s="227" t="n"/>
      <c r="AU61" s="227" t="n"/>
      <c r="AV61" s="227" t="n"/>
      <c r="AW61" s="227" t="n"/>
      <c r="AX61" s="227" t="n"/>
      <c r="AY61" s="227" t="n"/>
      <c r="AZ61" s="227" t="n"/>
      <c r="BA61" s="227" t="n"/>
      <c r="BB61" s="227" t="n"/>
      <c r="BC61" s="227" t="n"/>
      <c r="BD61" s="227" t="n"/>
      <c r="BE61" s="227" t="n"/>
      <c r="BF61" s="227" t="n"/>
      <c r="BG61" s="227" t="n"/>
      <c r="BH61" s="227" t="n"/>
      <c r="BI61" s="227" t="n"/>
      <c r="BJ61" s="227" t="n"/>
      <c r="BK61" s="227" t="n"/>
      <c r="BL61" s="227" t="n"/>
      <c r="BM61" s="227" t="n"/>
      <c r="BN61" s="227" t="n"/>
      <c r="BO61" s="227" t="n"/>
      <c r="BP61" s="227" t="n"/>
      <c r="BQ61" s="227" t="n"/>
      <c r="BR61" s="227" t="n"/>
      <c r="BS61" s="227" t="n"/>
      <c r="BT61" s="227" t="n"/>
      <c r="BU61" s="227" t="n"/>
      <c r="BV61" s="227" t="n"/>
      <c r="BW61" s="227" t="n"/>
      <c r="BX61" s="227" t="n"/>
      <c r="BY61" s="227" t="n"/>
      <c r="BZ61" s="227" t="n"/>
      <c r="CA61" s="227" t="n"/>
      <c r="CB61" s="227" t="n"/>
      <c r="CC61" s="227" t="n"/>
      <c r="CD61" s="227" t="n"/>
      <c r="CE61" s="227" t="n"/>
      <c r="CF61" s="227" t="n"/>
      <c r="CG61" s="227" t="n"/>
      <c r="CH61" s="227" t="n"/>
      <c r="CI61" s="227" t="n"/>
      <c r="CJ61" s="227" t="n"/>
      <c r="CK61" s="227" t="n"/>
      <c r="CL61" s="227" t="n"/>
      <c r="CM61" s="227" t="n"/>
      <c r="CN61" s="227" t="n"/>
      <c r="CO61" s="227" t="n"/>
      <c r="CP61" s="227" t="n"/>
      <c r="CQ61" s="227" t="n"/>
      <c r="CR61" s="227" t="n"/>
      <c r="CS61" s="227" t="n"/>
      <c r="CT61" s="227" t="n"/>
      <c r="CU61" s="227" t="n"/>
      <c r="CV61" s="227" t="n"/>
      <c r="CW61" s="227" t="n"/>
      <c r="CX61" s="227" t="n"/>
      <c r="CY61" s="227" t="n"/>
      <c r="CZ61" s="227" t="n"/>
      <c r="DA61" s="227" t="n"/>
      <c r="DB61" s="227" t="n"/>
      <c r="DC61" s="227" t="n"/>
      <c r="DD61" s="227" t="n"/>
      <c r="DE61" s="227" t="n"/>
      <c r="DF61" s="227" t="n"/>
      <c r="DG61" s="227" t="n"/>
      <c r="DH61" s="227" t="n"/>
      <c r="DI61" s="227" t="n"/>
      <c r="DJ61" s="227" t="n"/>
      <c r="DK61" s="227" t="n"/>
      <c r="DL61" s="227" t="n"/>
      <c r="DM61" s="227" t="n"/>
      <c r="DN61" s="227" t="n"/>
      <c r="DO61" s="227" t="n"/>
      <c r="DP61" s="227" t="n"/>
      <c r="DQ61" s="227" t="n"/>
      <c r="DR61" s="227" t="n"/>
      <c r="DS61" s="227" t="n"/>
      <c r="DT61" s="227" t="n"/>
      <c r="DU61" s="227" t="n"/>
      <c r="DV61" s="227" t="n"/>
      <c r="DW61" s="227" t="n"/>
      <c r="DX61" s="227" t="n"/>
      <c r="DY61" s="227" t="n"/>
      <c r="DZ61" s="227" t="n"/>
      <c r="EA61" s="227" t="n"/>
      <c r="EB61" s="227" t="n"/>
      <c r="EC61" s="227" t="n"/>
      <c r="ED61" s="227" t="n"/>
      <c r="EE61" s="227" t="n"/>
      <c r="EF61" s="227" t="n"/>
      <c r="EG61" s="227" t="n"/>
      <c r="EH61" s="227" t="n"/>
      <c r="EI61" s="227" t="n"/>
      <c r="EJ61" s="227" t="n"/>
      <c r="EK61" s="227" t="n"/>
      <c r="EL61" s="227" t="n"/>
      <c r="EM61" s="227" t="n"/>
      <c r="EN61" s="227" t="n"/>
      <c r="EO61" s="227" t="n"/>
      <c r="EP61" s="227" t="n"/>
      <c r="EQ61" s="227" t="n"/>
      <c r="ER61" s="227" t="n"/>
      <c r="ES61" s="227" t="n"/>
      <c r="ET61" s="227" t="n"/>
      <c r="EU61" s="227" t="n"/>
      <c r="EV61" s="227" t="n"/>
      <c r="EW61" s="227" t="n"/>
      <c r="EX61" s="227" t="n"/>
      <c r="EY61" s="227" t="n"/>
      <c r="EZ61" s="227" t="n"/>
      <c r="FA61" s="227" t="n"/>
      <c r="FB61" s="227" t="n"/>
      <c r="FC61" s="227" t="n"/>
      <c r="FD61" s="227" t="n"/>
      <c r="FE61" s="227" t="n"/>
      <c r="FF61" s="227" t="n"/>
      <c r="FG61" s="227" t="n"/>
      <c r="FH61" s="227" t="n"/>
      <c r="FI61" s="227" t="n"/>
      <c r="FJ61" s="227" t="n"/>
      <c r="FK61" s="227" t="n"/>
      <c r="FL61" s="227" t="n"/>
      <c r="FM61" s="227" t="n"/>
      <c r="FN61" s="227" t="n"/>
      <c r="FO61" s="227" t="n"/>
      <c r="FP61" s="227" t="n"/>
      <c r="FQ61" s="227" t="n"/>
      <c r="FR61" s="227" t="n"/>
      <c r="FS61" s="227" t="n"/>
      <c r="FT61" s="227" t="n"/>
      <c r="FU61" s="227" t="n"/>
      <c r="FV61" s="227" t="n"/>
      <c r="FW61" s="227" t="n"/>
      <c r="FX61" s="227" t="n"/>
      <c r="FY61" s="227" t="n"/>
      <c r="FZ61" s="227" t="n"/>
      <c r="GA61" s="227" t="n"/>
      <c r="GB61" s="227" t="n"/>
      <c r="GC61" s="227" t="n"/>
      <c r="GD61" s="227" t="n"/>
      <c r="GE61" s="227" t="n"/>
      <c r="GF61" s="227" t="n"/>
      <c r="GG61" s="227" t="n"/>
      <c r="GH61" s="227" t="n"/>
      <c r="GI61" s="227" t="n"/>
      <c r="GJ61" s="227" t="n"/>
      <c r="GK61" s="227" t="n"/>
      <c r="GL61" s="227" t="n"/>
      <c r="GM61" s="227" t="n"/>
      <c r="GN61" s="227" t="n"/>
      <c r="GO61" s="227" t="n"/>
      <c r="GP61" s="227" t="n"/>
      <c r="GQ61" s="227" t="n"/>
      <c r="GR61" s="227" t="n"/>
      <c r="GS61" s="227" t="n"/>
      <c r="GT61" s="227" t="n"/>
      <c r="GU61" s="227" t="n"/>
      <c r="GV61" s="227" t="n"/>
      <c r="GW61" s="227" t="n"/>
      <c r="GX61" s="227" t="n"/>
      <c r="GY61" s="227" t="n"/>
      <c r="GZ61" s="227" t="n"/>
      <c r="HA61" s="227" t="n"/>
      <c r="HB61" s="227" t="n"/>
      <c r="HC61" s="227" t="n"/>
      <c r="HD61" s="227" t="n"/>
      <c r="HE61" s="227" t="n"/>
      <c r="HF61" s="227" t="n"/>
      <c r="HG61" s="227" t="n"/>
      <c r="HH61" s="227" t="n"/>
      <c r="HI61" s="227" t="n"/>
      <c r="HJ61" s="227" t="n"/>
      <c r="HK61" s="227" t="n"/>
      <c r="HL61" s="227" t="n"/>
      <c r="HM61" s="227" t="n"/>
      <c r="HN61" s="227" t="n"/>
      <c r="HO61" s="227" t="n"/>
      <c r="HP61" s="227" t="n"/>
      <c r="HQ61" s="227" t="n"/>
      <c r="HR61" s="227" t="n"/>
      <c r="HS61" s="227" t="n"/>
      <c r="HT61" s="227" t="n"/>
      <c r="HU61" s="227" t="n"/>
      <c r="HV61" s="227" t="n"/>
      <c r="HW61" s="227" t="n"/>
      <c r="HX61" s="227" t="n"/>
      <c r="HY61" s="227" t="n"/>
      <c r="HZ61" s="227" t="n"/>
      <c r="IA61" s="227" t="n"/>
      <c r="IB61" s="227" t="n"/>
      <c r="IC61" s="227" t="n"/>
      <c r="ID61" s="227" t="n"/>
      <c r="IE61" s="227" t="n"/>
      <c r="IF61" s="227" t="n"/>
      <c r="IG61" s="227" t="n"/>
      <c r="IH61" s="227" t="n"/>
      <c r="II61" s="227" t="n"/>
      <c r="IJ61" s="227" t="n"/>
      <c r="IK61" s="227" t="n"/>
      <c r="IL61" s="227" t="n"/>
      <c r="IM61" s="227" t="n"/>
      <c r="IN61" s="227" t="n"/>
      <c r="IO61" s="227" t="n"/>
      <c r="IP61" s="227" t="n"/>
      <c r="IQ61" s="227" t="n"/>
      <c r="IR61" s="227" t="n"/>
      <c r="IS61" s="227" t="n"/>
      <c r="IT61" s="227" t="n"/>
      <c r="IU61" s="227" t="n"/>
      <c r="IV61" s="227" t="n"/>
      <c r="IW61" s="227" t="n"/>
      <c r="IX61" s="227" t="n"/>
      <c r="IY61" s="227" t="n"/>
      <c r="IZ61" s="227" t="n"/>
      <c r="JA61" s="227" t="n"/>
      <c r="JB61" s="227" t="n"/>
      <c r="JC61" s="227" t="n"/>
      <c r="JD61" s="227" t="n"/>
      <c r="JE61" s="227" t="n"/>
      <c r="JF61" s="227" t="n"/>
      <c r="JG61" s="227" t="n"/>
      <c r="JH61" s="227" t="n"/>
      <c r="JI61" s="227" t="n"/>
      <c r="JJ61" s="227" t="n"/>
      <c r="JK61" s="227" t="n"/>
      <c r="JL61" s="227" t="n"/>
      <c r="JM61" s="227" t="n"/>
      <c r="JN61" s="227" t="n"/>
      <c r="JO61" s="227" t="n"/>
      <c r="JP61" s="227" t="n"/>
      <c r="JQ61" s="227" t="n"/>
      <c r="JR61" s="227" t="n"/>
      <c r="JS61" s="227" t="n"/>
      <c r="JT61" s="227" t="n"/>
      <c r="JU61" s="227" t="n"/>
      <c r="JV61" s="227" t="n"/>
      <c r="JW61" s="227" t="n"/>
      <c r="JX61" s="227" t="n"/>
      <c r="JY61" s="227" t="n"/>
      <c r="JZ61" s="227" t="n"/>
      <c r="KA61" s="227" t="n"/>
      <c r="KB61" s="227" t="n"/>
      <c r="KC61" s="227" t="n"/>
      <c r="KD61" s="227" t="n"/>
      <c r="KE61" s="227" t="n"/>
      <c r="KF61" s="227" t="n"/>
      <c r="KG61" s="227" t="n"/>
      <c r="KH61" s="227" t="n"/>
      <c r="KI61" s="227" t="n"/>
      <c r="KJ61" s="227" t="n"/>
      <c r="KK61" s="227" t="n"/>
      <c r="KL61" s="227" t="n"/>
      <c r="KM61" s="227" t="n"/>
      <c r="KN61" s="227" t="n"/>
      <c r="KO61" s="227" t="n"/>
      <c r="KP61" s="227" t="n"/>
      <c r="KQ61" s="227" t="n"/>
      <c r="KR61" s="227" t="n"/>
      <c r="KS61" s="227" t="n"/>
      <c r="KT61" s="227" t="n"/>
      <c r="KU61" s="227" t="n"/>
      <c r="KV61" s="227" t="n"/>
      <c r="KW61" s="227" t="n"/>
      <c r="KX61" s="227" t="n"/>
      <c r="KY61" s="227" t="n"/>
      <c r="KZ61" s="227" t="n"/>
      <c r="LA61" s="227" t="n"/>
      <c r="LB61" s="227" t="n"/>
      <c r="LC61" s="227" t="n"/>
      <c r="LD61" s="227" t="n"/>
      <c r="LE61" s="227" t="n"/>
      <c r="LF61" s="227" t="n"/>
      <c r="LG61" s="227" t="n"/>
      <c r="LH61" s="227" t="n"/>
      <c r="LI61" s="227" t="n"/>
      <c r="LJ61" s="227" t="n"/>
      <c r="LK61" s="227" t="n"/>
      <c r="LL61" s="227" t="n"/>
      <c r="LM61" s="227" t="n"/>
      <c r="LN61" s="227" t="n"/>
      <c r="LO61" s="227" t="n"/>
      <c r="LP61" s="227" t="n"/>
      <c r="LQ61" s="227" t="n"/>
      <c r="LR61" s="227" t="n"/>
      <c r="LS61" s="227" t="n"/>
      <c r="LT61" s="227" t="n"/>
      <c r="LU61" s="227" t="n"/>
      <c r="LV61" s="227" t="n"/>
      <c r="LW61" s="227" t="n"/>
      <c r="LX61" s="227" t="n"/>
      <c r="LY61" s="227" t="n"/>
      <c r="LZ61" s="227" t="n"/>
      <c r="MA61" s="227" t="n"/>
      <c r="MB61" s="227" t="n"/>
      <c r="MC61" s="227" t="n"/>
      <c r="MD61" s="227" t="n"/>
      <c r="ME61" s="227" t="n"/>
      <c r="MF61" s="227" t="n"/>
      <c r="MG61" s="227" t="n"/>
      <c r="MH61" s="227" t="n"/>
      <c r="MI61" s="227" t="n"/>
      <c r="MJ61" s="227" t="n"/>
      <c r="MK61" s="227" t="n"/>
      <c r="ML61" s="227" t="n"/>
      <c r="MM61" s="227" t="n"/>
      <c r="MN61" s="227" t="n"/>
      <c r="MO61" s="227" t="n"/>
      <c r="MP61" s="227" t="n"/>
      <c r="MQ61" s="227" t="n"/>
      <c r="MR61" s="227" t="n"/>
      <c r="MS61" s="227" t="n"/>
      <c r="MT61" s="227" t="n"/>
      <c r="MU61" s="227" t="n"/>
      <c r="MV61" s="227" t="n"/>
      <c r="MW61" s="227" t="n"/>
      <c r="MX61" s="227" t="n"/>
      <c r="MY61" s="227" t="n"/>
      <c r="MZ61" s="227" t="n"/>
      <c r="NA61" s="227" t="n"/>
      <c r="NB61" s="227" t="n"/>
      <c r="NC61" s="228">
        <f>SUM(B61:NB61)</f>
        <v/>
      </c>
    </row>
    <row r="62" ht="14.25" customHeight="1" s="166">
      <c r="A62" s="214" t="inlineStr">
        <is>
          <t>BTU-60-RDE-01-02</t>
        </is>
      </c>
      <c r="B62" s="227" t="n"/>
      <c r="C62" s="227" t="n"/>
      <c r="D62" s="227" t="n"/>
      <c r="E62" s="227" t="n"/>
      <c r="F62" s="227" t="n"/>
      <c r="G62" s="227" t="n"/>
      <c r="H62" s="227" t="n"/>
      <c r="I62" s="227" t="n"/>
      <c r="J62" s="227" t="n"/>
      <c r="K62" s="227" t="n"/>
      <c r="L62" s="227" t="n"/>
      <c r="M62" s="227" t="n"/>
      <c r="N62" s="227" t="n"/>
      <c r="O62" s="227" t="n"/>
      <c r="P62" s="227" t="n"/>
      <c r="Q62" s="227" t="n"/>
      <c r="R62" s="227" t="n"/>
      <c r="S62" s="227" t="n"/>
      <c r="T62" s="227" t="n"/>
      <c r="U62" s="227" t="n"/>
      <c r="V62" s="227" t="n"/>
      <c r="W62" s="227" t="n"/>
      <c r="X62" s="227" t="n"/>
      <c r="Y62" s="227" t="n"/>
      <c r="Z62" s="227" t="n"/>
      <c r="AA62" s="227" t="n"/>
      <c r="AB62" s="227" t="n"/>
      <c r="AC62" s="227" t="n"/>
      <c r="AD62" s="227" t="n"/>
      <c r="AE62" s="227" t="n"/>
      <c r="AF62" s="227" t="n"/>
      <c r="AG62" s="227" t="n"/>
      <c r="AH62" s="227" t="n"/>
      <c r="AI62" s="227" t="n"/>
      <c r="AJ62" s="227" t="n"/>
      <c r="AK62" s="227" t="n"/>
      <c r="AL62" s="227" t="n"/>
      <c r="AM62" s="227" t="n"/>
      <c r="AN62" s="227" t="n"/>
      <c r="AO62" s="227" t="n"/>
      <c r="AP62" s="227" t="n"/>
      <c r="AQ62" s="227" t="n"/>
      <c r="AR62" s="227" t="n"/>
      <c r="AS62" s="227" t="n"/>
      <c r="AT62" s="227" t="n"/>
      <c r="AU62" s="227" t="n"/>
      <c r="AV62" s="227" t="n"/>
      <c r="AW62" s="227" t="n"/>
      <c r="AX62" s="227" t="n"/>
      <c r="AY62" s="227" t="n"/>
      <c r="AZ62" s="227" t="n"/>
      <c r="BA62" s="227" t="n"/>
      <c r="BB62" s="227" t="n"/>
      <c r="BC62" s="227" t="n"/>
      <c r="BD62" s="227" t="n"/>
      <c r="BE62" s="227" t="n"/>
      <c r="BF62" s="227" t="n"/>
      <c r="BG62" s="227" t="n"/>
      <c r="BH62" s="227" t="n"/>
      <c r="BI62" s="227" t="n"/>
      <c r="BJ62" s="227" t="n"/>
      <c r="BK62" s="227" t="n"/>
      <c r="BL62" s="227" t="n"/>
      <c r="BM62" s="227" t="n"/>
      <c r="BN62" s="227" t="n"/>
      <c r="BO62" s="227" t="n"/>
      <c r="BP62" s="227" t="n"/>
      <c r="BQ62" s="227" t="n"/>
      <c r="BR62" s="227" t="n"/>
      <c r="BS62" s="227" t="n"/>
      <c r="BT62" s="227" t="n"/>
      <c r="BU62" s="227" t="n"/>
      <c r="BV62" s="227" t="n"/>
      <c r="BW62" s="227" t="n"/>
      <c r="BX62" s="227" t="n"/>
      <c r="BY62" s="227" t="n"/>
      <c r="BZ62" s="227" t="n"/>
      <c r="CA62" s="227" t="n"/>
      <c r="CB62" s="227" t="n"/>
      <c r="CC62" s="227" t="n"/>
      <c r="CD62" s="227" t="n"/>
      <c r="CE62" s="227" t="n"/>
      <c r="CF62" s="227" t="n"/>
      <c r="CG62" s="227" t="n"/>
      <c r="CH62" s="227" t="n"/>
      <c r="CI62" s="227" t="n"/>
      <c r="CJ62" s="227" t="n"/>
      <c r="CK62" s="227" t="n"/>
      <c r="CL62" s="227" t="n"/>
      <c r="CM62" s="227" t="n"/>
      <c r="CN62" s="227" t="n"/>
      <c r="CO62" s="227" t="n"/>
      <c r="CP62" s="227" t="n"/>
      <c r="CQ62" s="227" t="n"/>
      <c r="CR62" s="227" t="n"/>
      <c r="CS62" s="227" t="n"/>
      <c r="CT62" s="227" t="n"/>
      <c r="CU62" s="227" t="n"/>
      <c r="CV62" s="227" t="n"/>
      <c r="CW62" s="227" t="n"/>
      <c r="CX62" s="227" t="n"/>
      <c r="CY62" s="227" t="n"/>
      <c r="CZ62" s="227" t="n"/>
      <c r="DA62" s="227" t="n"/>
      <c r="DB62" s="227" t="n"/>
      <c r="DC62" s="227" t="n"/>
      <c r="DD62" s="227" t="n"/>
      <c r="DE62" s="227" t="n"/>
      <c r="DF62" s="227" t="n"/>
      <c r="DG62" s="227" t="n"/>
      <c r="DH62" s="227" t="n"/>
      <c r="DI62" s="227" t="n"/>
      <c r="DJ62" s="227" t="n"/>
      <c r="DK62" s="227" t="n"/>
      <c r="DL62" s="227" t="n"/>
      <c r="DM62" s="227" t="n"/>
      <c r="DN62" s="227" t="n"/>
      <c r="DO62" s="227" t="n"/>
      <c r="DP62" s="227" t="n"/>
      <c r="DQ62" s="227" t="n"/>
      <c r="DR62" s="227" t="n"/>
      <c r="DS62" s="227" t="n"/>
      <c r="DT62" s="227" t="n"/>
      <c r="DU62" s="227" t="n"/>
      <c r="DV62" s="227" t="n"/>
      <c r="DW62" s="227" t="n"/>
      <c r="DX62" s="227" t="n"/>
      <c r="DY62" s="227" t="n"/>
      <c r="DZ62" s="227" t="n"/>
      <c r="EA62" s="227" t="n"/>
      <c r="EB62" s="227" t="n"/>
      <c r="EC62" s="227" t="n"/>
      <c r="ED62" s="227" t="n"/>
      <c r="EE62" s="227" t="n"/>
      <c r="EF62" s="227" t="n"/>
      <c r="EG62" s="227" t="n"/>
      <c r="EH62" s="227" t="n"/>
      <c r="EI62" s="227" t="n"/>
      <c r="EJ62" s="227" t="n"/>
      <c r="EK62" s="227" t="n"/>
      <c r="EL62" s="227" t="n"/>
      <c r="EM62" s="227" t="n"/>
      <c r="EN62" s="227" t="n"/>
      <c r="EO62" s="227" t="n"/>
      <c r="EP62" s="227" t="n"/>
      <c r="EQ62" s="227" t="n"/>
      <c r="ER62" s="227" t="n"/>
      <c r="ES62" s="227" t="n"/>
      <c r="ET62" s="227" t="n"/>
      <c r="EU62" s="227" t="n"/>
      <c r="EV62" s="227" t="n"/>
      <c r="EW62" s="227" t="n"/>
      <c r="EX62" s="227" t="n"/>
      <c r="EY62" s="227" t="n"/>
      <c r="EZ62" s="227" t="n"/>
      <c r="FA62" s="227" t="n"/>
      <c r="FB62" s="227" t="n"/>
      <c r="FC62" s="227" t="n"/>
      <c r="FD62" s="227" t="n"/>
      <c r="FE62" s="227" t="n"/>
      <c r="FF62" s="227" t="n"/>
      <c r="FG62" s="227" t="n"/>
      <c r="FH62" s="227" t="n"/>
      <c r="FI62" s="227" t="n"/>
      <c r="FJ62" s="227" t="n"/>
      <c r="FK62" s="227" t="n"/>
      <c r="FL62" s="227" t="n"/>
      <c r="FM62" s="227" t="n"/>
      <c r="FN62" s="227" t="n"/>
      <c r="FO62" s="227" t="n"/>
      <c r="FP62" s="227" t="n"/>
      <c r="FQ62" s="227" t="n"/>
      <c r="FR62" s="227" t="n"/>
      <c r="FS62" s="227" t="n"/>
      <c r="FT62" s="227" t="n"/>
      <c r="FU62" s="227" t="n"/>
      <c r="FV62" s="227" t="n"/>
      <c r="FW62" s="227" t="n"/>
      <c r="FX62" s="227" t="n"/>
      <c r="FY62" s="227" t="n"/>
      <c r="FZ62" s="227" t="n"/>
      <c r="GA62" s="227" t="n"/>
      <c r="GB62" s="227" t="n"/>
      <c r="GC62" s="227" t="n"/>
      <c r="GD62" s="227" t="n"/>
      <c r="GE62" s="227" t="n"/>
      <c r="GF62" s="227" t="n"/>
      <c r="GG62" s="227" t="n"/>
      <c r="GH62" s="227" t="n"/>
      <c r="GI62" s="227" t="n"/>
      <c r="GJ62" s="227" t="n"/>
      <c r="GK62" s="227" t="n"/>
      <c r="GL62" s="227" t="n"/>
      <c r="GM62" s="227" t="n"/>
      <c r="GN62" s="227" t="n"/>
      <c r="GO62" s="227" t="n"/>
      <c r="GP62" s="227" t="n"/>
      <c r="GQ62" s="227" t="n"/>
      <c r="GR62" s="227" t="n"/>
      <c r="GS62" s="227" t="n"/>
      <c r="GT62" s="227" t="n"/>
      <c r="GU62" s="227" t="n"/>
      <c r="GV62" s="227" t="n"/>
      <c r="GW62" s="227" t="n"/>
      <c r="GX62" s="227" t="n"/>
      <c r="GY62" s="227" t="n"/>
      <c r="GZ62" s="227" t="n"/>
      <c r="HA62" s="227" t="n"/>
      <c r="HB62" s="227" t="n"/>
      <c r="HC62" s="227" t="n"/>
      <c r="HD62" s="227" t="n"/>
      <c r="HE62" s="227" t="n"/>
      <c r="HF62" s="227" t="n"/>
      <c r="HG62" s="227" t="n"/>
      <c r="HH62" s="227" t="n"/>
      <c r="HI62" s="227" t="n"/>
      <c r="HJ62" s="227" t="n"/>
      <c r="HK62" s="227" t="n"/>
      <c r="HL62" s="227" t="n"/>
      <c r="HM62" s="227" t="n"/>
      <c r="HN62" s="227" t="n"/>
      <c r="HO62" s="227" t="n"/>
      <c r="HP62" s="227" t="n"/>
      <c r="HQ62" s="227" t="n"/>
      <c r="HR62" s="227" t="n"/>
      <c r="HS62" s="227" t="n"/>
      <c r="HT62" s="227" t="n"/>
      <c r="HU62" s="227" t="n"/>
      <c r="HV62" s="227" t="n"/>
      <c r="HW62" s="227" t="n"/>
      <c r="HX62" s="227" t="n"/>
      <c r="HY62" s="227" t="n"/>
      <c r="HZ62" s="227" t="n"/>
      <c r="IA62" s="227" t="n"/>
      <c r="IB62" s="227" t="n"/>
      <c r="IC62" s="227" t="n"/>
      <c r="ID62" s="227" t="n"/>
      <c r="IE62" s="227" t="n"/>
      <c r="IF62" s="227" t="n"/>
      <c r="IG62" s="227" t="n"/>
      <c r="IH62" s="227" t="n"/>
      <c r="II62" s="227" t="n"/>
      <c r="IJ62" s="227" t="n"/>
      <c r="IK62" s="227" t="n"/>
      <c r="IL62" s="227" t="n"/>
      <c r="IM62" s="227" t="n"/>
      <c r="IN62" s="227" t="n"/>
      <c r="IO62" s="227" t="n"/>
      <c r="IP62" s="227" t="n"/>
      <c r="IQ62" s="227" t="n"/>
      <c r="IR62" s="227" t="n"/>
      <c r="IS62" s="227" t="n"/>
      <c r="IT62" s="227" t="n"/>
      <c r="IU62" s="227" t="n"/>
      <c r="IV62" s="227" t="n"/>
      <c r="IW62" s="227" t="n"/>
      <c r="IX62" s="227" t="n"/>
      <c r="IY62" s="227" t="n"/>
      <c r="IZ62" s="227" t="n"/>
      <c r="JA62" s="227" t="n"/>
      <c r="JB62" s="227" t="n"/>
      <c r="JC62" s="227" t="n"/>
      <c r="JD62" s="227" t="n"/>
      <c r="JE62" s="227" t="n"/>
      <c r="JF62" s="227" t="n"/>
      <c r="JG62" s="227" t="n"/>
      <c r="JH62" s="227" t="n"/>
      <c r="JI62" s="227" t="n"/>
      <c r="JJ62" s="227" t="n"/>
      <c r="JK62" s="227" t="n"/>
      <c r="JL62" s="227" t="n"/>
      <c r="JM62" s="227" t="n"/>
      <c r="JN62" s="227" t="n"/>
      <c r="JO62" s="227" t="n"/>
      <c r="JP62" s="227" t="n"/>
      <c r="JQ62" s="227" t="n"/>
      <c r="JR62" s="227" t="n"/>
      <c r="JS62" s="227" t="n"/>
      <c r="JT62" s="227" t="n"/>
      <c r="JU62" s="227" t="n"/>
      <c r="JV62" s="227" t="n"/>
      <c r="JW62" s="227" t="n"/>
      <c r="JX62" s="227" t="n"/>
      <c r="JY62" s="227" t="n"/>
      <c r="JZ62" s="227" t="n"/>
      <c r="KA62" s="227" t="n"/>
      <c r="KB62" s="227" t="n"/>
      <c r="KC62" s="227" t="n"/>
      <c r="KD62" s="227" t="n"/>
      <c r="KE62" s="227" t="n"/>
      <c r="KF62" s="227" t="n"/>
      <c r="KG62" s="227" t="n"/>
      <c r="KH62" s="227" t="n"/>
      <c r="KI62" s="227" t="n"/>
      <c r="KJ62" s="227" t="n"/>
      <c r="KK62" s="227" t="n"/>
      <c r="KL62" s="227" t="n"/>
      <c r="KM62" s="227" t="n"/>
      <c r="KN62" s="227" t="n"/>
      <c r="KO62" s="227" t="n"/>
      <c r="KP62" s="227" t="n"/>
      <c r="KQ62" s="227" t="n"/>
      <c r="KR62" s="227" t="n"/>
      <c r="KS62" s="227" t="n"/>
      <c r="KT62" s="227" t="n"/>
      <c r="KU62" s="227" t="n"/>
      <c r="KV62" s="227" t="n"/>
      <c r="KW62" s="227" t="n"/>
      <c r="KX62" s="227" t="n"/>
      <c r="KY62" s="227" t="n"/>
      <c r="KZ62" s="227" t="n"/>
      <c r="LA62" s="227" t="n"/>
      <c r="LB62" s="227" t="n"/>
      <c r="LC62" s="227" t="n"/>
      <c r="LD62" s="227" t="n"/>
      <c r="LE62" s="227" t="n"/>
      <c r="LF62" s="227" t="n"/>
      <c r="LG62" s="227" t="n"/>
      <c r="LH62" s="227" t="n"/>
      <c r="LI62" s="227" t="n"/>
      <c r="LJ62" s="227" t="n"/>
      <c r="LK62" s="227" t="n"/>
      <c r="LL62" s="227" t="n"/>
      <c r="LM62" s="227" t="n"/>
      <c r="LN62" s="227" t="n"/>
      <c r="LO62" s="227" t="n"/>
      <c r="LP62" s="227" t="n"/>
      <c r="LQ62" s="227" t="n"/>
      <c r="LR62" s="227" t="n"/>
      <c r="LS62" s="227" t="n"/>
      <c r="LT62" s="227" t="n"/>
      <c r="LU62" s="227" t="n"/>
      <c r="LV62" s="227" t="n"/>
      <c r="LW62" s="227" t="n"/>
      <c r="LX62" s="227" t="n"/>
      <c r="LY62" s="227" t="n"/>
      <c r="LZ62" s="227" t="n"/>
      <c r="MA62" s="227" t="n"/>
      <c r="MB62" s="227" t="n"/>
      <c r="MC62" s="227" t="n"/>
      <c r="MD62" s="227" t="n"/>
      <c r="ME62" s="227" t="n"/>
      <c r="MF62" s="227" t="n"/>
      <c r="MG62" s="227" t="n"/>
      <c r="MH62" s="227" t="n"/>
      <c r="MI62" s="227" t="n"/>
      <c r="MJ62" s="227" t="n"/>
      <c r="MK62" s="227" t="n"/>
      <c r="ML62" s="227" t="n"/>
      <c r="MM62" s="227" t="n"/>
      <c r="MN62" s="227" t="n"/>
      <c r="MO62" s="227" t="n"/>
      <c r="MP62" s="227" t="n"/>
      <c r="MQ62" s="227" t="n"/>
      <c r="MR62" s="227" t="n"/>
      <c r="MS62" s="227" t="n"/>
      <c r="MT62" s="227" t="n"/>
      <c r="MU62" s="227" t="n"/>
      <c r="MV62" s="227" t="n"/>
      <c r="MW62" s="227" t="n"/>
      <c r="MX62" s="227" t="n"/>
      <c r="MY62" s="227" t="n"/>
      <c r="MZ62" s="227" t="n"/>
      <c r="NA62" s="227" t="n"/>
      <c r="NB62" s="227" t="n"/>
      <c r="NC62" s="228">
        <f>SUM(B62:NB62)</f>
        <v/>
      </c>
    </row>
    <row r="63" ht="14.25" customHeight="1" s="166">
      <c r="A63" s="214" t="inlineStr">
        <is>
          <t>BTU-60-RDE-01-03</t>
        </is>
      </c>
      <c r="B63" s="227" t="n"/>
      <c r="C63" s="227" t="n"/>
      <c r="D63" s="227" t="n"/>
      <c r="E63" s="227" t="n"/>
      <c r="F63" s="227" t="n"/>
      <c r="G63" s="227" t="n"/>
      <c r="H63" s="227" t="n"/>
      <c r="I63" s="227" t="n"/>
      <c r="J63" s="227" t="n"/>
      <c r="K63" s="227" t="n"/>
      <c r="L63" s="227" t="n"/>
      <c r="M63" s="227" t="n"/>
      <c r="N63" s="227" t="n"/>
      <c r="O63" s="227" t="n"/>
      <c r="P63" s="227" t="n"/>
      <c r="Q63" s="227" t="n"/>
      <c r="R63" s="227" t="n"/>
      <c r="S63" s="227" t="n"/>
      <c r="T63" s="227" t="n"/>
      <c r="U63" s="227" t="n"/>
      <c r="V63" s="227" t="n"/>
      <c r="W63" s="227" t="n"/>
      <c r="X63" s="227" t="n"/>
      <c r="Y63" s="227" t="n"/>
      <c r="Z63" s="227" t="n"/>
      <c r="AA63" s="227" t="n"/>
      <c r="AB63" s="227" t="n"/>
      <c r="AC63" s="227" t="n"/>
      <c r="AD63" s="227" t="n"/>
      <c r="AE63" s="227" t="n"/>
      <c r="AF63" s="227" t="n"/>
      <c r="AG63" s="227" t="n"/>
      <c r="AH63" s="227" t="n"/>
      <c r="AI63" s="227" t="n"/>
      <c r="AJ63" s="227" t="n"/>
      <c r="AK63" s="227" t="n"/>
      <c r="AL63" s="227" t="n"/>
      <c r="AM63" s="227" t="n"/>
      <c r="AN63" s="227" t="n"/>
      <c r="AO63" s="227" t="n"/>
      <c r="AP63" s="227" t="n"/>
      <c r="AQ63" s="227" t="n"/>
      <c r="AR63" s="227" t="n"/>
      <c r="AS63" s="227" t="n"/>
      <c r="AT63" s="227" t="n"/>
      <c r="AU63" s="227" t="n"/>
      <c r="AV63" s="227" t="n"/>
      <c r="AW63" s="227" t="n"/>
      <c r="AX63" s="227" t="n"/>
      <c r="AY63" s="227" t="n"/>
      <c r="AZ63" s="227" t="n"/>
      <c r="BA63" s="227" t="n"/>
      <c r="BB63" s="227" t="n"/>
      <c r="BC63" s="227" t="n"/>
      <c r="BD63" s="227" t="n"/>
      <c r="BE63" s="227" t="n"/>
      <c r="BF63" s="227" t="n"/>
      <c r="BG63" s="227" t="n"/>
      <c r="BH63" s="227" t="n"/>
      <c r="BI63" s="227" t="n"/>
      <c r="BJ63" s="227" t="n"/>
      <c r="BK63" s="227" t="n"/>
      <c r="BL63" s="227" t="n"/>
      <c r="BM63" s="227" t="n"/>
      <c r="BN63" s="227" t="n"/>
      <c r="BO63" s="227" t="n"/>
      <c r="BP63" s="227" t="n"/>
      <c r="BQ63" s="227" t="n"/>
      <c r="BR63" s="227" t="n"/>
      <c r="BS63" s="227" t="n"/>
      <c r="BT63" s="227" t="n"/>
      <c r="BU63" s="227" t="n"/>
      <c r="BV63" s="227" t="n"/>
      <c r="BW63" s="227" t="n"/>
      <c r="BX63" s="227" t="n"/>
      <c r="BY63" s="227" t="n"/>
      <c r="BZ63" s="227" t="n"/>
      <c r="CA63" s="227" t="n"/>
      <c r="CB63" s="227" t="n"/>
      <c r="CC63" s="227" t="n"/>
      <c r="CD63" s="227" t="n"/>
      <c r="CE63" s="227" t="n"/>
      <c r="CF63" s="227" t="n"/>
      <c r="CG63" s="227" t="n"/>
      <c r="CH63" s="227" t="n"/>
      <c r="CI63" s="227" t="n"/>
      <c r="CJ63" s="227" t="n"/>
      <c r="CK63" s="227" t="n"/>
      <c r="CL63" s="227" t="n"/>
      <c r="CM63" s="227" t="n"/>
      <c r="CN63" s="227" t="n"/>
      <c r="CO63" s="227" t="n"/>
      <c r="CP63" s="227" t="n"/>
      <c r="CQ63" s="227" t="n"/>
      <c r="CR63" s="227" t="n"/>
      <c r="CS63" s="227" t="n"/>
      <c r="CT63" s="227" t="n"/>
      <c r="CU63" s="227" t="n"/>
      <c r="CV63" s="227" t="n"/>
      <c r="CW63" s="227" t="n"/>
      <c r="CX63" s="227" t="n"/>
      <c r="CY63" s="227" t="n"/>
      <c r="CZ63" s="227" t="n"/>
      <c r="DA63" s="227" t="n"/>
      <c r="DB63" s="227" t="n"/>
      <c r="DC63" s="227" t="n"/>
      <c r="DD63" s="227" t="n"/>
      <c r="DE63" s="227" t="n"/>
      <c r="DF63" s="227" t="n"/>
      <c r="DG63" s="227" t="n"/>
      <c r="DH63" s="227" t="n"/>
      <c r="DI63" s="227" t="n"/>
      <c r="DJ63" s="227" t="n"/>
      <c r="DK63" s="227" t="n"/>
      <c r="DL63" s="227" t="n"/>
      <c r="DM63" s="227" t="n"/>
      <c r="DN63" s="227" t="n"/>
      <c r="DO63" s="227" t="n"/>
      <c r="DP63" s="227" t="n"/>
      <c r="DQ63" s="227" t="n"/>
      <c r="DR63" s="227" t="n"/>
      <c r="DS63" s="227" t="n"/>
      <c r="DT63" s="227" t="n"/>
      <c r="DU63" s="227" t="n"/>
      <c r="DV63" s="227" t="n"/>
      <c r="DW63" s="227" t="n"/>
      <c r="DX63" s="227" t="n"/>
      <c r="DY63" s="227" t="n"/>
      <c r="DZ63" s="227" t="n"/>
      <c r="EA63" s="227" t="n"/>
      <c r="EB63" s="227" t="n"/>
      <c r="EC63" s="227" t="n"/>
      <c r="ED63" s="227" t="n"/>
      <c r="EE63" s="227" t="n"/>
      <c r="EF63" s="227" t="n"/>
      <c r="EG63" s="227" t="n"/>
      <c r="EH63" s="227" t="n"/>
      <c r="EI63" s="227" t="n"/>
      <c r="EJ63" s="227" t="n"/>
      <c r="EK63" s="227" t="n"/>
      <c r="EL63" s="227" t="n"/>
      <c r="EM63" s="227" t="n"/>
      <c r="EN63" s="227" t="n"/>
      <c r="EO63" s="227" t="n"/>
      <c r="EP63" s="227" t="n"/>
      <c r="EQ63" s="227" t="n"/>
      <c r="ER63" s="227" t="n"/>
      <c r="ES63" s="227" t="n"/>
      <c r="ET63" s="227" t="n"/>
      <c r="EU63" s="227" t="n"/>
      <c r="EV63" s="227" t="n"/>
      <c r="EW63" s="227" t="n"/>
      <c r="EX63" s="227" t="n"/>
      <c r="EY63" s="227" t="n"/>
      <c r="EZ63" s="227" t="n"/>
      <c r="FA63" s="227" t="n"/>
      <c r="FB63" s="227" t="n"/>
      <c r="FC63" s="227" t="n"/>
      <c r="FD63" s="227" t="n"/>
      <c r="FE63" s="227" t="n"/>
      <c r="FF63" s="227" t="n"/>
      <c r="FG63" s="227" t="n"/>
      <c r="FH63" s="227" t="n"/>
      <c r="FI63" s="227" t="n"/>
      <c r="FJ63" s="227" t="n"/>
      <c r="FK63" s="227" t="n"/>
      <c r="FL63" s="227" t="n"/>
      <c r="FM63" s="227" t="n"/>
      <c r="FN63" s="227" t="n"/>
      <c r="FO63" s="227" t="n"/>
      <c r="FP63" s="227" t="n"/>
      <c r="FQ63" s="227" t="n"/>
      <c r="FR63" s="227" t="n"/>
      <c r="FS63" s="227" t="n"/>
      <c r="FT63" s="227" t="n"/>
      <c r="FU63" s="227" t="n"/>
      <c r="FV63" s="227" t="n"/>
      <c r="FW63" s="227" t="n"/>
      <c r="FX63" s="227" t="n"/>
      <c r="FY63" s="227" t="n"/>
      <c r="FZ63" s="227" t="n"/>
      <c r="GA63" s="227" t="n"/>
      <c r="GB63" s="227" t="n"/>
      <c r="GC63" s="227" t="n"/>
      <c r="GD63" s="227" t="n"/>
      <c r="GE63" s="227" t="n"/>
      <c r="GF63" s="227" t="n"/>
      <c r="GG63" s="227" t="n"/>
      <c r="GH63" s="227" t="n"/>
      <c r="GI63" s="227" t="n"/>
      <c r="GJ63" s="227" t="n"/>
      <c r="GK63" s="227" t="n"/>
      <c r="GL63" s="227" t="n"/>
      <c r="GM63" s="227" t="n"/>
      <c r="GN63" s="227" t="n"/>
      <c r="GO63" s="227" t="n"/>
      <c r="GP63" s="227" t="n"/>
      <c r="GQ63" s="227" t="n"/>
      <c r="GR63" s="227" t="n"/>
      <c r="GS63" s="227" t="n"/>
      <c r="GT63" s="227" t="n"/>
      <c r="GU63" s="227" t="n"/>
      <c r="GV63" s="227" t="n"/>
      <c r="GW63" s="227" t="n"/>
      <c r="GX63" s="227" t="n"/>
      <c r="GY63" s="227" t="n"/>
      <c r="GZ63" s="227" t="n"/>
      <c r="HA63" s="227" t="n"/>
      <c r="HB63" s="227" t="n"/>
      <c r="HC63" s="227" t="n"/>
      <c r="HD63" s="227" t="n"/>
      <c r="HE63" s="227" t="n"/>
      <c r="HF63" s="227" t="n"/>
      <c r="HG63" s="227" t="n"/>
      <c r="HH63" s="227" t="n"/>
      <c r="HI63" s="227" t="n"/>
      <c r="HJ63" s="227" t="n"/>
      <c r="HK63" s="227" t="n"/>
      <c r="HL63" s="227" t="n"/>
      <c r="HM63" s="227" t="n"/>
      <c r="HN63" s="227" t="n"/>
      <c r="HO63" s="227" t="n"/>
      <c r="HP63" s="227" t="n"/>
      <c r="HQ63" s="227" t="n"/>
      <c r="HR63" s="227" t="n"/>
      <c r="HS63" s="227" t="n"/>
      <c r="HT63" s="227" t="n"/>
      <c r="HU63" s="227" t="n"/>
      <c r="HV63" s="227" t="n"/>
      <c r="HW63" s="227" t="n"/>
      <c r="HX63" s="227" t="n"/>
      <c r="HY63" s="227" t="n"/>
      <c r="HZ63" s="227" t="n"/>
      <c r="IA63" s="227" t="n"/>
      <c r="IB63" s="227" t="n"/>
      <c r="IC63" s="227" t="n"/>
      <c r="ID63" s="227" t="n"/>
      <c r="IE63" s="227" t="n"/>
      <c r="IF63" s="227" t="n"/>
      <c r="IG63" s="227" t="n"/>
      <c r="IH63" s="227" t="n"/>
      <c r="II63" s="227" t="n"/>
      <c r="IJ63" s="227" t="n"/>
      <c r="IK63" s="227" t="n"/>
      <c r="IL63" s="227" t="n"/>
      <c r="IM63" s="227" t="n"/>
      <c r="IN63" s="227" t="n"/>
      <c r="IO63" s="227" t="n"/>
      <c r="IP63" s="227" t="n"/>
      <c r="IQ63" s="227" t="n"/>
      <c r="IR63" s="227" t="n"/>
      <c r="IS63" s="227" t="n"/>
      <c r="IT63" s="227" t="n"/>
      <c r="IU63" s="227" t="n"/>
      <c r="IV63" s="227" t="n"/>
      <c r="IW63" s="227" t="n"/>
      <c r="IX63" s="227" t="n"/>
      <c r="IY63" s="227" t="n"/>
      <c r="IZ63" s="227" t="n"/>
      <c r="JA63" s="227" t="n"/>
      <c r="JB63" s="227" t="n"/>
      <c r="JC63" s="227" t="n"/>
      <c r="JD63" s="227" t="n"/>
      <c r="JE63" s="227" t="n"/>
      <c r="JF63" s="227" t="n"/>
      <c r="JG63" s="227" t="n"/>
      <c r="JH63" s="227" t="n"/>
      <c r="JI63" s="227" t="n"/>
      <c r="JJ63" s="227" t="n"/>
      <c r="JK63" s="227" t="n"/>
      <c r="JL63" s="227" t="n"/>
      <c r="JM63" s="227" t="n"/>
      <c r="JN63" s="227" t="n"/>
      <c r="JO63" s="227" t="n"/>
      <c r="JP63" s="227" t="n"/>
      <c r="JQ63" s="227" t="n"/>
      <c r="JR63" s="227" t="n"/>
      <c r="JS63" s="227" t="n"/>
      <c r="JT63" s="227" t="n"/>
      <c r="JU63" s="227" t="n"/>
      <c r="JV63" s="227" t="n"/>
      <c r="JW63" s="227" t="n"/>
      <c r="JX63" s="227" t="n"/>
      <c r="JY63" s="227" t="n"/>
      <c r="JZ63" s="227" t="n"/>
      <c r="KA63" s="227" t="n"/>
      <c r="KB63" s="227" t="n"/>
      <c r="KC63" s="227" t="n"/>
      <c r="KD63" s="227" t="n"/>
      <c r="KE63" s="227" t="n"/>
      <c r="KF63" s="227" t="n"/>
      <c r="KG63" s="227" t="n"/>
      <c r="KH63" s="227" t="n"/>
      <c r="KI63" s="227" t="n"/>
      <c r="KJ63" s="227" t="n"/>
      <c r="KK63" s="227" t="n"/>
      <c r="KL63" s="227" t="n"/>
      <c r="KM63" s="227" t="n"/>
      <c r="KN63" s="227" t="n"/>
      <c r="KO63" s="227" t="n"/>
      <c r="KP63" s="227" t="n"/>
      <c r="KQ63" s="227" t="n"/>
      <c r="KR63" s="227" t="n"/>
      <c r="KS63" s="227" t="n"/>
      <c r="KT63" s="227" t="n"/>
      <c r="KU63" s="227" t="n"/>
      <c r="KV63" s="227" t="n"/>
      <c r="KW63" s="227" t="n"/>
      <c r="KX63" s="227" t="n"/>
      <c r="KY63" s="227" t="n"/>
      <c r="KZ63" s="227" t="n"/>
      <c r="LA63" s="227" t="n"/>
      <c r="LB63" s="227" t="n"/>
      <c r="LC63" s="227" t="n"/>
      <c r="LD63" s="227" t="n"/>
      <c r="LE63" s="227" t="n"/>
      <c r="LF63" s="227" t="n"/>
      <c r="LG63" s="227" t="n"/>
      <c r="LH63" s="227" t="n"/>
      <c r="LI63" s="227" t="n"/>
      <c r="LJ63" s="227" t="n"/>
      <c r="LK63" s="227" t="n"/>
      <c r="LL63" s="227" t="n"/>
      <c r="LM63" s="227" t="n"/>
      <c r="LN63" s="227" t="n"/>
      <c r="LO63" s="227" t="n"/>
      <c r="LP63" s="227" t="n"/>
      <c r="LQ63" s="227" t="n"/>
      <c r="LR63" s="227" t="n"/>
      <c r="LS63" s="227" t="n"/>
      <c r="LT63" s="227" t="n"/>
      <c r="LU63" s="227" t="n"/>
      <c r="LV63" s="227" t="n"/>
      <c r="LW63" s="227" t="n"/>
      <c r="LX63" s="227" t="n"/>
      <c r="LY63" s="227" t="n"/>
      <c r="LZ63" s="227" t="n"/>
      <c r="MA63" s="227" t="n"/>
      <c r="MB63" s="227" t="n"/>
      <c r="MC63" s="227" t="n"/>
      <c r="MD63" s="227" t="n"/>
      <c r="ME63" s="227" t="n"/>
      <c r="MF63" s="227" t="n"/>
      <c r="MG63" s="227" t="n"/>
      <c r="MH63" s="227" t="n"/>
      <c r="MI63" s="227" t="n"/>
      <c r="MJ63" s="227" t="n"/>
      <c r="MK63" s="227" t="n"/>
      <c r="ML63" s="227" t="n"/>
      <c r="MM63" s="227" t="n"/>
      <c r="MN63" s="227" t="n"/>
      <c r="MO63" s="227" t="n"/>
      <c r="MP63" s="227" t="n"/>
      <c r="MQ63" s="227" t="n"/>
      <c r="MR63" s="227" t="n"/>
      <c r="MS63" s="227" t="n"/>
      <c r="MT63" s="227" t="n"/>
      <c r="MU63" s="227" t="n"/>
      <c r="MV63" s="227" t="n"/>
      <c r="MW63" s="227" t="n"/>
      <c r="MX63" s="227" t="n"/>
      <c r="MY63" s="227" t="n"/>
      <c r="MZ63" s="227" t="n"/>
      <c r="NA63" s="227" t="n"/>
      <c r="NB63" s="227" t="n"/>
      <c r="NC63" s="228">
        <f>SUM(B63:NB63)</f>
        <v/>
      </c>
    </row>
    <row r="64" ht="14.25" customHeight="1" s="166">
      <c r="A64" s="214" t="inlineStr">
        <is>
          <t>BTU-60-RDE-01-04</t>
        </is>
      </c>
      <c r="B64" s="227" t="n"/>
      <c r="C64" s="227" t="n"/>
      <c r="D64" s="227" t="n"/>
      <c r="E64" s="227" t="n"/>
      <c r="F64" s="227" t="n"/>
      <c r="G64" s="227" t="n"/>
      <c r="H64" s="227" t="n"/>
      <c r="I64" s="227" t="n"/>
      <c r="J64" s="227" t="n"/>
      <c r="K64" s="227" t="n"/>
      <c r="L64" s="227" t="n"/>
      <c r="M64" s="227" t="n"/>
      <c r="N64" s="227" t="n"/>
      <c r="O64" s="227" t="n"/>
      <c r="P64" s="227" t="n"/>
      <c r="Q64" s="227" t="n"/>
      <c r="R64" s="227" t="n"/>
      <c r="S64" s="227" t="n"/>
      <c r="T64" s="227" t="n"/>
      <c r="U64" s="227" t="n"/>
      <c r="V64" s="227" t="n"/>
      <c r="W64" s="227" t="n"/>
      <c r="X64" s="227" t="n"/>
      <c r="Y64" s="227" t="n"/>
      <c r="Z64" s="227" t="n"/>
      <c r="AA64" s="227" t="n"/>
      <c r="AB64" s="227" t="n"/>
      <c r="AC64" s="227" t="n"/>
      <c r="AD64" s="227" t="n"/>
      <c r="AE64" s="227" t="n"/>
      <c r="AF64" s="227" t="n"/>
      <c r="AG64" s="227" t="n"/>
      <c r="AH64" s="227" t="n"/>
      <c r="AI64" s="227" t="n"/>
      <c r="AJ64" s="227" t="n"/>
      <c r="AK64" s="227" t="n"/>
      <c r="AL64" s="227" t="n"/>
      <c r="AM64" s="227" t="n"/>
      <c r="AN64" s="227" t="n"/>
      <c r="AO64" s="227" t="n"/>
      <c r="AP64" s="227" t="n"/>
      <c r="AQ64" s="227" t="n"/>
      <c r="AR64" s="227" t="n"/>
      <c r="AS64" s="227" t="n"/>
      <c r="AT64" s="227" t="n"/>
      <c r="AU64" s="227" t="n"/>
      <c r="AV64" s="227" t="n"/>
      <c r="AW64" s="227" t="n"/>
      <c r="AX64" s="227" t="n"/>
      <c r="AY64" s="227" t="n"/>
      <c r="AZ64" s="227" t="n"/>
      <c r="BA64" s="227" t="n"/>
      <c r="BB64" s="227" t="n"/>
      <c r="BC64" s="227" t="n"/>
      <c r="BD64" s="227" t="n"/>
      <c r="BE64" s="227" t="n"/>
      <c r="BF64" s="227" t="n"/>
      <c r="BG64" s="227" t="n"/>
      <c r="BH64" s="227" t="n"/>
      <c r="BI64" s="227" t="n"/>
      <c r="BJ64" s="227" t="n"/>
      <c r="BK64" s="227" t="n"/>
      <c r="BL64" s="227" t="n"/>
      <c r="BM64" s="227" t="n"/>
      <c r="BN64" s="227" t="n"/>
      <c r="BO64" s="227" t="n"/>
      <c r="BP64" s="227" t="n"/>
      <c r="BQ64" s="227" t="n"/>
      <c r="BR64" s="227" t="n"/>
      <c r="BS64" s="227" t="n"/>
      <c r="BT64" s="227" t="n"/>
      <c r="BU64" s="227" t="n"/>
      <c r="BV64" s="227" t="n"/>
      <c r="BW64" s="227" t="n"/>
      <c r="BX64" s="227" t="n"/>
      <c r="BY64" s="227" t="n"/>
      <c r="BZ64" s="227" t="n"/>
      <c r="CA64" s="227" t="n"/>
      <c r="CB64" s="227" t="n"/>
      <c r="CC64" s="227" t="n"/>
      <c r="CD64" s="227" t="n"/>
      <c r="CE64" s="227" t="n"/>
      <c r="CF64" s="227" t="n"/>
      <c r="CG64" s="227" t="n"/>
      <c r="CH64" s="227" t="n"/>
      <c r="CI64" s="227" t="n"/>
      <c r="CJ64" s="227" t="n"/>
      <c r="CK64" s="227" t="n"/>
      <c r="CL64" s="227" t="n"/>
      <c r="CM64" s="227" t="n"/>
      <c r="CN64" s="227" t="n"/>
      <c r="CO64" s="227" t="n"/>
      <c r="CP64" s="227" t="n"/>
      <c r="CQ64" s="227" t="n"/>
      <c r="CR64" s="227" t="n"/>
      <c r="CS64" s="227" t="n"/>
      <c r="CT64" s="227" t="n"/>
      <c r="CU64" s="227" t="n"/>
      <c r="CV64" s="227" t="n"/>
      <c r="CW64" s="227" t="n"/>
      <c r="CX64" s="227" t="n"/>
      <c r="CY64" s="227" t="n"/>
      <c r="CZ64" s="227" t="n"/>
      <c r="DA64" s="227" t="n"/>
      <c r="DB64" s="227" t="n"/>
      <c r="DC64" s="227" t="n"/>
      <c r="DD64" s="227" t="n"/>
      <c r="DE64" s="227" t="n"/>
      <c r="DF64" s="227" t="n"/>
      <c r="DG64" s="227" t="n"/>
      <c r="DH64" s="227" t="n"/>
      <c r="DI64" s="227" t="n"/>
      <c r="DJ64" s="227" t="n"/>
      <c r="DK64" s="227" t="n"/>
      <c r="DL64" s="227" t="n"/>
      <c r="DM64" s="227" t="n"/>
      <c r="DN64" s="227" t="n"/>
      <c r="DO64" s="227" t="n"/>
      <c r="DP64" s="227" t="n"/>
      <c r="DQ64" s="227" t="n"/>
      <c r="DR64" s="227" t="n"/>
      <c r="DS64" s="227" t="n"/>
      <c r="DT64" s="227" t="n"/>
      <c r="DU64" s="227" t="n"/>
      <c r="DV64" s="227" t="n"/>
      <c r="DW64" s="227" t="n"/>
      <c r="DX64" s="227" t="n"/>
      <c r="DY64" s="227" t="n"/>
      <c r="DZ64" s="227" t="n"/>
      <c r="EA64" s="227" t="n"/>
      <c r="EB64" s="227" t="n"/>
      <c r="EC64" s="227" t="n"/>
      <c r="ED64" s="227" t="n"/>
      <c r="EE64" s="227" t="n"/>
      <c r="EF64" s="227" t="n"/>
      <c r="EG64" s="227" t="n"/>
      <c r="EH64" s="227" t="n"/>
      <c r="EI64" s="227" t="n"/>
      <c r="EJ64" s="227" t="n"/>
      <c r="EK64" s="227" t="n"/>
      <c r="EL64" s="227" t="n"/>
      <c r="EM64" s="227" t="n"/>
      <c r="EN64" s="227" t="n"/>
      <c r="EO64" s="227" t="n"/>
      <c r="EP64" s="227" t="n"/>
      <c r="EQ64" s="227" t="n"/>
      <c r="ER64" s="227" t="n"/>
      <c r="ES64" s="227" t="n"/>
      <c r="ET64" s="227" t="n"/>
      <c r="EU64" s="227" t="n"/>
      <c r="EV64" s="227" t="n"/>
      <c r="EW64" s="227" t="n"/>
      <c r="EX64" s="227" t="n"/>
      <c r="EY64" s="227" t="n"/>
      <c r="EZ64" s="227" t="n"/>
      <c r="FA64" s="227" t="n"/>
      <c r="FB64" s="227" t="n"/>
      <c r="FC64" s="227" t="n"/>
      <c r="FD64" s="227" t="n"/>
      <c r="FE64" s="227" t="n"/>
      <c r="FF64" s="227" t="n"/>
      <c r="FG64" s="227" t="n"/>
      <c r="FH64" s="227" t="n"/>
      <c r="FI64" s="227" t="n"/>
      <c r="FJ64" s="227" t="n"/>
      <c r="FK64" s="227" t="n"/>
      <c r="FL64" s="227" t="n"/>
      <c r="FM64" s="227" t="n"/>
      <c r="FN64" s="227" t="n"/>
      <c r="FO64" s="227" t="n"/>
      <c r="FP64" s="227" t="n"/>
      <c r="FQ64" s="227" t="n"/>
      <c r="FR64" s="227" t="n"/>
      <c r="FS64" s="227" t="n"/>
      <c r="FT64" s="227" t="n"/>
      <c r="FU64" s="227" t="n"/>
      <c r="FV64" s="227" t="n"/>
      <c r="FW64" s="227" t="n"/>
      <c r="FX64" s="227" t="n"/>
      <c r="FY64" s="227" t="n"/>
      <c r="FZ64" s="227" t="n"/>
      <c r="GA64" s="227" t="n"/>
      <c r="GB64" s="227" t="n"/>
      <c r="GC64" s="227" t="n"/>
      <c r="GD64" s="227" t="n"/>
      <c r="GE64" s="227" t="n"/>
      <c r="GF64" s="227" t="n"/>
      <c r="GG64" s="227" t="n"/>
      <c r="GH64" s="227" t="n"/>
      <c r="GI64" s="227" t="n"/>
      <c r="GJ64" s="227" t="n"/>
      <c r="GK64" s="227" t="n"/>
      <c r="GL64" s="227" t="n"/>
      <c r="GM64" s="227" t="n"/>
      <c r="GN64" s="227" t="n"/>
      <c r="GO64" s="227" t="n"/>
      <c r="GP64" s="227" t="n"/>
      <c r="GQ64" s="227" t="n"/>
      <c r="GR64" s="227" t="n"/>
      <c r="GS64" s="227" t="n"/>
      <c r="GT64" s="227" t="n"/>
      <c r="GU64" s="227" t="n"/>
      <c r="GV64" s="227" t="n"/>
      <c r="GW64" s="227" t="n"/>
      <c r="GX64" s="227" t="n"/>
      <c r="GY64" s="227" t="n"/>
      <c r="GZ64" s="227" t="n"/>
      <c r="HA64" s="227" t="n"/>
      <c r="HB64" s="227" t="n"/>
      <c r="HC64" s="227" t="n"/>
      <c r="HD64" s="227" t="n"/>
      <c r="HE64" s="227" t="n"/>
      <c r="HF64" s="227" t="n"/>
      <c r="HG64" s="227" t="n"/>
      <c r="HH64" s="227" t="n"/>
      <c r="HI64" s="227" t="n"/>
      <c r="HJ64" s="227" t="n"/>
      <c r="HK64" s="227" t="n"/>
      <c r="HL64" s="227" t="n"/>
      <c r="HM64" s="227" t="n"/>
      <c r="HN64" s="227" t="n"/>
      <c r="HO64" s="227" t="n"/>
      <c r="HP64" s="227" t="n"/>
      <c r="HQ64" s="227" t="n"/>
      <c r="HR64" s="227" t="n"/>
      <c r="HS64" s="227" t="n"/>
      <c r="HT64" s="227" t="n"/>
      <c r="HU64" s="227" t="n"/>
      <c r="HV64" s="227" t="n"/>
      <c r="HW64" s="227" t="n"/>
      <c r="HX64" s="227" t="n"/>
      <c r="HY64" s="227" t="n"/>
      <c r="HZ64" s="227" t="n"/>
      <c r="IA64" s="227" t="n"/>
      <c r="IB64" s="227" t="n"/>
      <c r="IC64" s="227" t="n"/>
      <c r="ID64" s="227" t="n"/>
      <c r="IE64" s="227" t="n"/>
      <c r="IF64" s="227" t="n"/>
      <c r="IG64" s="227" t="n"/>
      <c r="IH64" s="227" t="n"/>
      <c r="II64" s="227" t="n"/>
      <c r="IJ64" s="227" t="n"/>
      <c r="IK64" s="227" t="n"/>
      <c r="IL64" s="227" t="n"/>
      <c r="IM64" s="227" t="n"/>
      <c r="IN64" s="227" t="n"/>
      <c r="IO64" s="227" t="n"/>
      <c r="IP64" s="227" t="n"/>
      <c r="IQ64" s="227" t="n"/>
      <c r="IR64" s="227" t="n"/>
      <c r="IS64" s="227" t="n"/>
      <c r="IT64" s="227" t="n"/>
      <c r="IU64" s="227" t="n"/>
      <c r="IV64" s="227" t="n"/>
      <c r="IW64" s="227" t="n"/>
      <c r="IX64" s="227" t="n"/>
      <c r="IY64" s="227" t="n"/>
      <c r="IZ64" s="227" t="n"/>
      <c r="JA64" s="227" t="n"/>
      <c r="JB64" s="227" t="n"/>
      <c r="JC64" s="227" t="n"/>
      <c r="JD64" s="227" t="n"/>
      <c r="JE64" s="227" t="n"/>
      <c r="JF64" s="227" t="n"/>
      <c r="JG64" s="227" t="n"/>
      <c r="JH64" s="227" t="n"/>
      <c r="JI64" s="227" t="n"/>
      <c r="JJ64" s="227" t="n"/>
      <c r="JK64" s="227" t="n"/>
      <c r="JL64" s="227" t="n"/>
      <c r="JM64" s="227" t="n"/>
      <c r="JN64" s="227" t="n"/>
      <c r="JO64" s="227" t="n"/>
      <c r="JP64" s="227" t="n"/>
      <c r="JQ64" s="227" t="n"/>
      <c r="JR64" s="227" t="n"/>
      <c r="JS64" s="227" t="n"/>
      <c r="JT64" s="227" t="n"/>
      <c r="JU64" s="227" t="n"/>
      <c r="JV64" s="227" t="n"/>
      <c r="JW64" s="227" t="n"/>
      <c r="JX64" s="227" t="n"/>
      <c r="JY64" s="227" t="n"/>
      <c r="JZ64" s="227" t="n"/>
      <c r="KA64" s="227" t="n"/>
      <c r="KB64" s="227" t="n"/>
      <c r="KC64" s="227" t="n"/>
      <c r="KD64" s="227" t="n"/>
      <c r="KE64" s="227" t="n"/>
      <c r="KF64" s="227" t="n"/>
      <c r="KG64" s="227" t="n"/>
      <c r="KH64" s="227" t="n"/>
      <c r="KI64" s="227" t="n"/>
      <c r="KJ64" s="227" t="n"/>
      <c r="KK64" s="227" t="n"/>
      <c r="KL64" s="227" t="n"/>
      <c r="KM64" s="227" t="n"/>
      <c r="KN64" s="227" t="n"/>
      <c r="KO64" s="227" t="n"/>
      <c r="KP64" s="227" t="n"/>
      <c r="KQ64" s="227" t="n"/>
      <c r="KR64" s="227" t="n"/>
      <c r="KS64" s="227" t="n"/>
      <c r="KT64" s="227" t="n"/>
      <c r="KU64" s="227" t="n"/>
      <c r="KV64" s="227" t="n"/>
      <c r="KW64" s="227" t="n"/>
      <c r="KX64" s="227" t="n"/>
      <c r="KY64" s="227" t="n"/>
      <c r="KZ64" s="227" t="n"/>
      <c r="LA64" s="227" t="n"/>
      <c r="LB64" s="227" t="n"/>
      <c r="LC64" s="227" t="n"/>
      <c r="LD64" s="227" t="n"/>
      <c r="LE64" s="227" t="n"/>
      <c r="LF64" s="227" t="n"/>
      <c r="LG64" s="227" t="n"/>
      <c r="LH64" s="227" t="n"/>
      <c r="LI64" s="227" t="n"/>
      <c r="LJ64" s="227" t="n"/>
      <c r="LK64" s="227" t="n"/>
      <c r="LL64" s="227" t="n"/>
      <c r="LM64" s="227" t="n"/>
      <c r="LN64" s="227" t="n"/>
      <c r="LO64" s="227" t="n"/>
      <c r="LP64" s="227" t="n"/>
      <c r="LQ64" s="227" t="n"/>
      <c r="LR64" s="227" t="n"/>
      <c r="LS64" s="227" t="n"/>
      <c r="LT64" s="227" t="n"/>
      <c r="LU64" s="227" t="n"/>
      <c r="LV64" s="227" t="n"/>
      <c r="LW64" s="227" t="n"/>
      <c r="LX64" s="227" t="n"/>
      <c r="LY64" s="227" t="n"/>
      <c r="LZ64" s="227" t="n"/>
      <c r="MA64" s="227" t="n"/>
      <c r="MB64" s="227" t="n"/>
      <c r="MC64" s="227" t="n"/>
      <c r="MD64" s="227" t="n"/>
      <c r="ME64" s="227" t="n"/>
      <c r="MF64" s="227" t="n"/>
      <c r="MG64" s="227" t="n"/>
      <c r="MH64" s="227" t="n"/>
      <c r="MI64" s="227" t="n"/>
      <c r="MJ64" s="227" t="n"/>
      <c r="MK64" s="227" t="n"/>
      <c r="ML64" s="227" t="n"/>
      <c r="MM64" s="227" t="n"/>
      <c r="MN64" s="227" t="n"/>
      <c r="MO64" s="227" t="n"/>
      <c r="MP64" s="227" t="n"/>
      <c r="MQ64" s="227" t="n"/>
      <c r="MR64" s="227" t="n"/>
      <c r="MS64" s="227" t="n"/>
      <c r="MT64" s="227" t="n"/>
      <c r="MU64" s="227" t="n"/>
      <c r="MV64" s="227" t="n"/>
      <c r="MW64" s="227" t="n"/>
      <c r="MX64" s="227" t="n"/>
      <c r="MY64" s="227" t="n"/>
      <c r="MZ64" s="227" t="n"/>
      <c r="NA64" s="227" t="n"/>
      <c r="NB64" s="227" t="n"/>
      <c r="NC64" s="228">
        <f>SUM(B64:NB64)</f>
        <v/>
      </c>
    </row>
    <row r="65" ht="14.25" customHeight="1" s="166">
      <c r="A65" s="214" t="inlineStr">
        <is>
          <t>BTU-60-01-01</t>
        </is>
      </c>
      <c r="B65" s="227" t="n"/>
      <c r="C65" s="227" t="n"/>
      <c r="D65" s="227" t="n"/>
      <c r="E65" s="227" t="n"/>
      <c r="F65" s="227" t="n"/>
      <c r="G65" s="227" t="n"/>
      <c r="H65" s="227" t="n"/>
      <c r="I65" s="227" t="n"/>
      <c r="J65" s="227" t="n"/>
      <c r="K65" s="227" t="n"/>
      <c r="L65" s="227" t="n"/>
      <c r="M65" s="227" t="n"/>
      <c r="N65" s="227" t="n"/>
      <c r="O65" s="227" t="n"/>
      <c r="P65" s="227" t="n"/>
      <c r="Q65" s="227" t="n"/>
      <c r="R65" s="227" t="n"/>
      <c r="S65" s="227" t="n"/>
      <c r="T65" s="227" t="n"/>
      <c r="U65" s="227" t="n"/>
      <c r="V65" s="227" t="n"/>
      <c r="W65" s="227" t="n"/>
      <c r="X65" s="227" t="n"/>
      <c r="Y65" s="227" t="n"/>
      <c r="Z65" s="227" t="n"/>
      <c r="AA65" s="227" t="n"/>
      <c r="AB65" s="227" t="n"/>
      <c r="AC65" s="227" t="n"/>
      <c r="AD65" s="227" t="n"/>
      <c r="AE65" s="227" t="n"/>
      <c r="AF65" s="227" t="n"/>
      <c r="AG65" s="227" t="n"/>
      <c r="AH65" s="227" t="n"/>
      <c r="AI65" s="227" t="n"/>
      <c r="AJ65" s="227" t="n"/>
      <c r="AK65" s="227" t="n"/>
      <c r="AL65" s="227" t="n"/>
      <c r="AM65" s="227" t="n"/>
      <c r="AN65" s="227" t="n"/>
      <c r="AO65" s="227" t="n"/>
      <c r="AP65" s="227" t="n"/>
      <c r="AQ65" s="227" t="n"/>
      <c r="AR65" s="227" t="n"/>
      <c r="AS65" s="227" t="n"/>
      <c r="AT65" s="227" t="n"/>
      <c r="AU65" s="227" t="n"/>
      <c r="AV65" s="227" t="n"/>
      <c r="AW65" s="227" t="n"/>
      <c r="AX65" s="227" t="n"/>
      <c r="AY65" s="227" t="n"/>
      <c r="AZ65" s="227" t="n"/>
      <c r="BA65" s="227" t="n"/>
      <c r="BB65" s="227" t="n"/>
      <c r="BC65" s="227" t="n"/>
      <c r="BD65" s="227" t="n"/>
      <c r="BE65" s="227" t="n"/>
      <c r="BF65" s="227" t="n"/>
      <c r="BG65" s="227" t="n"/>
      <c r="BH65" s="227" t="n"/>
      <c r="BI65" s="227" t="n"/>
      <c r="BJ65" s="227" t="n"/>
      <c r="BK65" s="227" t="n"/>
      <c r="BL65" s="227" t="n"/>
      <c r="BM65" s="227" t="n"/>
      <c r="BN65" s="227" t="n"/>
      <c r="BO65" s="227" t="n"/>
      <c r="BP65" s="227" t="n"/>
      <c r="BQ65" s="227" t="n"/>
      <c r="BR65" s="227" t="n"/>
      <c r="BS65" s="227" t="n"/>
      <c r="BT65" s="227" t="n"/>
      <c r="BU65" s="227" t="n"/>
      <c r="BV65" s="227" t="n"/>
      <c r="BW65" s="227" t="n"/>
      <c r="BX65" s="227" t="n"/>
      <c r="BY65" s="227" t="n"/>
      <c r="BZ65" s="227" t="n"/>
      <c r="CA65" s="227" t="n"/>
      <c r="CB65" s="227" t="n"/>
      <c r="CC65" s="227" t="n"/>
      <c r="CD65" s="227" t="n"/>
      <c r="CE65" s="227" t="n"/>
      <c r="CF65" s="227" t="n"/>
      <c r="CG65" s="227" t="n"/>
      <c r="CH65" s="227" t="n"/>
      <c r="CI65" s="227" t="n"/>
      <c r="CJ65" s="227" t="n"/>
      <c r="CK65" s="227" t="n"/>
      <c r="CL65" s="227" t="n"/>
      <c r="CM65" s="227" t="n"/>
      <c r="CN65" s="227" t="n"/>
      <c r="CO65" s="227" t="n"/>
      <c r="CP65" s="227" t="n"/>
      <c r="CQ65" s="227" t="n"/>
      <c r="CR65" s="227" t="n"/>
      <c r="CS65" s="227" t="n"/>
      <c r="CT65" s="227" t="n"/>
      <c r="CU65" s="227" t="n"/>
      <c r="CV65" s="227" t="n"/>
      <c r="CW65" s="227" t="n"/>
      <c r="CX65" s="227" t="n"/>
      <c r="CY65" s="227" t="n"/>
      <c r="CZ65" s="227" t="n"/>
      <c r="DA65" s="227" t="n"/>
      <c r="DB65" s="227" t="n"/>
      <c r="DC65" s="227" t="n"/>
      <c r="DD65" s="227" t="n"/>
      <c r="DE65" s="227" t="n"/>
      <c r="DF65" s="227" t="n"/>
      <c r="DG65" s="227" t="n"/>
      <c r="DH65" s="227" t="n"/>
      <c r="DI65" s="227" t="n"/>
      <c r="DJ65" s="227" t="n"/>
      <c r="DK65" s="227" t="n"/>
      <c r="DL65" s="227" t="n"/>
      <c r="DM65" s="227" t="n"/>
      <c r="DN65" s="227" t="n"/>
      <c r="DO65" s="227" t="n"/>
      <c r="DP65" s="227" t="n"/>
      <c r="DQ65" s="227" t="n"/>
      <c r="DR65" s="227" t="n"/>
      <c r="DS65" s="227" t="n"/>
      <c r="DT65" s="227" t="n"/>
      <c r="DU65" s="227" t="n"/>
      <c r="DV65" s="227" t="n"/>
      <c r="DW65" s="227" t="n"/>
      <c r="DX65" s="227" t="n"/>
      <c r="DY65" s="227" t="n"/>
      <c r="DZ65" s="227" t="n"/>
      <c r="EA65" s="227" t="n"/>
      <c r="EB65" s="227" t="n"/>
      <c r="EC65" s="227" t="n"/>
      <c r="ED65" s="227" t="n"/>
      <c r="EE65" s="227" t="n"/>
      <c r="EF65" s="227" t="n"/>
      <c r="EG65" s="227" t="n"/>
      <c r="EH65" s="227" t="n"/>
      <c r="EI65" s="227" t="n"/>
      <c r="EJ65" s="227" t="n"/>
      <c r="EK65" s="227" t="n"/>
      <c r="EL65" s="227" t="n"/>
      <c r="EM65" s="227" t="n"/>
      <c r="EN65" s="227" t="n"/>
      <c r="EO65" s="227" t="n"/>
      <c r="EP65" s="227" t="n"/>
      <c r="EQ65" s="227" t="n"/>
      <c r="ER65" s="227" t="n"/>
      <c r="ES65" s="227" t="n"/>
      <c r="ET65" s="227" t="n"/>
      <c r="EU65" s="227" t="n"/>
      <c r="EV65" s="227" t="n"/>
      <c r="EW65" s="227" t="n"/>
      <c r="EX65" s="227" t="n"/>
      <c r="EY65" s="227" t="n"/>
      <c r="EZ65" s="227" t="n"/>
      <c r="FA65" s="227" t="n"/>
      <c r="FB65" s="227" t="n"/>
      <c r="FC65" s="227" t="n"/>
      <c r="FD65" s="227" t="n"/>
      <c r="FE65" s="227" t="n"/>
      <c r="FF65" s="227" t="n"/>
      <c r="FG65" s="227" t="n"/>
      <c r="FH65" s="227" t="n"/>
      <c r="FI65" s="227" t="n"/>
      <c r="FJ65" s="227" t="n"/>
      <c r="FK65" s="227" t="n"/>
      <c r="FL65" s="227" t="n"/>
      <c r="FM65" s="227" t="n"/>
      <c r="FN65" s="227" t="n"/>
      <c r="FO65" s="227" t="n"/>
      <c r="FP65" s="227" t="n"/>
      <c r="FQ65" s="227" t="n"/>
      <c r="FR65" s="227" t="n"/>
      <c r="FS65" s="227" t="n"/>
      <c r="FT65" s="227" t="n"/>
      <c r="FU65" s="227" t="n"/>
      <c r="FV65" s="227" t="n"/>
      <c r="FW65" s="227" t="n"/>
      <c r="FX65" s="227" t="n"/>
      <c r="FY65" s="227" t="n"/>
      <c r="FZ65" s="227" t="n"/>
      <c r="GA65" s="227" t="n"/>
      <c r="GB65" s="227" t="n"/>
      <c r="GC65" s="227" t="n"/>
      <c r="GD65" s="227" t="n"/>
      <c r="GE65" s="227" t="n"/>
      <c r="GF65" s="227" t="n"/>
      <c r="GG65" s="227" t="n"/>
      <c r="GH65" s="227" t="n"/>
      <c r="GI65" s="227" t="n"/>
      <c r="GJ65" s="227" t="n"/>
      <c r="GK65" s="227" t="n"/>
      <c r="GL65" s="227" t="n"/>
      <c r="GM65" s="227" t="n"/>
      <c r="GN65" s="227" t="n"/>
      <c r="GO65" s="227" t="n"/>
      <c r="GP65" s="227" t="n"/>
      <c r="GQ65" s="227" t="n"/>
      <c r="GR65" s="227" t="n"/>
      <c r="GS65" s="227" t="n"/>
      <c r="GT65" s="227" t="n"/>
      <c r="GU65" s="227" t="n"/>
      <c r="GV65" s="227" t="n"/>
      <c r="GW65" s="227" t="n"/>
      <c r="GX65" s="227" t="n"/>
      <c r="GY65" s="227" t="n"/>
      <c r="GZ65" s="227" t="n"/>
      <c r="HA65" s="227" t="n"/>
      <c r="HB65" s="227" t="n"/>
      <c r="HC65" s="227" t="n"/>
      <c r="HD65" s="227" t="n"/>
      <c r="HE65" s="227" t="n"/>
      <c r="HF65" s="227" t="n"/>
      <c r="HG65" s="227" t="n"/>
      <c r="HH65" s="227" t="n"/>
      <c r="HI65" s="227" t="n"/>
      <c r="HJ65" s="227" t="n"/>
      <c r="HK65" s="227" t="n"/>
      <c r="HL65" s="227" t="n"/>
      <c r="HM65" s="227" t="n"/>
      <c r="HN65" s="227" t="n"/>
      <c r="HO65" s="227" t="n"/>
      <c r="HP65" s="227" t="n"/>
      <c r="HQ65" s="227" t="n"/>
      <c r="HR65" s="227" t="n"/>
      <c r="HS65" s="227" t="n"/>
      <c r="HT65" s="227" t="n"/>
      <c r="HU65" s="227" t="n"/>
      <c r="HV65" s="227" t="n"/>
      <c r="HW65" s="227" t="n"/>
      <c r="HX65" s="227" t="n"/>
      <c r="HY65" s="227" t="n"/>
      <c r="HZ65" s="227" t="n"/>
      <c r="IA65" s="227" t="n"/>
      <c r="IB65" s="227" t="n"/>
      <c r="IC65" s="227" t="n"/>
      <c r="ID65" s="227" t="n"/>
      <c r="IE65" s="227" t="n"/>
      <c r="IF65" s="227" t="n"/>
      <c r="IG65" s="227" t="n"/>
      <c r="IH65" s="227" t="n"/>
      <c r="II65" s="227" t="n"/>
      <c r="IJ65" s="227" t="n"/>
      <c r="IK65" s="227" t="n"/>
      <c r="IL65" s="227" t="n"/>
      <c r="IM65" s="227" t="n"/>
      <c r="IN65" s="227" t="n"/>
      <c r="IO65" s="227" t="n"/>
      <c r="IP65" s="227" t="n"/>
      <c r="IQ65" s="227" t="n"/>
      <c r="IR65" s="227" t="n"/>
      <c r="IS65" s="227" t="n"/>
      <c r="IT65" s="227" t="n"/>
      <c r="IU65" s="227" t="n"/>
      <c r="IV65" s="227" t="n"/>
      <c r="IW65" s="227" t="n"/>
      <c r="IX65" s="227" t="n"/>
      <c r="IY65" s="227" t="n"/>
      <c r="IZ65" s="227" t="n"/>
      <c r="JA65" s="227" t="n"/>
      <c r="JB65" s="227" t="n"/>
      <c r="JC65" s="227" t="n"/>
      <c r="JD65" s="227" t="n"/>
      <c r="JE65" s="227" t="n"/>
      <c r="JF65" s="227" t="n"/>
      <c r="JG65" s="227" t="n"/>
      <c r="JH65" s="227" t="n"/>
      <c r="JI65" s="227" t="n"/>
      <c r="JJ65" s="227" t="n"/>
      <c r="JK65" s="227" t="n"/>
      <c r="JL65" s="227" t="n"/>
      <c r="JM65" s="227" t="n"/>
      <c r="JN65" s="227" t="n"/>
      <c r="JO65" s="227" t="n"/>
      <c r="JP65" s="227" t="n"/>
      <c r="JQ65" s="227" t="n"/>
      <c r="JR65" s="227" t="n"/>
      <c r="JS65" s="227" t="n"/>
      <c r="JT65" s="227" t="n"/>
      <c r="JU65" s="227" t="n"/>
      <c r="JV65" s="227" t="n"/>
      <c r="JW65" s="227" t="n"/>
      <c r="JX65" s="227" t="n"/>
      <c r="JY65" s="227" t="n"/>
      <c r="JZ65" s="227" t="n"/>
      <c r="KA65" s="227" t="n"/>
      <c r="KB65" s="227" t="n"/>
      <c r="KC65" s="227" t="n"/>
      <c r="KD65" s="227" t="n"/>
      <c r="KE65" s="227" t="n"/>
      <c r="KF65" s="227" t="n"/>
      <c r="KG65" s="227" t="n"/>
      <c r="KH65" s="227" t="n"/>
      <c r="KI65" s="227" t="n"/>
      <c r="KJ65" s="227" t="n"/>
      <c r="KK65" s="227" t="n"/>
      <c r="KL65" s="227" t="n"/>
      <c r="KM65" s="227" t="n"/>
      <c r="KN65" s="227" t="n"/>
      <c r="KO65" s="227" t="n"/>
      <c r="KP65" s="227" t="n"/>
      <c r="KQ65" s="227" t="n"/>
      <c r="KR65" s="227" t="n"/>
      <c r="KS65" s="227" t="n"/>
      <c r="KT65" s="227" t="n"/>
      <c r="KU65" s="227" t="n"/>
      <c r="KV65" s="227" t="n"/>
      <c r="KW65" s="227" t="n"/>
      <c r="KX65" s="227" t="n"/>
      <c r="KY65" s="227" t="n"/>
      <c r="KZ65" s="227" t="n"/>
      <c r="LA65" s="227" t="n"/>
      <c r="LB65" s="227" t="n"/>
      <c r="LC65" s="227" t="n"/>
      <c r="LD65" s="227" t="n"/>
      <c r="LE65" s="227" t="n"/>
      <c r="LF65" s="227" t="n"/>
      <c r="LG65" s="227" t="n"/>
      <c r="LH65" s="227" t="n"/>
      <c r="LI65" s="227" t="n"/>
      <c r="LJ65" s="227" t="n"/>
      <c r="LK65" s="227" t="n"/>
      <c r="LL65" s="227" t="n"/>
      <c r="LM65" s="227" t="n"/>
      <c r="LN65" s="227" t="n"/>
      <c r="LO65" s="227" t="n"/>
      <c r="LP65" s="227" t="n"/>
      <c r="LQ65" s="227" t="n"/>
      <c r="LR65" s="227" t="n"/>
      <c r="LS65" s="227" t="n"/>
      <c r="LT65" s="227" t="n"/>
      <c r="LU65" s="227" t="n"/>
      <c r="LV65" s="227" t="n"/>
      <c r="LW65" s="227" t="n"/>
      <c r="LX65" s="227" t="n"/>
      <c r="LY65" s="227" t="n"/>
      <c r="LZ65" s="227" t="n"/>
      <c r="MA65" s="227" t="n"/>
      <c r="MB65" s="227" t="n"/>
      <c r="MC65" s="227" t="n"/>
      <c r="MD65" s="227" t="n"/>
      <c r="ME65" s="227" t="n"/>
      <c r="MF65" s="227" t="n"/>
      <c r="MG65" s="227" t="n"/>
      <c r="MH65" s="227" t="n"/>
      <c r="MI65" s="227" t="n"/>
      <c r="MJ65" s="227" t="n"/>
      <c r="MK65" s="227" t="n"/>
      <c r="ML65" s="227" t="n"/>
      <c r="MM65" s="227" t="n"/>
      <c r="MN65" s="227" t="n"/>
      <c r="MO65" s="227" t="n"/>
      <c r="MP65" s="227" t="n"/>
      <c r="MQ65" s="227" t="n"/>
      <c r="MR65" s="227" t="n"/>
      <c r="MS65" s="227" t="n"/>
      <c r="MT65" s="227" t="n"/>
      <c r="MU65" s="227" t="n"/>
      <c r="MV65" s="227" t="n"/>
      <c r="MW65" s="227" t="n"/>
      <c r="MX65" s="227" t="n"/>
      <c r="MY65" s="227" t="n"/>
      <c r="MZ65" s="227" t="n"/>
      <c r="NA65" s="227" t="n"/>
      <c r="NB65" s="227" t="n"/>
      <c r="NC65" s="228">
        <f>SUM(B65:NB65)</f>
        <v/>
      </c>
    </row>
    <row r="66" ht="14.25" customHeight="1" s="166">
      <c r="A66" s="214" t="inlineStr">
        <is>
          <t>BTU-60-01-02</t>
        </is>
      </c>
      <c r="B66" s="227" t="n"/>
      <c r="C66" s="227" t="n"/>
      <c r="D66" s="227" t="n"/>
      <c r="E66" s="227" t="n"/>
      <c r="F66" s="227" t="n"/>
      <c r="G66" s="227" t="n"/>
      <c r="H66" s="227" t="n"/>
      <c r="I66" s="227" t="n"/>
      <c r="J66" s="227" t="n"/>
      <c r="K66" s="227" t="n"/>
      <c r="L66" s="227" t="n"/>
      <c r="M66" s="227" t="n"/>
      <c r="N66" s="227" t="n"/>
      <c r="O66" s="227" t="n"/>
      <c r="P66" s="227" t="n"/>
      <c r="Q66" s="227" t="n"/>
      <c r="R66" s="227" t="n"/>
      <c r="S66" s="227" t="n"/>
      <c r="T66" s="227" t="n"/>
      <c r="U66" s="227" t="n"/>
      <c r="V66" s="227" t="n"/>
      <c r="W66" s="227" t="n"/>
      <c r="X66" s="227" t="n"/>
      <c r="Y66" s="227" t="n"/>
      <c r="Z66" s="227" t="n"/>
      <c r="AA66" s="227" t="n"/>
      <c r="AB66" s="227" t="n"/>
      <c r="AC66" s="227" t="n"/>
      <c r="AD66" s="227" t="n"/>
      <c r="AE66" s="227" t="n"/>
      <c r="AF66" s="227" t="n"/>
      <c r="AG66" s="227" t="n"/>
      <c r="AH66" s="227" t="n"/>
      <c r="AI66" s="227" t="n"/>
      <c r="AJ66" s="227" t="n"/>
      <c r="AK66" s="227" t="n"/>
      <c r="AL66" s="227" t="n"/>
      <c r="AM66" s="227" t="n"/>
      <c r="AN66" s="227" t="n"/>
      <c r="AO66" s="227" t="n"/>
      <c r="AP66" s="227" t="n"/>
      <c r="AQ66" s="227" t="n"/>
      <c r="AR66" s="227" t="n"/>
      <c r="AS66" s="227" t="n"/>
      <c r="AT66" s="227" t="n"/>
      <c r="AU66" s="227" t="n"/>
      <c r="AV66" s="227" t="n"/>
      <c r="AW66" s="227" t="n"/>
      <c r="AX66" s="227" t="n"/>
      <c r="AY66" s="227" t="n"/>
      <c r="AZ66" s="227" t="n"/>
      <c r="BA66" s="227" t="n"/>
      <c r="BB66" s="227" t="n"/>
      <c r="BC66" s="227" t="n"/>
      <c r="BD66" s="227" t="n"/>
      <c r="BE66" s="227" t="n"/>
      <c r="BF66" s="227" t="n"/>
      <c r="BG66" s="227" t="n"/>
      <c r="BH66" s="227" t="n"/>
      <c r="BI66" s="227" t="n"/>
      <c r="BJ66" s="227" t="n"/>
      <c r="BK66" s="227" t="n"/>
      <c r="BL66" s="227" t="n"/>
      <c r="BM66" s="227" t="n"/>
      <c r="BN66" s="227" t="n"/>
      <c r="BO66" s="227" t="n"/>
      <c r="BP66" s="227" t="n"/>
      <c r="BQ66" s="227" t="n"/>
      <c r="BR66" s="227" t="n"/>
      <c r="BS66" s="227" t="n"/>
      <c r="BT66" s="227" t="n"/>
      <c r="BU66" s="227" t="n"/>
      <c r="BV66" s="227" t="n"/>
      <c r="BW66" s="227" t="n"/>
      <c r="BX66" s="227" t="n"/>
      <c r="BY66" s="227" t="n"/>
      <c r="BZ66" s="227" t="n"/>
      <c r="CA66" s="227" t="n"/>
      <c r="CB66" s="227" t="n"/>
      <c r="CC66" s="227" t="n"/>
      <c r="CD66" s="227" t="n"/>
      <c r="CE66" s="227" t="n"/>
      <c r="CF66" s="227" t="n"/>
      <c r="CG66" s="227" t="n"/>
      <c r="CH66" s="227" t="n"/>
      <c r="CI66" s="227" t="n"/>
      <c r="CJ66" s="227" t="n"/>
      <c r="CK66" s="227" t="n"/>
      <c r="CL66" s="227" t="n"/>
      <c r="CM66" s="227" t="n"/>
      <c r="CN66" s="227" t="n"/>
      <c r="CO66" s="227" t="n"/>
      <c r="CP66" s="227" t="n"/>
      <c r="CQ66" s="227" t="n"/>
      <c r="CR66" s="227" t="n"/>
      <c r="CS66" s="227" t="n"/>
      <c r="CT66" s="227" t="n"/>
      <c r="CU66" s="227" t="n"/>
      <c r="CV66" s="227" t="n"/>
      <c r="CW66" s="227" t="n"/>
      <c r="CX66" s="227" t="n"/>
      <c r="CY66" s="227" t="n"/>
      <c r="CZ66" s="227" t="n"/>
      <c r="DA66" s="227" t="n"/>
      <c r="DB66" s="227" t="n"/>
      <c r="DC66" s="227" t="n"/>
      <c r="DD66" s="227" t="n"/>
      <c r="DE66" s="227" t="n"/>
      <c r="DF66" s="227" t="n"/>
      <c r="DG66" s="227" t="n"/>
      <c r="DH66" s="227" t="n"/>
      <c r="DI66" s="227" t="n"/>
      <c r="DJ66" s="227" t="n"/>
      <c r="DK66" s="227" t="n"/>
      <c r="DL66" s="227" t="n"/>
      <c r="DM66" s="227" t="n"/>
      <c r="DN66" s="227" t="n"/>
      <c r="DO66" s="227" t="n"/>
      <c r="DP66" s="227" t="n"/>
      <c r="DQ66" s="227" t="n"/>
      <c r="DR66" s="227" t="n"/>
      <c r="DS66" s="227" t="n"/>
      <c r="DT66" s="227" t="n"/>
      <c r="DU66" s="227" t="n"/>
      <c r="DV66" s="227" t="n"/>
      <c r="DW66" s="227" t="n"/>
      <c r="DX66" s="227" t="n"/>
      <c r="DY66" s="227" t="n"/>
      <c r="DZ66" s="227" t="n"/>
      <c r="EA66" s="227" t="n"/>
      <c r="EB66" s="227" t="n"/>
      <c r="EC66" s="227" t="n"/>
      <c r="ED66" s="227" t="n"/>
      <c r="EE66" s="227" t="n"/>
      <c r="EF66" s="227" t="n"/>
      <c r="EG66" s="227" t="n"/>
      <c r="EH66" s="227" t="n"/>
      <c r="EI66" s="227" t="n"/>
      <c r="EJ66" s="227" t="n"/>
      <c r="EK66" s="227" t="n"/>
      <c r="EL66" s="227" t="n"/>
      <c r="EM66" s="227" t="n"/>
      <c r="EN66" s="227" t="n"/>
      <c r="EO66" s="227" t="n"/>
      <c r="EP66" s="227" t="n"/>
      <c r="EQ66" s="227" t="n"/>
      <c r="ER66" s="227" t="n"/>
      <c r="ES66" s="227" t="n"/>
      <c r="ET66" s="227" t="n"/>
      <c r="EU66" s="227" t="n"/>
      <c r="EV66" s="227" t="n"/>
      <c r="EW66" s="227" t="n"/>
      <c r="EX66" s="227" t="n"/>
      <c r="EY66" s="227" t="n"/>
      <c r="EZ66" s="227" t="n"/>
      <c r="FA66" s="227" t="n"/>
      <c r="FB66" s="227" t="n"/>
      <c r="FC66" s="227" t="n"/>
      <c r="FD66" s="227" t="n"/>
      <c r="FE66" s="227" t="n"/>
      <c r="FF66" s="227" t="n"/>
      <c r="FG66" s="227" t="n"/>
      <c r="FH66" s="227" t="n"/>
      <c r="FI66" s="227" t="n"/>
      <c r="FJ66" s="227" t="n"/>
      <c r="FK66" s="227" t="n"/>
      <c r="FL66" s="227" t="n"/>
      <c r="FM66" s="227" t="n"/>
      <c r="FN66" s="227" t="n"/>
      <c r="FO66" s="227" t="n"/>
      <c r="FP66" s="227" t="n"/>
      <c r="FQ66" s="227" t="n"/>
      <c r="FR66" s="227" t="n"/>
      <c r="FS66" s="227" t="n"/>
      <c r="FT66" s="227" t="n"/>
      <c r="FU66" s="227" t="n"/>
      <c r="FV66" s="227" t="n"/>
      <c r="FW66" s="227" t="n"/>
      <c r="FX66" s="227" t="n"/>
      <c r="FY66" s="227" t="n"/>
      <c r="FZ66" s="227" t="n"/>
      <c r="GA66" s="227" t="n"/>
      <c r="GB66" s="227" t="n"/>
      <c r="GC66" s="227" t="n"/>
      <c r="GD66" s="227" t="n"/>
      <c r="GE66" s="227" t="n"/>
      <c r="GF66" s="227" t="n"/>
      <c r="GG66" s="227" t="n"/>
      <c r="GH66" s="227" t="n"/>
      <c r="GI66" s="227" t="n"/>
      <c r="GJ66" s="227" t="n"/>
      <c r="GK66" s="227" t="n"/>
      <c r="GL66" s="227" t="n"/>
      <c r="GM66" s="227" t="n"/>
      <c r="GN66" s="227" t="n"/>
      <c r="GO66" s="227" t="n"/>
      <c r="GP66" s="227" t="n"/>
      <c r="GQ66" s="227" t="n"/>
      <c r="GR66" s="227" t="n"/>
      <c r="GS66" s="227" t="n"/>
      <c r="GT66" s="227" t="n"/>
      <c r="GU66" s="227" t="n"/>
      <c r="GV66" s="227" t="n"/>
      <c r="GW66" s="227" t="n"/>
      <c r="GX66" s="227" t="n"/>
      <c r="GY66" s="227" t="n"/>
      <c r="GZ66" s="227" t="n"/>
      <c r="HA66" s="227" t="n"/>
      <c r="HB66" s="227" t="n"/>
      <c r="HC66" s="227" t="n"/>
      <c r="HD66" s="227" t="n"/>
      <c r="HE66" s="227" t="n"/>
      <c r="HF66" s="227" t="n"/>
      <c r="HG66" s="227" t="n"/>
      <c r="HH66" s="227" t="n"/>
      <c r="HI66" s="227" t="n"/>
      <c r="HJ66" s="227" t="n"/>
      <c r="HK66" s="227" t="n"/>
      <c r="HL66" s="227" t="n"/>
      <c r="HM66" s="227" t="n"/>
      <c r="HN66" s="227" t="n"/>
      <c r="HO66" s="227" t="n"/>
      <c r="HP66" s="227" t="n"/>
      <c r="HQ66" s="227" t="n"/>
      <c r="HR66" s="227" t="n"/>
      <c r="HS66" s="227" t="n"/>
      <c r="HT66" s="227" t="n"/>
      <c r="HU66" s="227" t="n"/>
      <c r="HV66" s="227" t="n"/>
      <c r="HW66" s="227" t="n"/>
      <c r="HX66" s="227" t="n"/>
      <c r="HY66" s="227" t="n"/>
      <c r="HZ66" s="227" t="n"/>
      <c r="IA66" s="227" t="n"/>
      <c r="IB66" s="227" t="n"/>
      <c r="IC66" s="227" t="n"/>
      <c r="ID66" s="227" t="n"/>
      <c r="IE66" s="227" t="n"/>
      <c r="IF66" s="227" t="n"/>
      <c r="IG66" s="227" t="n"/>
      <c r="IH66" s="227" t="n"/>
      <c r="II66" s="227" t="n"/>
      <c r="IJ66" s="227" t="n"/>
      <c r="IK66" s="227" t="n"/>
      <c r="IL66" s="227" t="n"/>
      <c r="IM66" s="227" t="n"/>
      <c r="IN66" s="227" t="n"/>
      <c r="IO66" s="227" t="n"/>
      <c r="IP66" s="227" t="n"/>
      <c r="IQ66" s="227" t="n"/>
      <c r="IR66" s="227" t="n"/>
      <c r="IS66" s="227" t="n"/>
      <c r="IT66" s="227" t="n"/>
      <c r="IU66" s="227" t="n"/>
      <c r="IV66" s="227" t="n"/>
      <c r="IW66" s="227" t="n"/>
      <c r="IX66" s="227" t="n"/>
      <c r="IY66" s="227" t="n"/>
      <c r="IZ66" s="227" t="n"/>
      <c r="JA66" s="227" t="n"/>
      <c r="JB66" s="227" t="n"/>
      <c r="JC66" s="227" t="n"/>
      <c r="JD66" s="227" t="n"/>
      <c r="JE66" s="227" t="n"/>
      <c r="JF66" s="227" t="n"/>
      <c r="JG66" s="227" t="n"/>
      <c r="JH66" s="227" t="n"/>
      <c r="JI66" s="227" t="n"/>
      <c r="JJ66" s="227" t="n"/>
      <c r="JK66" s="227" t="n"/>
      <c r="JL66" s="227" t="n"/>
      <c r="JM66" s="227" t="n"/>
      <c r="JN66" s="227" t="n"/>
      <c r="JO66" s="227" t="n"/>
      <c r="JP66" s="227" t="n"/>
      <c r="JQ66" s="227" t="n"/>
      <c r="JR66" s="227" t="n"/>
      <c r="JS66" s="227" t="n"/>
      <c r="JT66" s="227" t="n"/>
      <c r="JU66" s="227" t="n"/>
      <c r="JV66" s="227" t="n"/>
      <c r="JW66" s="227" t="n"/>
      <c r="JX66" s="227" t="n"/>
      <c r="JY66" s="227" t="n"/>
      <c r="JZ66" s="227" t="n"/>
      <c r="KA66" s="227" t="n"/>
      <c r="KB66" s="227" t="n"/>
      <c r="KC66" s="227" t="n"/>
      <c r="KD66" s="227" t="n"/>
      <c r="KE66" s="227" t="n"/>
      <c r="KF66" s="227" t="n"/>
      <c r="KG66" s="227" t="n"/>
      <c r="KH66" s="227" t="n"/>
      <c r="KI66" s="227" t="n"/>
      <c r="KJ66" s="227" t="n"/>
      <c r="KK66" s="227" t="n"/>
      <c r="KL66" s="227" t="n"/>
      <c r="KM66" s="227" t="n"/>
      <c r="KN66" s="227" t="n"/>
      <c r="KO66" s="227" t="n"/>
      <c r="KP66" s="227" t="n"/>
      <c r="KQ66" s="227" t="n"/>
      <c r="KR66" s="227" t="n"/>
      <c r="KS66" s="227" t="n"/>
      <c r="KT66" s="227" t="n"/>
      <c r="KU66" s="227" t="n"/>
      <c r="KV66" s="227" t="n"/>
      <c r="KW66" s="227" t="n"/>
      <c r="KX66" s="227" t="n"/>
      <c r="KY66" s="227" t="n"/>
      <c r="KZ66" s="227" t="n"/>
      <c r="LA66" s="227" t="n"/>
      <c r="LB66" s="227" t="n"/>
      <c r="LC66" s="227" t="n"/>
      <c r="LD66" s="227" t="n"/>
      <c r="LE66" s="227" t="n"/>
      <c r="LF66" s="227" t="n"/>
      <c r="LG66" s="227" t="n"/>
      <c r="LH66" s="227" t="n"/>
      <c r="LI66" s="227" t="n"/>
      <c r="LJ66" s="227" t="n"/>
      <c r="LK66" s="227" t="n"/>
      <c r="LL66" s="227" t="n"/>
      <c r="LM66" s="227" t="n"/>
      <c r="LN66" s="227" t="n"/>
      <c r="LO66" s="227" t="n"/>
      <c r="LP66" s="227" t="n"/>
      <c r="LQ66" s="227" t="n"/>
      <c r="LR66" s="227" t="n"/>
      <c r="LS66" s="227" t="n"/>
      <c r="LT66" s="227" t="n"/>
      <c r="LU66" s="227" t="n"/>
      <c r="LV66" s="227" t="n"/>
      <c r="LW66" s="227" t="n"/>
      <c r="LX66" s="227" t="n"/>
      <c r="LY66" s="227" t="n"/>
      <c r="LZ66" s="227" t="n"/>
      <c r="MA66" s="227" t="n"/>
      <c r="MB66" s="227" t="n"/>
      <c r="MC66" s="227" t="n"/>
      <c r="MD66" s="227" t="n"/>
      <c r="ME66" s="227" t="n"/>
      <c r="MF66" s="227" t="n"/>
      <c r="MG66" s="227" t="n"/>
      <c r="MH66" s="227" t="n"/>
      <c r="MI66" s="227" t="n"/>
      <c r="MJ66" s="227" t="n"/>
      <c r="MK66" s="227" t="n"/>
      <c r="ML66" s="227" t="n"/>
      <c r="MM66" s="227" t="n"/>
      <c r="MN66" s="227" t="n"/>
      <c r="MO66" s="227" t="n"/>
      <c r="MP66" s="227" t="n"/>
      <c r="MQ66" s="227" t="n"/>
      <c r="MR66" s="227" t="n"/>
      <c r="MS66" s="227" t="n"/>
      <c r="MT66" s="227" t="n"/>
      <c r="MU66" s="227" t="n"/>
      <c r="MV66" s="227" t="n"/>
      <c r="MW66" s="227" t="n"/>
      <c r="MX66" s="227" t="n"/>
      <c r="MY66" s="227" t="n"/>
      <c r="MZ66" s="227" t="n"/>
      <c r="NA66" s="227" t="n"/>
      <c r="NB66" s="227" t="n"/>
      <c r="NC66" s="228">
        <f>SUM(B66:NB66)</f>
        <v/>
      </c>
    </row>
    <row r="67" ht="14.25" customHeight="1" s="166">
      <c r="A67" s="214" t="inlineStr">
        <is>
          <t>BTU-60-RDE-02-02</t>
        </is>
      </c>
      <c r="B67" s="227" t="n"/>
      <c r="C67" s="227" t="n"/>
      <c r="D67" s="227" t="n"/>
      <c r="E67" s="227" t="n"/>
      <c r="F67" s="227" t="n"/>
      <c r="G67" s="227" t="n"/>
      <c r="H67" s="227" t="n"/>
      <c r="I67" s="227" t="n"/>
      <c r="J67" s="227" t="n"/>
      <c r="K67" s="227" t="n"/>
      <c r="L67" s="227" t="n"/>
      <c r="M67" s="227" t="n"/>
      <c r="N67" s="227" t="n"/>
      <c r="O67" s="227" t="n"/>
      <c r="P67" s="227" t="n"/>
      <c r="Q67" s="227" t="n"/>
      <c r="R67" s="227" t="n"/>
      <c r="S67" s="227" t="n"/>
      <c r="T67" s="227" t="n"/>
      <c r="U67" s="227" t="n"/>
      <c r="V67" s="227" t="n"/>
      <c r="W67" s="227" t="n"/>
      <c r="X67" s="227" t="n"/>
      <c r="Y67" s="227" t="n"/>
      <c r="Z67" s="227" t="n"/>
      <c r="AA67" s="227" t="n"/>
      <c r="AB67" s="227" t="n"/>
      <c r="AC67" s="227" t="n"/>
      <c r="AD67" s="227" t="n"/>
      <c r="AE67" s="227" t="n"/>
      <c r="AF67" s="227" t="n"/>
      <c r="AG67" s="227" t="n"/>
      <c r="AH67" s="227" t="n"/>
      <c r="AI67" s="227" t="n"/>
      <c r="AJ67" s="227" t="n"/>
      <c r="AK67" s="227" t="n"/>
      <c r="AL67" s="227" t="n"/>
      <c r="AM67" s="227" t="n"/>
      <c r="AN67" s="227" t="n"/>
      <c r="AO67" s="227" t="n"/>
      <c r="AP67" s="227" t="n"/>
      <c r="AQ67" s="227" t="n"/>
      <c r="AR67" s="227" t="n"/>
      <c r="AS67" s="227" t="n"/>
      <c r="AT67" s="227" t="n"/>
      <c r="AU67" s="227" t="n"/>
      <c r="AV67" s="227" t="n"/>
      <c r="AW67" s="227" t="n"/>
      <c r="AX67" s="227" t="n"/>
      <c r="AY67" s="227" t="n"/>
      <c r="AZ67" s="227" t="n"/>
      <c r="BA67" s="227" t="n"/>
      <c r="BB67" s="227" t="n"/>
      <c r="BC67" s="227" t="n"/>
      <c r="BD67" s="227" t="n"/>
      <c r="BE67" s="227" t="n"/>
      <c r="BF67" s="227" t="n"/>
      <c r="BG67" s="227" t="n"/>
      <c r="BH67" s="227" t="n"/>
      <c r="BI67" s="227" t="n"/>
      <c r="BJ67" s="227" t="n"/>
      <c r="BK67" s="227" t="n"/>
      <c r="BL67" s="227" t="n"/>
      <c r="BM67" s="227" t="n"/>
      <c r="BN67" s="227" t="n"/>
      <c r="BO67" s="227" t="n"/>
      <c r="BP67" s="227" t="n"/>
      <c r="BQ67" s="227" t="n"/>
      <c r="BR67" s="227" t="n"/>
      <c r="BS67" s="227" t="n"/>
      <c r="BT67" s="227" t="n"/>
      <c r="BU67" s="227" t="n"/>
      <c r="BV67" s="227" t="n"/>
      <c r="BW67" s="227" t="n"/>
      <c r="BX67" s="227" t="n"/>
      <c r="BY67" s="227" t="n"/>
      <c r="BZ67" s="227" t="n"/>
      <c r="CA67" s="227" t="n"/>
      <c r="CB67" s="227" t="n"/>
      <c r="CC67" s="227" t="n"/>
      <c r="CD67" s="227" t="n"/>
      <c r="CE67" s="227" t="n"/>
      <c r="CF67" s="227" t="n"/>
      <c r="CG67" s="227" t="n"/>
      <c r="CH67" s="227" t="n"/>
      <c r="CI67" s="227" t="n"/>
      <c r="CJ67" s="227" t="n"/>
      <c r="CK67" s="227" t="n"/>
      <c r="CL67" s="227" t="n"/>
      <c r="CM67" s="227" t="n"/>
      <c r="CN67" s="227" t="n"/>
      <c r="CO67" s="227" t="n"/>
      <c r="CP67" s="227" t="n"/>
      <c r="CQ67" s="227" t="n"/>
      <c r="CR67" s="227" t="n"/>
      <c r="CS67" s="227" t="n"/>
      <c r="CT67" s="227" t="n"/>
      <c r="CU67" s="227" t="n"/>
      <c r="CV67" s="227" t="n"/>
      <c r="CW67" s="227" t="n"/>
      <c r="CX67" s="227" t="n"/>
      <c r="CY67" s="227" t="n"/>
      <c r="CZ67" s="227" t="n"/>
      <c r="DA67" s="227" t="n"/>
      <c r="DB67" s="227" t="n"/>
      <c r="DC67" s="227" t="n"/>
      <c r="DD67" s="227" t="n"/>
      <c r="DE67" s="227" t="n"/>
      <c r="DF67" s="227" t="n"/>
      <c r="DG67" s="227" t="n"/>
      <c r="DH67" s="227" t="n"/>
      <c r="DI67" s="227" t="n"/>
      <c r="DJ67" s="227" t="n"/>
      <c r="DK67" s="227" t="n"/>
      <c r="DL67" s="227" t="n"/>
      <c r="DM67" s="227" t="n"/>
      <c r="DN67" s="227" t="n"/>
      <c r="DO67" s="227" t="n"/>
      <c r="DP67" s="227" t="n"/>
      <c r="DQ67" s="227" t="n"/>
      <c r="DR67" s="227" t="n"/>
      <c r="DS67" s="227" t="n"/>
      <c r="DT67" s="227" t="n"/>
      <c r="DU67" s="227" t="n"/>
      <c r="DV67" s="227" t="n"/>
      <c r="DW67" s="227" t="n"/>
      <c r="DX67" s="227" t="n"/>
      <c r="DY67" s="227" t="n"/>
      <c r="DZ67" s="227" t="n"/>
      <c r="EA67" s="227" t="n"/>
      <c r="EB67" s="227" t="n"/>
      <c r="EC67" s="227" t="n"/>
      <c r="ED67" s="227" t="n"/>
      <c r="EE67" s="227" t="n"/>
      <c r="EF67" s="227" t="n"/>
      <c r="EG67" s="227" t="n"/>
      <c r="EH67" s="227" t="n"/>
      <c r="EI67" s="227" t="n"/>
      <c r="EJ67" s="227" t="n"/>
      <c r="EK67" s="227" t="n"/>
      <c r="EL67" s="227" t="n"/>
      <c r="EM67" s="227" t="n"/>
      <c r="EN67" s="227" t="n"/>
      <c r="EO67" s="227" t="n"/>
      <c r="EP67" s="227" t="n"/>
      <c r="EQ67" s="227" t="n"/>
      <c r="ER67" s="227" t="n"/>
      <c r="ES67" s="227" t="n"/>
      <c r="ET67" s="227" t="n"/>
      <c r="EU67" s="227" t="n"/>
      <c r="EV67" s="227" t="n"/>
      <c r="EW67" s="227" t="n"/>
      <c r="EX67" s="227" t="n"/>
      <c r="EY67" s="227" t="n"/>
      <c r="EZ67" s="227" t="n"/>
      <c r="FA67" s="227" t="n"/>
      <c r="FB67" s="227" t="n"/>
      <c r="FC67" s="227" t="n"/>
      <c r="FD67" s="227" t="n"/>
      <c r="FE67" s="227" t="n"/>
      <c r="FF67" s="227" t="n"/>
      <c r="FG67" s="227" t="n"/>
      <c r="FH67" s="227" t="n"/>
      <c r="FI67" s="227" t="n"/>
      <c r="FJ67" s="227" t="n"/>
      <c r="FK67" s="227" t="n"/>
      <c r="FL67" s="227" t="n"/>
      <c r="FM67" s="227" t="n"/>
      <c r="FN67" s="227" t="n"/>
      <c r="FO67" s="227" t="n"/>
      <c r="FP67" s="227" t="n"/>
      <c r="FQ67" s="227" t="n"/>
      <c r="FR67" s="227" t="n"/>
      <c r="FS67" s="227" t="n"/>
      <c r="FT67" s="227" t="n"/>
      <c r="FU67" s="227" t="n"/>
      <c r="FV67" s="227" t="n"/>
      <c r="FW67" s="227" t="n"/>
      <c r="FX67" s="227" t="n"/>
      <c r="FY67" s="227" t="n"/>
      <c r="FZ67" s="227" t="n"/>
      <c r="GA67" s="227" t="n"/>
      <c r="GB67" s="227" t="n"/>
      <c r="GC67" s="227" t="n"/>
      <c r="GD67" s="227" t="n"/>
      <c r="GE67" s="227" t="n"/>
      <c r="GF67" s="227" t="n"/>
      <c r="GG67" s="227" t="n"/>
      <c r="GH67" s="227" t="n"/>
      <c r="GI67" s="227" t="n"/>
      <c r="GJ67" s="227" t="n"/>
      <c r="GK67" s="227" t="n"/>
      <c r="GL67" s="227" t="n"/>
      <c r="GM67" s="227" t="n"/>
      <c r="GN67" s="227" t="n"/>
      <c r="GO67" s="227" t="n"/>
      <c r="GP67" s="227" t="n"/>
      <c r="GQ67" s="227" t="n"/>
      <c r="GR67" s="227" t="n"/>
      <c r="GS67" s="227" t="n"/>
      <c r="GT67" s="227" t="n"/>
      <c r="GU67" s="227" t="n"/>
      <c r="GV67" s="227" t="n"/>
      <c r="GW67" s="227" t="n"/>
      <c r="GX67" s="227" t="n"/>
      <c r="GY67" s="227" t="n"/>
      <c r="GZ67" s="227" t="n"/>
      <c r="HA67" s="227" t="n"/>
      <c r="HB67" s="227" t="n"/>
      <c r="HC67" s="227" t="n"/>
      <c r="HD67" s="227" t="n"/>
      <c r="HE67" s="227" t="n"/>
      <c r="HF67" s="227" t="n"/>
      <c r="HG67" s="227" t="n"/>
      <c r="HH67" s="227" t="n"/>
      <c r="HI67" s="227" t="n"/>
      <c r="HJ67" s="227" t="n"/>
      <c r="HK67" s="227" t="n"/>
      <c r="HL67" s="227" t="n"/>
      <c r="HM67" s="227" t="n"/>
      <c r="HN67" s="227" t="n"/>
      <c r="HO67" s="227" t="n"/>
      <c r="HP67" s="227" t="n"/>
      <c r="HQ67" s="227" t="n"/>
      <c r="HR67" s="227" t="n"/>
      <c r="HS67" s="227" t="n"/>
      <c r="HT67" s="227" t="n"/>
      <c r="HU67" s="227" t="n"/>
      <c r="HV67" s="227" t="n"/>
      <c r="HW67" s="227" t="n"/>
      <c r="HX67" s="227" t="n"/>
      <c r="HY67" s="227" t="n"/>
      <c r="HZ67" s="227" t="n"/>
      <c r="IA67" s="227" t="n"/>
      <c r="IB67" s="227" t="n"/>
      <c r="IC67" s="227" t="n"/>
      <c r="ID67" s="227" t="n"/>
      <c r="IE67" s="227" t="n"/>
      <c r="IF67" s="227" t="n"/>
      <c r="IG67" s="227" t="n"/>
      <c r="IH67" s="227" t="n"/>
      <c r="II67" s="227" t="n"/>
      <c r="IJ67" s="227" t="n"/>
      <c r="IK67" s="227" t="n"/>
      <c r="IL67" s="227" t="n"/>
      <c r="IM67" s="227" t="n"/>
      <c r="IN67" s="227" t="n"/>
      <c r="IO67" s="227" t="n"/>
      <c r="IP67" s="227" t="n"/>
      <c r="IQ67" s="227" t="n"/>
      <c r="IR67" s="227" t="n"/>
      <c r="IS67" s="227" t="n"/>
      <c r="IT67" s="227" t="n"/>
      <c r="IU67" s="227" t="n"/>
      <c r="IV67" s="227" t="n"/>
      <c r="IW67" s="227" t="n"/>
      <c r="IX67" s="227" t="n"/>
      <c r="IY67" s="227" t="n"/>
      <c r="IZ67" s="227" t="n"/>
      <c r="JA67" s="227" t="n"/>
      <c r="JB67" s="227" t="n"/>
      <c r="JC67" s="227" t="n"/>
      <c r="JD67" s="227" t="n"/>
      <c r="JE67" s="227" t="n"/>
      <c r="JF67" s="227" t="n"/>
      <c r="JG67" s="227" t="n"/>
      <c r="JH67" s="227" t="n"/>
      <c r="JI67" s="227" t="n"/>
      <c r="JJ67" s="227" t="n"/>
      <c r="JK67" s="227" t="n"/>
      <c r="JL67" s="227" t="n"/>
      <c r="JM67" s="227" t="n"/>
      <c r="JN67" s="227" t="n"/>
      <c r="JO67" s="227" t="n"/>
      <c r="JP67" s="227" t="n"/>
      <c r="JQ67" s="227" t="n"/>
      <c r="JR67" s="227" t="n"/>
      <c r="JS67" s="227" t="n"/>
      <c r="JT67" s="227" t="n"/>
      <c r="JU67" s="227" t="n"/>
      <c r="JV67" s="227" t="n"/>
      <c r="JW67" s="227" t="n"/>
      <c r="JX67" s="227" t="n"/>
      <c r="JY67" s="227" t="n"/>
      <c r="JZ67" s="227" t="n"/>
      <c r="KA67" s="227" t="n"/>
      <c r="KB67" s="227" t="n"/>
      <c r="KC67" s="227" t="n"/>
      <c r="KD67" s="227" t="n"/>
      <c r="KE67" s="227" t="n"/>
      <c r="KF67" s="227" t="n"/>
      <c r="KG67" s="227" t="n"/>
      <c r="KH67" s="227" t="n"/>
      <c r="KI67" s="227" t="n"/>
      <c r="KJ67" s="227" t="n"/>
      <c r="KK67" s="227" t="n"/>
      <c r="KL67" s="227" t="n"/>
      <c r="KM67" s="227" t="n"/>
      <c r="KN67" s="227" t="n"/>
      <c r="KO67" s="227" t="n"/>
      <c r="KP67" s="227" t="n"/>
      <c r="KQ67" s="227" t="n"/>
      <c r="KR67" s="227" t="n"/>
      <c r="KS67" s="227" t="n"/>
      <c r="KT67" s="227" t="n"/>
      <c r="KU67" s="227" t="n"/>
      <c r="KV67" s="227" t="n"/>
      <c r="KW67" s="227" t="n"/>
      <c r="KX67" s="227" t="n"/>
      <c r="KY67" s="227" t="n"/>
      <c r="KZ67" s="227" t="n"/>
      <c r="LA67" s="227" t="n"/>
      <c r="LB67" s="227" t="n"/>
      <c r="LC67" s="227" t="n"/>
      <c r="LD67" s="227" t="n"/>
      <c r="LE67" s="227" t="n"/>
      <c r="LF67" s="227" t="n"/>
      <c r="LG67" s="227" t="n"/>
      <c r="LH67" s="227" t="n"/>
      <c r="LI67" s="227" t="n"/>
      <c r="LJ67" s="227" t="n"/>
      <c r="LK67" s="227" t="n"/>
      <c r="LL67" s="227" t="n"/>
      <c r="LM67" s="227" t="n"/>
      <c r="LN67" s="227" t="n"/>
      <c r="LO67" s="227" t="n"/>
      <c r="LP67" s="227" t="n"/>
      <c r="LQ67" s="227" t="n"/>
      <c r="LR67" s="227" t="n"/>
      <c r="LS67" s="227" t="n"/>
      <c r="LT67" s="227" t="n"/>
      <c r="LU67" s="227" t="n"/>
      <c r="LV67" s="227" t="n"/>
      <c r="LW67" s="227" t="n"/>
      <c r="LX67" s="227" t="n"/>
      <c r="LY67" s="227" t="n"/>
      <c r="LZ67" s="227" t="n"/>
      <c r="MA67" s="227" t="n"/>
      <c r="MB67" s="227" t="n"/>
      <c r="MC67" s="227" t="n"/>
      <c r="MD67" s="227" t="n"/>
      <c r="ME67" s="227" t="n"/>
      <c r="MF67" s="227" t="n"/>
      <c r="MG67" s="227" t="n"/>
      <c r="MH67" s="227" t="n"/>
      <c r="MI67" s="227" t="n"/>
      <c r="MJ67" s="227" t="n"/>
      <c r="MK67" s="227" t="n"/>
      <c r="ML67" s="227" t="n"/>
      <c r="MM67" s="227" t="n"/>
      <c r="MN67" s="227" t="n"/>
      <c r="MO67" s="227" t="n"/>
      <c r="MP67" s="227" t="n"/>
      <c r="MQ67" s="227" t="n"/>
      <c r="MR67" s="227" t="n"/>
      <c r="MS67" s="227" t="n"/>
      <c r="MT67" s="227" t="n"/>
      <c r="MU67" s="227" t="n"/>
      <c r="MV67" s="227" t="n"/>
      <c r="MW67" s="227" t="n"/>
      <c r="MX67" s="227" t="n"/>
      <c r="MY67" s="227" t="n"/>
      <c r="MZ67" s="227" t="n"/>
      <c r="NA67" s="227" t="n"/>
      <c r="NB67" s="227" t="n"/>
      <c r="NC67" s="228">
        <f>SUM(B67:NB67)</f>
        <v/>
      </c>
    </row>
    <row r="68" ht="14.25" customHeight="1" s="166">
      <c r="A68" s="214" t="inlineStr">
        <is>
          <t>BTU-60-RDE-02-03</t>
        </is>
      </c>
      <c r="B68" s="227" t="n"/>
      <c r="C68" s="227" t="n"/>
      <c r="D68" s="227" t="n"/>
      <c r="E68" s="227" t="n"/>
      <c r="F68" s="227" t="n"/>
      <c r="G68" s="227" t="n"/>
      <c r="H68" s="227" t="n"/>
      <c r="I68" s="227" t="n"/>
      <c r="J68" s="227" t="n"/>
      <c r="K68" s="227" t="n"/>
      <c r="L68" s="227" t="n"/>
      <c r="M68" s="227" t="n"/>
      <c r="N68" s="227" t="n"/>
      <c r="O68" s="227" t="n"/>
      <c r="P68" s="227" t="n"/>
      <c r="Q68" s="227" t="n"/>
      <c r="R68" s="227" t="n"/>
      <c r="S68" s="227" t="n"/>
      <c r="T68" s="227" t="n"/>
      <c r="U68" s="227" t="n"/>
      <c r="V68" s="227" t="n"/>
      <c r="W68" s="227" t="n"/>
      <c r="X68" s="227" t="n"/>
      <c r="Y68" s="227" t="n"/>
      <c r="Z68" s="227" t="n"/>
      <c r="AA68" s="227" t="n"/>
      <c r="AB68" s="227" t="n"/>
      <c r="AC68" s="227" t="n"/>
      <c r="AD68" s="227" t="n"/>
      <c r="AE68" s="227" t="n"/>
      <c r="AF68" s="227" t="n"/>
      <c r="AG68" s="227" t="n"/>
      <c r="AH68" s="227" t="n"/>
      <c r="AI68" s="227" t="n"/>
      <c r="AJ68" s="227" t="n"/>
      <c r="AK68" s="227" t="n"/>
      <c r="AL68" s="227" t="n"/>
      <c r="AM68" s="227" t="n"/>
      <c r="AN68" s="227" t="n"/>
      <c r="AO68" s="227" t="n"/>
      <c r="AP68" s="227" t="n"/>
      <c r="AQ68" s="227" t="n"/>
      <c r="AR68" s="227" t="n"/>
      <c r="AS68" s="227" t="n"/>
      <c r="AT68" s="227" t="n"/>
      <c r="AU68" s="227" t="n"/>
      <c r="AV68" s="227" t="n"/>
      <c r="AW68" s="227" t="n"/>
      <c r="AX68" s="227" t="n"/>
      <c r="AY68" s="227" t="n"/>
      <c r="AZ68" s="227" t="n"/>
      <c r="BA68" s="227" t="n"/>
      <c r="BB68" s="227" t="n"/>
      <c r="BC68" s="227" t="n"/>
      <c r="BD68" s="227" t="n"/>
      <c r="BE68" s="227" t="n"/>
      <c r="BF68" s="227" t="n"/>
      <c r="BG68" s="227" t="n"/>
      <c r="BH68" s="227" t="n"/>
      <c r="BI68" s="227" t="n"/>
      <c r="BJ68" s="227" t="n"/>
      <c r="BK68" s="227" t="n"/>
      <c r="BL68" s="227" t="n"/>
      <c r="BM68" s="227" t="n"/>
      <c r="BN68" s="227" t="n"/>
      <c r="BO68" s="227" t="n"/>
      <c r="BP68" s="227" t="n"/>
      <c r="BQ68" s="227" t="n"/>
      <c r="BR68" s="227" t="n"/>
      <c r="BS68" s="227" t="n"/>
      <c r="BT68" s="227" t="n"/>
      <c r="BU68" s="227" t="n"/>
      <c r="BV68" s="227" t="n"/>
      <c r="BW68" s="227" t="n"/>
      <c r="BX68" s="227" t="n"/>
      <c r="BY68" s="227" t="n"/>
      <c r="BZ68" s="227" t="n"/>
      <c r="CA68" s="227" t="n"/>
      <c r="CB68" s="227" t="n"/>
      <c r="CC68" s="227" t="n"/>
      <c r="CD68" s="227" t="n"/>
      <c r="CE68" s="227" t="n"/>
      <c r="CF68" s="227" t="n"/>
      <c r="CG68" s="227" t="n"/>
      <c r="CH68" s="227" t="n"/>
      <c r="CI68" s="227" t="n"/>
      <c r="CJ68" s="227" t="n"/>
      <c r="CK68" s="227" t="n"/>
      <c r="CL68" s="227" t="n"/>
      <c r="CM68" s="227" t="n"/>
      <c r="CN68" s="227" t="n"/>
      <c r="CO68" s="227" t="n"/>
      <c r="CP68" s="227" t="n"/>
      <c r="CQ68" s="227" t="n"/>
      <c r="CR68" s="227" t="n"/>
      <c r="CS68" s="227" t="n"/>
      <c r="CT68" s="227" t="n"/>
      <c r="CU68" s="227" t="n"/>
      <c r="CV68" s="227" t="n"/>
      <c r="CW68" s="227" t="n"/>
      <c r="CX68" s="227" t="n"/>
      <c r="CY68" s="227" t="n"/>
      <c r="CZ68" s="227" t="n"/>
      <c r="DA68" s="227" t="n"/>
      <c r="DB68" s="227" t="n"/>
      <c r="DC68" s="227" t="n"/>
      <c r="DD68" s="227" t="n"/>
      <c r="DE68" s="227" t="n"/>
      <c r="DF68" s="227" t="n"/>
      <c r="DG68" s="227" t="n"/>
      <c r="DH68" s="227" t="n"/>
      <c r="DI68" s="227" t="n"/>
      <c r="DJ68" s="227" t="n"/>
      <c r="DK68" s="227" t="n"/>
      <c r="DL68" s="227" t="n"/>
      <c r="DM68" s="227" t="n"/>
      <c r="DN68" s="227" t="n"/>
      <c r="DO68" s="227" t="n"/>
      <c r="DP68" s="227" t="n"/>
      <c r="DQ68" s="227" t="n"/>
      <c r="DR68" s="227" t="n"/>
      <c r="DS68" s="227" t="n"/>
      <c r="DT68" s="227" t="n"/>
      <c r="DU68" s="227" t="n"/>
      <c r="DV68" s="227" t="n"/>
      <c r="DW68" s="227" t="n"/>
      <c r="DX68" s="227" t="n"/>
      <c r="DY68" s="227" t="n"/>
      <c r="DZ68" s="227" t="n"/>
      <c r="EA68" s="227" t="n"/>
      <c r="EB68" s="227" t="n"/>
      <c r="EC68" s="227" t="n"/>
      <c r="ED68" s="227" t="n"/>
      <c r="EE68" s="227" t="n"/>
      <c r="EF68" s="227" t="n"/>
      <c r="EG68" s="227" t="n"/>
      <c r="EH68" s="227" t="n"/>
      <c r="EI68" s="227" t="n"/>
      <c r="EJ68" s="227" t="n"/>
      <c r="EK68" s="227" t="n"/>
      <c r="EL68" s="227" t="n"/>
      <c r="EM68" s="227" t="n"/>
      <c r="EN68" s="227" t="n"/>
      <c r="EO68" s="227" t="n"/>
      <c r="EP68" s="227" t="n"/>
      <c r="EQ68" s="227" t="n"/>
      <c r="ER68" s="227" t="n"/>
      <c r="ES68" s="227" t="n"/>
      <c r="ET68" s="227" t="n"/>
      <c r="EU68" s="227" t="n"/>
      <c r="EV68" s="227" t="n"/>
      <c r="EW68" s="227" t="n"/>
      <c r="EX68" s="227" t="n"/>
      <c r="EY68" s="227" t="n"/>
      <c r="EZ68" s="227" t="n"/>
      <c r="FA68" s="227" t="n"/>
      <c r="FB68" s="227" t="n"/>
      <c r="FC68" s="227" t="n"/>
      <c r="FD68" s="227" t="n"/>
      <c r="FE68" s="227" t="n"/>
      <c r="FF68" s="227" t="n"/>
      <c r="FG68" s="227" t="n"/>
      <c r="FH68" s="227" t="n"/>
      <c r="FI68" s="227" t="n"/>
      <c r="FJ68" s="227" t="n"/>
      <c r="FK68" s="227" t="n"/>
      <c r="FL68" s="227" t="n"/>
      <c r="FM68" s="227" t="n"/>
      <c r="FN68" s="227" t="n"/>
      <c r="FO68" s="227" t="n"/>
      <c r="FP68" s="227" t="n"/>
      <c r="FQ68" s="227" t="n"/>
      <c r="FR68" s="227" t="n"/>
      <c r="FS68" s="227" t="n"/>
      <c r="FT68" s="227" t="n"/>
      <c r="FU68" s="227" t="n"/>
      <c r="FV68" s="227" t="n"/>
      <c r="FW68" s="227" t="n"/>
      <c r="FX68" s="227" t="n"/>
      <c r="FY68" s="227" t="n"/>
      <c r="FZ68" s="227" t="n"/>
      <c r="GA68" s="227" t="n"/>
      <c r="GB68" s="227" t="n"/>
      <c r="GC68" s="227" t="n"/>
      <c r="GD68" s="227" t="n"/>
      <c r="GE68" s="227" t="n"/>
      <c r="GF68" s="227" t="n"/>
      <c r="GG68" s="227" t="n"/>
      <c r="GH68" s="227" t="n"/>
      <c r="GI68" s="227" t="n"/>
      <c r="GJ68" s="227" t="n"/>
      <c r="GK68" s="227" t="n"/>
      <c r="GL68" s="227" t="n"/>
      <c r="GM68" s="227" t="n"/>
      <c r="GN68" s="227" t="n"/>
      <c r="GO68" s="227" t="n"/>
      <c r="GP68" s="227" t="n"/>
      <c r="GQ68" s="227" t="n"/>
      <c r="GR68" s="227" t="n"/>
      <c r="GS68" s="227" t="n"/>
      <c r="GT68" s="227" t="n"/>
      <c r="GU68" s="227" t="n"/>
      <c r="GV68" s="227" t="n"/>
      <c r="GW68" s="227" t="n"/>
      <c r="GX68" s="227" t="n"/>
      <c r="GY68" s="227" t="n"/>
      <c r="GZ68" s="227" t="n"/>
      <c r="HA68" s="227" t="n"/>
      <c r="HB68" s="227" t="n"/>
      <c r="HC68" s="227" t="n"/>
      <c r="HD68" s="227" t="n"/>
      <c r="HE68" s="227" t="n"/>
      <c r="HF68" s="227" t="n"/>
      <c r="HG68" s="227" t="n"/>
      <c r="HH68" s="227" t="n"/>
      <c r="HI68" s="227" t="n"/>
      <c r="HJ68" s="227" t="n"/>
      <c r="HK68" s="227" t="n"/>
      <c r="HL68" s="227" t="n"/>
      <c r="HM68" s="227" t="n"/>
      <c r="HN68" s="227" t="n"/>
      <c r="HO68" s="227" t="n"/>
      <c r="HP68" s="227" t="n"/>
      <c r="HQ68" s="227" t="n"/>
      <c r="HR68" s="227" t="n"/>
      <c r="HS68" s="227" t="n"/>
      <c r="HT68" s="227" t="n"/>
      <c r="HU68" s="227" t="n"/>
      <c r="HV68" s="227" t="n"/>
      <c r="HW68" s="227" t="n"/>
      <c r="HX68" s="227" t="n"/>
      <c r="HY68" s="227" t="n"/>
      <c r="HZ68" s="227" t="n"/>
      <c r="IA68" s="227" t="n"/>
      <c r="IB68" s="227" t="n"/>
      <c r="IC68" s="227" t="n"/>
      <c r="ID68" s="227" t="n"/>
      <c r="IE68" s="227" t="n"/>
      <c r="IF68" s="227" t="n"/>
      <c r="IG68" s="227" t="n"/>
      <c r="IH68" s="227" t="n"/>
      <c r="II68" s="227" t="n"/>
      <c r="IJ68" s="227" t="n"/>
      <c r="IK68" s="227" t="n"/>
      <c r="IL68" s="227" t="n"/>
      <c r="IM68" s="227" t="n"/>
      <c r="IN68" s="227" t="n"/>
      <c r="IO68" s="227" t="n"/>
      <c r="IP68" s="227" t="n"/>
      <c r="IQ68" s="227" t="n"/>
      <c r="IR68" s="227" t="n"/>
      <c r="IS68" s="227" t="n"/>
      <c r="IT68" s="227" t="n"/>
      <c r="IU68" s="227" t="n"/>
      <c r="IV68" s="227" t="n"/>
      <c r="IW68" s="227" t="n"/>
      <c r="IX68" s="227" t="n"/>
      <c r="IY68" s="227" t="n"/>
      <c r="IZ68" s="227" t="n"/>
      <c r="JA68" s="227" t="n"/>
      <c r="JB68" s="227" t="n"/>
      <c r="JC68" s="227" t="n"/>
      <c r="JD68" s="227" t="n"/>
      <c r="JE68" s="227" t="n"/>
      <c r="JF68" s="227" t="n"/>
      <c r="JG68" s="227" t="n"/>
      <c r="JH68" s="227" t="n"/>
      <c r="JI68" s="227" t="n"/>
      <c r="JJ68" s="227" t="n"/>
      <c r="JK68" s="227" t="n"/>
      <c r="JL68" s="227" t="n"/>
      <c r="JM68" s="227" t="n"/>
      <c r="JN68" s="227" t="n"/>
      <c r="JO68" s="227" t="n"/>
      <c r="JP68" s="227" t="n"/>
      <c r="JQ68" s="227" t="n"/>
      <c r="JR68" s="227" t="n"/>
      <c r="JS68" s="227" t="n"/>
      <c r="JT68" s="227" t="n"/>
      <c r="JU68" s="227" t="n"/>
      <c r="JV68" s="227" t="n"/>
      <c r="JW68" s="227" t="n"/>
      <c r="JX68" s="227" t="n"/>
      <c r="JY68" s="227" t="n"/>
      <c r="JZ68" s="227" t="n"/>
      <c r="KA68" s="227" t="n"/>
      <c r="KB68" s="227" t="n"/>
      <c r="KC68" s="227" t="n"/>
      <c r="KD68" s="227" t="n"/>
      <c r="KE68" s="227" t="n"/>
      <c r="KF68" s="227" t="n"/>
      <c r="KG68" s="227" t="n"/>
      <c r="KH68" s="227" t="n"/>
      <c r="KI68" s="227" t="n"/>
      <c r="KJ68" s="227" t="n"/>
      <c r="KK68" s="227" t="n"/>
      <c r="KL68" s="227" t="n"/>
      <c r="KM68" s="227" t="n"/>
      <c r="KN68" s="227" t="n"/>
      <c r="KO68" s="227" t="n"/>
      <c r="KP68" s="227" t="n"/>
      <c r="KQ68" s="227" t="n"/>
      <c r="KR68" s="227" t="n"/>
      <c r="KS68" s="227" t="n"/>
      <c r="KT68" s="227" t="n"/>
      <c r="KU68" s="227" t="n"/>
      <c r="KV68" s="227" t="n"/>
      <c r="KW68" s="227" t="n"/>
      <c r="KX68" s="227" t="n"/>
      <c r="KY68" s="227" t="n"/>
      <c r="KZ68" s="227" t="n"/>
      <c r="LA68" s="227" t="n"/>
      <c r="LB68" s="227" t="n"/>
      <c r="LC68" s="227" t="n"/>
      <c r="LD68" s="227" t="n"/>
      <c r="LE68" s="227" t="n"/>
      <c r="LF68" s="227" t="n"/>
      <c r="LG68" s="227" t="n"/>
      <c r="LH68" s="227" t="n"/>
      <c r="LI68" s="227" t="n"/>
      <c r="LJ68" s="227" t="n"/>
      <c r="LK68" s="227" t="n"/>
      <c r="LL68" s="227" t="n"/>
      <c r="LM68" s="227" t="n"/>
      <c r="LN68" s="227" t="n"/>
      <c r="LO68" s="227" t="n"/>
      <c r="LP68" s="227" t="n"/>
      <c r="LQ68" s="227" t="n"/>
      <c r="LR68" s="227" t="n"/>
      <c r="LS68" s="227" t="n"/>
      <c r="LT68" s="227" t="n"/>
      <c r="LU68" s="227" t="n"/>
      <c r="LV68" s="227" t="n"/>
      <c r="LW68" s="227" t="n"/>
      <c r="LX68" s="227" t="n"/>
      <c r="LY68" s="227" t="n"/>
      <c r="LZ68" s="227" t="n"/>
      <c r="MA68" s="227" t="n"/>
      <c r="MB68" s="227" t="n"/>
      <c r="MC68" s="227" t="n"/>
      <c r="MD68" s="227" t="n"/>
      <c r="ME68" s="227" t="n"/>
      <c r="MF68" s="227" t="n"/>
      <c r="MG68" s="227" t="n"/>
      <c r="MH68" s="227" t="n"/>
      <c r="MI68" s="227" t="n"/>
      <c r="MJ68" s="227" t="n"/>
      <c r="MK68" s="227" t="n"/>
      <c r="ML68" s="227" t="n"/>
      <c r="MM68" s="227" t="n"/>
      <c r="MN68" s="227" t="n"/>
      <c r="MO68" s="227" t="n"/>
      <c r="MP68" s="227" t="n"/>
      <c r="MQ68" s="227" t="n"/>
      <c r="MR68" s="227" t="n"/>
      <c r="MS68" s="227" t="n"/>
      <c r="MT68" s="227" t="n"/>
      <c r="MU68" s="227" t="n"/>
      <c r="MV68" s="227" t="n"/>
      <c r="MW68" s="227" t="n"/>
      <c r="MX68" s="227" t="n"/>
      <c r="MY68" s="227" t="n"/>
      <c r="MZ68" s="227" t="n"/>
      <c r="NA68" s="227" t="n"/>
      <c r="NB68" s="227" t="n"/>
      <c r="NC68" s="228">
        <f>SUM(B68:NB68)</f>
        <v/>
      </c>
    </row>
    <row r="69" ht="14.25" customHeight="1" s="166">
      <c r="A69" s="214" t="inlineStr">
        <is>
          <t>BTU-60-RDE-02-04</t>
        </is>
      </c>
      <c r="B69" s="227" t="n"/>
      <c r="C69" s="227" t="n"/>
      <c r="D69" s="227" t="n"/>
      <c r="E69" s="227" t="n"/>
      <c r="F69" s="227" t="n"/>
      <c r="G69" s="227" t="n"/>
      <c r="H69" s="227" t="n"/>
      <c r="I69" s="227" t="n"/>
      <c r="J69" s="227" t="n"/>
      <c r="K69" s="227" t="n"/>
      <c r="L69" s="227" t="n"/>
      <c r="M69" s="227" t="n"/>
      <c r="N69" s="227" t="n"/>
      <c r="O69" s="227" t="n"/>
      <c r="P69" s="227" t="n"/>
      <c r="Q69" s="227" t="n"/>
      <c r="R69" s="227" t="n"/>
      <c r="S69" s="227" t="n"/>
      <c r="T69" s="227" t="n"/>
      <c r="U69" s="227" t="n"/>
      <c r="V69" s="227" t="n"/>
      <c r="W69" s="227" t="n"/>
      <c r="X69" s="227" t="n"/>
      <c r="Y69" s="227" t="n"/>
      <c r="Z69" s="227" t="n"/>
      <c r="AA69" s="227" t="n"/>
      <c r="AB69" s="227" t="n"/>
      <c r="AC69" s="227" t="n"/>
      <c r="AD69" s="227" t="n"/>
      <c r="AE69" s="227" t="n"/>
      <c r="AF69" s="227" t="n"/>
      <c r="AG69" s="227" t="n"/>
      <c r="AH69" s="227" t="n"/>
      <c r="AI69" s="227" t="n"/>
      <c r="AJ69" s="227" t="n"/>
      <c r="AK69" s="227" t="n"/>
      <c r="AL69" s="227" t="n"/>
      <c r="AM69" s="227" t="n"/>
      <c r="AN69" s="227" t="n"/>
      <c r="AO69" s="227" t="n"/>
      <c r="AP69" s="227" t="n"/>
      <c r="AQ69" s="227" t="n"/>
      <c r="AR69" s="227" t="n"/>
      <c r="AS69" s="227" t="n"/>
      <c r="AT69" s="227" t="n"/>
      <c r="AU69" s="227" t="n"/>
      <c r="AV69" s="227" t="n"/>
      <c r="AW69" s="227" t="n"/>
      <c r="AX69" s="227" t="n"/>
      <c r="AY69" s="227" t="n"/>
      <c r="AZ69" s="227" t="n"/>
      <c r="BA69" s="227" t="n"/>
      <c r="BB69" s="227" t="n"/>
      <c r="BC69" s="227" t="n"/>
      <c r="BD69" s="227" t="n"/>
      <c r="BE69" s="227" t="n"/>
      <c r="BF69" s="227" t="n"/>
      <c r="BG69" s="227" t="n"/>
      <c r="BH69" s="227" t="n"/>
      <c r="BI69" s="227" t="n"/>
      <c r="BJ69" s="227" t="n"/>
      <c r="BK69" s="227" t="n"/>
      <c r="BL69" s="227" t="n"/>
      <c r="BM69" s="227" t="n"/>
      <c r="BN69" s="227" t="n"/>
      <c r="BO69" s="227" t="n"/>
      <c r="BP69" s="227" t="n"/>
      <c r="BQ69" s="227" t="n"/>
      <c r="BR69" s="227" t="n"/>
      <c r="BS69" s="227" t="n"/>
      <c r="BT69" s="227" t="n"/>
      <c r="BU69" s="227" t="n"/>
      <c r="BV69" s="227" t="n"/>
      <c r="BW69" s="227" t="n"/>
      <c r="BX69" s="227" t="n"/>
      <c r="BY69" s="227" t="n"/>
      <c r="BZ69" s="227" t="n"/>
      <c r="CA69" s="227" t="n"/>
      <c r="CB69" s="227" t="n"/>
      <c r="CC69" s="227" t="n"/>
      <c r="CD69" s="227" t="n"/>
      <c r="CE69" s="227" t="n"/>
      <c r="CF69" s="227" t="n"/>
      <c r="CG69" s="227" t="n"/>
      <c r="CH69" s="227" t="n"/>
      <c r="CI69" s="227" t="n"/>
      <c r="CJ69" s="227" t="n"/>
      <c r="CK69" s="227" t="n"/>
      <c r="CL69" s="227" t="n"/>
      <c r="CM69" s="227" t="n"/>
      <c r="CN69" s="227" t="n"/>
      <c r="CO69" s="227" t="n"/>
      <c r="CP69" s="227" t="n"/>
      <c r="CQ69" s="227" t="n"/>
      <c r="CR69" s="227" t="n"/>
      <c r="CS69" s="227" t="n"/>
      <c r="CT69" s="227" t="n"/>
      <c r="CU69" s="227" t="n"/>
      <c r="CV69" s="227" t="n"/>
      <c r="CW69" s="227" t="n"/>
      <c r="CX69" s="227" t="n"/>
      <c r="CY69" s="227" t="n"/>
      <c r="CZ69" s="227" t="n"/>
      <c r="DA69" s="227" t="n"/>
      <c r="DB69" s="227" t="n"/>
      <c r="DC69" s="227" t="n"/>
      <c r="DD69" s="227" t="n"/>
      <c r="DE69" s="227" t="n"/>
      <c r="DF69" s="227" t="n"/>
      <c r="DG69" s="227" t="n"/>
      <c r="DH69" s="227" t="n"/>
      <c r="DI69" s="227" t="n"/>
      <c r="DJ69" s="227" t="n"/>
      <c r="DK69" s="227" t="n"/>
      <c r="DL69" s="227" t="n"/>
      <c r="DM69" s="227" t="n"/>
      <c r="DN69" s="227" t="n"/>
      <c r="DO69" s="227" t="n"/>
      <c r="DP69" s="227" t="n"/>
      <c r="DQ69" s="227" t="n"/>
      <c r="DR69" s="227" t="n"/>
      <c r="DS69" s="227" t="n"/>
      <c r="DT69" s="227" t="n"/>
      <c r="DU69" s="227" t="n"/>
      <c r="DV69" s="227" t="n"/>
      <c r="DW69" s="227" t="n"/>
      <c r="DX69" s="227" t="n"/>
      <c r="DY69" s="227" t="n"/>
      <c r="DZ69" s="227" t="n"/>
      <c r="EA69" s="227" t="n"/>
      <c r="EB69" s="227" t="n"/>
      <c r="EC69" s="227" t="n"/>
      <c r="ED69" s="227" t="n"/>
      <c r="EE69" s="227" t="n"/>
      <c r="EF69" s="227" t="n"/>
      <c r="EG69" s="227" t="n"/>
      <c r="EH69" s="227" t="n"/>
      <c r="EI69" s="227" t="n"/>
      <c r="EJ69" s="227" t="n"/>
      <c r="EK69" s="227" t="n"/>
      <c r="EL69" s="227" t="n"/>
      <c r="EM69" s="227" t="n"/>
      <c r="EN69" s="227" t="n"/>
      <c r="EO69" s="227" t="n"/>
      <c r="EP69" s="227" t="n"/>
      <c r="EQ69" s="227" t="n"/>
      <c r="ER69" s="227" t="n"/>
      <c r="ES69" s="227" t="n"/>
      <c r="ET69" s="227" t="n"/>
      <c r="EU69" s="227" t="n"/>
      <c r="EV69" s="227" t="n"/>
      <c r="EW69" s="227" t="n"/>
      <c r="EX69" s="227" t="n"/>
      <c r="EY69" s="227" t="n"/>
      <c r="EZ69" s="227" t="n"/>
      <c r="FA69" s="227" t="n"/>
      <c r="FB69" s="227" t="n"/>
      <c r="FC69" s="227" t="n"/>
      <c r="FD69" s="227" t="n"/>
      <c r="FE69" s="227" t="n"/>
      <c r="FF69" s="227" t="n"/>
      <c r="FG69" s="227" t="n"/>
      <c r="FH69" s="227" t="n"/>
      <c r="FI69" s="227" t="n"/>
      <c r="FJ69" s="227" t="n"/>
      <c r="FK69" s="227" t="n"/>
      <c r="FL69" s="227" t="n"/>
      <c r="FM69" s="227" t="n"/>
      <c r="FN69" s="227" t="n"/>
      <c r="FO69" s="227" t="n"/>
      <c r="FP69" s="227" t="n"/>
      <c r="FQ69" s="227" t="n"/>
      <c r="FR69" s="227" t="n"/>
      <c r="FS69" s="227" t="n"/>
      <c r="FT69" s="227" t="n"/>
      <c r="FU69" s="227" t="n"/>
      <c r="FV69" s="227" t="n"/>
      <c r="FW69" s="227" t="n"/>
      <c r="FX69" s="227" t="n"/>
      <c r="FY69" s="227" t="n"/>
      <c r="FZ69" s="227" t="n"/>
      <c r="GA69" s="227" t="n"/>
      <c r="GB69" s="227" t="n"/>
      <c r="GC69" s="227" t="n"/>
      <c r="GD69" s="227" t="n"/>
      <c r="GE69" s="227" t="n"/>
      <c r="GF69" s="227" t="n"/>
      <c r="GG69" s="227" t="n"/>
      <c r="GH69" s="227" t="n"/>
      <c r="GI69" s="227" t="n"/>
      <c r="GJ69" s="227" t="n"/>
      <c r="GK69" s="227" t="n"/>
      <c r="GL69" s="227" t="n"/>
      <c r="GM69" s="227" t="n"/>
      <c r="GN69" s="227" t="n"/>
      <c r="GO69" s="227" t="n"/>
      <c r="GP69" s="227" t="n"/>
      <c r="GQ69" s="227" t="n"/>
      <c r="GR69" s="227" t="n"/>
      <c r="GS69" s="227" t="n"/>
      <c r="GT69" s="227" t="n"/>
      <c r="GU69" s="227" t="n"/>
      <c r="GV69" s="227" t="n"/>
      <c r="GW69" s="227" t="n"/>
      <c r="GX69" s="227" t="n"/>
      <c r="GY69" s="227" t="n"/>
      <c r="GZ69" s="227" t="n"/>
      <c r="HA69" s="227" t="n"/>
      <c r="HB69" s="227" t="n"/>
      <c r="HC69" s="227" t="n"/>
      <c r="HD69" s="227" t="n"/>
      <c r="HE69" s="227" t="n"/>
      <c r="HF69" s="227" t="n"/>
      <c r="HG69" s="227" t="n"/>
      <c r="HH69" s="227" t="n"/>
      <c r="HI69" s="227" t="n"/>
      <c r="HJ69" s="227" t="n"/>
      <c r="HK69" s="227" t="n"/>
      <c r="HL69" s="227" t="n"/>
      <c r="HM69" s="227" t="n"/>
      <c r="HN69" s="227" t="n"/>
      <c r="HO69" s="227" t="n"/>
      <c r="HP69" s="227" t="n"/>
      <c r="HQ69" s="227" t="n"/>
      <c r="HR69" s="227" t="n"/>
      <c r="HS69" s="227" t="n"/>
      <c r="HT69" s="227" t="n"/>
      <c r="HU69" s="227" t="n"/>
      <c r="HV69" s="227" t="n"/>
      <c r="HW69" s="227" t="n"/>
      <c r="HX69" s="227" t="n"/>
      <c r="HY69" s="227" t="n"/>
      <c r="HZ69" s="227" t="n"/>
      <c r="IA69" s="227" t="n"/>
      <c r="IB69" s="227" t="n"/>
      <c r="IC69" s="227" t="n"/>
      <c r="ID69" s="227" t="n"/>
      <c r="IE69" s="227" t="n"/>
      <c r="IF69" s="227" t="n"/>
      <c r="IG69" s="227" t="n"/>
      <c r="IH69" s="227" t="n"/>
      <c r="II69" s="227" t="n"/>
      <c r="IJ69" s="227" t="n"/>
      <c r="IK69" s="227" t="n"/>
      <c r="IL69" s="227" t="n"/>
      <c r="IM69" s="227" t="n"/>
      <c r="IN69" s="227" t="n"/>
      <c r="IO69" s="227" t="n"/>
      <c r="IP69" s="227" t="n"/>
      <c r="IQ69" s="227" t="n"/>
      <c r="IR69" s="227" t="n"/>
      <c r="IS69" s="227" t="n"/>
      <c r="IT69" s="227" t="n"/>
      <c r="IU69" s="227" t="n"/>
      <c r="IV69" s="227" t="n"/>
      <c r="IW69" s="227" t="n"/>
      <c r="IX69" s="227" t="n"/>
      <c r="IY69" s="227" t="n"/>
      <c r="IZ69" s="227" t="n"/>
      <c r="JA69" s="227" t="n"/>
      <c r="JB69" s="227" t="n"/>
      <c r="JC69" s="227" t="n"/>
      <c r="JD69" s="227" t="n"/>
      <c r="JE69" s="227" t="n"/>
      <c r="JF69" s="227" t="n"/>
      <c r="JG69" s="227" t="n"/>
      <c r="JH69" s="227" t="n"/>
      <c r="JI69" s="227" t="n"/>
      <c r="JJ69" s="227" t="n"/>
      <c r="JK69" s="227" t="n"/>
      <c r="JL69" s="227" t="n"/>
      <c r="JM69" s="227" t="n"/>
      <c r="JN69" s="227" t="n"/>
      <c r="JO69" s="227" t="n"/>
      <c r="JP69" s="227" t="n"/>
      <c r="JQ69" s="227" t="n"/>
      <c r="JR69" s="227" t="n"/>
      <c r="JS69" s="227" t="n"/>
      <c r="JT69" s="227" t="n"/>
      <c r="JU69" s="227" t="n"/>
      <c r="JV69" s="227" t="n"/>
      <c r="JW69" s="227" t="n"/>
      <c r="JX69" s="227" t="n"/>
      <c r="JY69" s="227" t="n"/>
      <c r="JZ69" s="227" t="n"/>
      <c r="KA69" s="227" t="n"/>
      <c r="KB69" s="227" t="n"/>
      <c r="KC69" s="227" t="n"/>
      <c r="KD69" s="227" t="n"/>
      <c r="KE69" s="227" t="n"/>
      <c r="KF69" s="227" t="n"/>
      <c r="KG69" s="227" t="n"/>
      <c r="KH69" s="227" t="n"/>
      <c r="KI69" s="227" t="n"/>
      <c r="KJ69" s="227" t="n"/>
      <c r="KK69" s="227" t="n"/>
      <c r="KL69" s="227" t="n"/>
      <c r="KM69" s="227" t="n"/>
      <c r="KN69" s="227" t="n"/>
      <c r="KO69" s="227" t="n"/>
      <c r="KP69" s="227" t="n"/>
      <c r="KQ69" s="227" t="n"/>
      <c r="KR69" s="227" t="n"/>
      <c r="KS69" s="227" t="n"/>
      <c r="KT69" s="227" t="n"/>
      <c r="KU69" s="227" t="n"/>
      <c r="KV69" s="227" t="n"/>
      <c r="KW69" s="227" t="n"/>
      <c r="KX69" s="227" t="n"/>
      <c r="KY69" s="227" t="n"/>
      <c r="KZ69" s="227" t="n"/>
      <c r="LA69" s="227" t="n"/>
      <c r="LB69" s="227" t="n"/>
      <c r="LC69" s="227" t="n"/>
      <c r="LD69" s="227" t="n"/>
      <c r="LE69" s="227" t="n"/>
      <c r="LF69" s="227" t="n"/>
      <c r="LG69" s="227" t="n"/>
      <c r="LH69" s="227" t="n"/>
      <c r="LI69" s="227" t="n"/>
      <c r="LJ69" s="227" t="n"/>
      <c r="LK69" s="227" t="n"/>
      <c r="LL69" s="227" t="n"/>
      <c r="LM69" s="227" t="n"/>
      <c r="LN69" s="227" t="n"/>
      <c r="LO69" s="227" t="n"/>
      <c r="LP69" s="227" t="n"/>
      <c r="LQ69" s="227" t="n"/>
      <c r="LR69" s="227" t="n"/>
      <c r="LS69" s="227" t="n"/>
      <c r="LT69" s="227" t="n"/>
      <c r="LU69" s="227" t="n"/>
      <c r="LV69" s="227" t="n"/>
      <c r="LW69" s="227" t="n"/>
      <c r="LX69" s="227" t="n"/>
      <c r="LY69" s="227" t="n"/>
      <c r="LZ69" s="227" t="n"/>
      <c r="MA69" s="227" t="n"/>
      <c r="MB69" s="227" t="n"/>
      <c r="MC69" s="227" t="n"/>
      <c r="MD69" s="227" t="n"/>
      <c r="ME69" s="227" t="n"/>
      <c r="MF69" s="227" t="n"/>
      <c r="MG69" s="227" t="n"/>
      <c r="MH69" s="227" t="n"/>
      <c r="MI69" s="227" t="n"/>
      <c r="MJ69" s="227" t="n"/>
      <c r="MK69" s="227" t="n"/>
      <c r="ML69" s="227" t="n"/>
      <c r="MM69" s="227" t="n"/>
      <c r="MN69" s="227" t="n"/>
      <c r="MO69" s="227" t="n"/>
      <c r="MP69" s="227" t="n"/>
      <c r="MQ69" s="227" t="n"/>
      <c r="MR69" s="227" t="n"/>
      <c r="MS69" s="227" t="n"/>
      <c r="MT69" s="227" t="n"/>
      <c r="MU69" s="227" t="n"/>
      <c r="MV69" s="227" t="n"/>
      <c r="MW69" s="227" t="n"/>
      <c r="MX69" s="227" t="n"/>
      <c r="MY69" s="227" t="n"/>
      <c r="MZ69" s="227" t="n"/>
      <c r="NA69" s="227" t="n"/>
      <c r="NB69" s="227" t="n"/>
      <c r="NC69" s="228">
        <f>SUM(B69:NB69)</f>
        <v/>
      </c>
    </row>
    <row r="70" ht="14.25" customHeight="1" s="166">
      <c r="A70" s="214" t="inlineStr">
        <is>
          <t>BTU-60-RDE-02-05</t>
        </is>
      </c>
      <c r="B70" s="227" t="n"/>
      <c r="C70" s="227" t="n"/>
      <c r="D70" s="227" t="n"/>
      <c r="E70" s="227" t="n"/>
      <c r="F70" s="227" t="n"/>
      <c r="G70" s="227" t="n"/>
      <c r="H70" s="227" t="n"/>
      <c r="I70" s="227" t="n"/>
      <c r="J70" s="227" t="n"/>
      <c r="K70" s="227" t="n"/>
      <c r="L70" s="227" t="n"/>
      <c r="M70" s="227" t="n"/>
      <c r="N70" s="227" t="n"/>
      <c r="O70" s="227" t="n"/>
      <c r="P70" s="227" t="n"/>
      <c r="Q70" s="227" t="n"/>
      <c r="R70" s="227" t="n"/>
      <c r="S70" s="227" t="n"/>
      <c r="T70" s="227" t="n"/>
      <c r="U70" s="227" t="n"/>
      <c r="V70" s="227" t="n"/>
      <c r="W70" s="227" t="n"/>
      <c r="X70" s="227" t="n"/>
      <c r="Y70" s="227" t="n"/>
      <c r="Z70" s="227" t="n"/>
      <c r="AA70" s="227" t="n"/>
      <c r="AB70" s="227" t="n"/>
      <c r="AC70" s="227" t="n"/>
      <c r="AD70" s="227" t="n"/>
      <c r="AE70" s="227" t="n"/>
      <c r="AF70" s="227" t="n"/>
      <c r="AG70" s="227" t="n"/>
      <c r="AH70" s="227" t="n"/>
      <c r="AI70" s="227" t="n"/>
      <c r="AJ70" s="227" t="n"/>
      <c r="AK70" s="227" t="n"/>
      <c r="AL70" s="227" t="n"/>
      <c r="AM70" s="227" t="n"/>
      <c r="AN70" s="227" t="n"/>
      <c r="AO70" s="227" t="n"/>
      <c r="AP70" s="227" t="n"/>
      <c r="AQ70" s="227" t="n"/>
      <c r="AR70" s="227" t="n"/>
      <c r="AS70" s="227" t="n"/>
      <c r="AT70" s="227" t="n"/>
      <c r="AU70" s="227" t="n"/>
      <c r="AV70" s="227" t="n"/>
      <c r="AW70" s="227" t="n"/>
      <c r="AX70" s="227" t="n"/>
      <c r="AY70" s="227" t="n"/>
      <c r="AZ70" s="227" t="n"/>
      <c r="BA70" s="227" t="n"/>
      <c r="BB70" s="227" t="n"/>
      <c r="BC70" s="227" t="n"/>
      <c r="BD70" s="227" t="n"/>
      <c r="BE70" s="227" t="n"/>
      <c r="BF70" s="227" t="n"/>
      <c r="BG70" s="227" t="n"/>
      <c r="BH70" s="227" t="n"/>
      <c r="BI70" s="227" t="n"/>
      <c r="BJ70" s="227" t="n"/>
      <c r="BK70" s="227" t="n"/>
      <c r="BL70" s="227" t="n"/>
      <c r="BM70" s="227" t="n"/>
      <c r="BN70" s="227" t="n"/>
      <c r="BO70" s="227" t="n"/>
      <c r="BP70" s="227" t="n"/>
      <c r="BQ70" s="227" t="n"/>
      <c r="BR70" s="227" t="n"/>
      <c r="BS70" s="227" t="n"/>
      <c r="BT70" s="227" t="n"/>
      <c r="BU70" s="227" t="n"/>
      <c r="BV70" s="227" t="n"/>
      <c r="BW70" s="227" t="n"/>
      <c r="BX70" s="227" t="n"/>
      <c r="BY70" s="227" t="n"/>
      <c r="BZ70" s="227" t="n"/>
      <c r="CA70" s="227" t="n"/>
      <c r="CB70" s="227" t="n"/>
      <c r="CC70" s="227" t="n"/>
      <c r="CD70" s="227" t="n"/>
      <c r="CE70" s="227" t="n"/>
      <c r="CF70" s="227" t="n"/>
      <c r="CG70" s="227" t="n"/>
      <c r="CH70" s="227" t="n"/>
      <c r="CI70" s="227" t="n"/>
      <c r="CJ70" s="227" t="n"/>
      <c r="CK70" s="227" t="n"/>
      <c r="CL70" s="227" t="n"/>
      <c r="CM70" s="227" t="n"/>
      <c r="CN70" s="227" t="n"/>
      <c r="CO70" s="227" t="n"/>
      <c r="CP70" s="227" t="n"/>
      <c r="CQ70" s="227" t="n"/>
      <c r="CR70" s="227" t="n"/>
      <c r="CS70" s="227" t="n"/>
      <c r="CT70" s="227" t="n"/>
      <c r="CU70" s="227" t="n"/>
      <c r="CV70" s="227" t="n"/>
      <c r="CW70" s="227" t="n"/>
      <c r="CX70" s="227" t="n"/>
      <c r="CY70" s="227" t="n"/>
      <c r="CZ70" s="227" t="n"/>
      <c r="DA70" s="227" t="n"/>
      <c r="DB70" s="227" t="n"/>
      <c r="DC70" s="227" t="n"/>
      <c r="DD70" s="227" t="n"/>
      <c r="DE70" s="227" t="n"/>
      <c r="DF70" s="227" t="n"/>
      <c r="DG70" s="227" t="n"/>
      <c r="DH70" s="227" t="n"/>
      <c r="DI70" s="227" t="n"/>
      <c r="DJ70" s="227" t="n"/>
      <c r="DK70" s="227" t="n"/>
      <c r="DL70" s="227" t="n"/>
      <c r="DM70" s="227" t="n"/>
      <c r="DN70" s="227" t="n"/>
      <c r="DO70" s="227" t="n"/>
      <c r="DP70" s="227" t="n"/>
      <c r="DQ70" s="227" t="n"/>
      <c r="DR70" s="227" t="n"/>
      <c r="DS70" s="227" t="n"/>
      <c r="DT70" s="227" t="n"/>
      <c r="DU70" s="227" t="n"/>
      <c r="DV70" s="227" t="n"/>
      <c r="DW70" s="227" t="n"/>
      <c r="DX70" s="227" t="n"/>
      <c r="DY70" s="227" t="n"/>
      <c r="DZ70" s="227" t="n"/>
      <c r="EA70" s="227" t="n"/>
      <c r="EB70" s="227" t="n"/>
      <c r="EC70" s="227" t="n"/>
      <c r="ED70" s="227" t="n"/>
      <c r="EE70" s="227" t="n"/>
      <c r="EF70" s="227" t="n"/>
      <c r="EG70" s="227" t="n"/>
      <c r="EH70" s="227" t="n"/>
      <c r="EI70" s="227" t="n"/>
      <c r="EJ70" s="227" t="n"/>
      <c r="EK70" s="227" t="n"/>
      <c r="EL70" s="227" t="n"/>
      <c r="EM70" s="227" t="n"/>
      <c r="EN70" s="227" t="n"/>
      <c r="EO70" s="227" t="n"/>
      <c r="EP70" s="227" t="n"/>
      <c r="EQ70" s="227" t="n"/>
      <c r="ER70" s="227" t="n"/>
      <c r="ES70" s="227" t="n"/>
      <c r="ET70" s="227" t="n"/>
      <c r="EU70" s="227" t="n"/>
      <c r="EV70" s="227" t="n"/>
      <c r="EW70" s="227" t="n"/>
      <c r="EX70" s="227" t="n"/>
      <c r="EY70" s="227" t="n"/>
      <c r="EZ70" s="227" t="n"/>
      <c r="FA70" s="227" t="n"/>
      <c r="FB70" s="227" t="n"/>
      <c r="FC70" s="227" t="n"/>
      <c r="FD70" s="227" t="n"/>
      <c r="FE70" s="227" t="n"/>
      <c r="FF70" s="227" t="n"/>
      <c r="FG70" s="227" t="n"/>
      <c r="FH70" s="227" t="n"/>
      <c r="FI70" s="227" t="n"/>
      <c r="FJ70" s="227" t="n"/>
      <c r="FK70" s="227" t="n"/>
      <c r="FL70" s="227" t="n"/>
      <c r="FM70" s="227" t="n"/>
      <c r="FN70" s="227" t="n"/>
      <c r="FO70" s="227" t="n"/>
      <c r="FP70" s="227" t="n"/>
      <c r="FQ70" s="227" t="n"/>
      <c r="FR70" s="227" t="n"/>
      <c r="FS70" s="227" t="n"/>
      <c r="FT70" s="227" t="n"/>
      <c r="FU70" s="227" t="n"/>
      <c r="FV70" s="227" t="n"/>
      <c r="FW70" s="227" t="n"/>
      <c r="FX70" s="227" t="n"/>
      <c r="FY70" s="227" t="n"/>
      <c r="FZ70" s="227" t="n"/>
      <c r="GA70" s="227" t="n"/>
      <c r="GB70" s="227" t="n"/>
      <c r="GC70" s="227" t="n"/>
      <c r="GD70" s="227" t="n"/>
      <c r="GE70" s="227" t="n"/>
      <c r="GF70" s="227" t="n"/>
      <c r="GG70" s="227" t="n"/>
      <c r="GH70" s="227" t="n"/>
      <c r="GI70" s="227" t="n"/>
      <c r="GJ70" s="227" t="n"/>
      <c r="GK70" s="227" t="n"/>
      <c r="GL70" s="227" t="n"/>
      <c r="GM70" s="227" t="n"/>
      <c r="GN70" s="227" t="n"/>
      <c r="GO70" s="227" t="n"/>
      <c r="GP70" s="227" t="n"/>
      <c r="GQ70" s="227" t="n"/>
      <c r="GR70" s="227" t="n"/>
      <c r="GS70" s="227" t="n"/>
      <c r="GT70" s="227" t="n"/>
      <c r="GU70" s="227" t="n"/>
      <c r="GV70" s="227" t="n"/>
      <c r="GW70" s="227" t="n"/>
      <c r="GX70" s="227" t="n"/>
      <c r="GY70" s="227" t="n"/>
      <c r="GZ70" s="227" t="n"/>
      <c r="HA70" s="227" t="n"/>
      <c r="HB70" s="227" t="n"/>
      <c r="HC70" s="227" t="n"/>
      <c r="HD70" s="227" t="n"/>
      <c r="HE70" s="227" t="n"/>
      <c r="HF70" s="227" t="n"/>
      <c r="HG70" s="227" t="n"/>
      <c r="HH70" s="227" t="n"/>
      <c r="HI70" s="227" t="n"/>
      <c r="HJ70" s="227" t="n"/>
      <c r="HK70" s="227" t="n"/>
      <c r="HL70" s="227" t="n"/>
      <c r="HM70" s="227" t="n"/>
      <c r="HN70" s="227" t="n"/>
      <c r="HO70" s="227" t="n"/>
      <c r="HP70" s="227" t="n"/>
      <c r="HQ70" s="227" t="n"/>
      <c r="HR70" s="227" t="n"/>
      <c r="HS70" s="227" t="n"/>
      <c r="HT70" s="227" t="n"/>
      <c r="HU70" s="227" t="n"/>
      <c r="HV70" s="227" t="n"/>
      <c r="HW70" s="227" t="n"/>
      <c r="HX70" s="227" t="n"/>
      <c r="HY70" s="227" t="n"/>
      <c r="HZ70" s="227" t="n"/>
      <c r="IA70" s="227" t="n"/>
      <c r="IB70" s="227" t="n"/>
      <c r="IC70" s="227" t="n"/>
      <c r="ID70" s="227" t="n"/>
      <c r="IE70" s="227" t="n"/>
      <c r="IF70" s="227" t="n"/>
      <c r="IG70" s="227" t="n"/>
      <c r="IH70" s="227" t="n"/>
      <c r="II70" s="227" t="n"/>
      <c r="IJ70" s="227" t="n"/>
      <c r="IK70" s="227" t="n"/>
      <c r="IL70" s="227" t="n"/>
      <c r="IM70" s="227" t="n"/>
      <c r="IN70" s="227" t="n"/>
      <c r="IO70" s="227" t="n"/>
      <c r="IP70" s="227" t="n"/>
      <c r="IQ70" s="227" t="n"/>
      <c r="IR70" s="227" t="n"/>
      <c r="IS70" s="227" t="n"/>
      <c r="IT70" s="227" t="n"/>
      <c r="IU70" s="227" t="n"/>
      <c r="IV70" s="227" t="n"/>
      <c r="IW70" s="227" t="n"/>
      <c r="IX70" s="227" t="n"/>
      <c r="IY70" s="227" t="n"/>
      <c r="IZ70" s="227" t="n"/>
      <c r="JA70" s="227" t="n"/>
      <c r="JB70" s="227" t="n"/>
      <c r="JC70" s="227" t="n"/>
      <c r="JD70" s="227" t="n"/>
      <c r="JE70" s="227" t="n"/>
      <c r="JF70" s="227" t="n"/>
      <c r="JG70" s="227" t="n"/>
      <c r="JH70" s="227" t="n"/>
      <c r="JI70" s="227" t="n"/>
      <c r="JJ70" s="227" t="n"/>
      <c r="JK70" s="227" t="n"/>
      <c r="JL70" s="227" t="n"/>
      <c r="JM70" s="227" t="n"/>
      <c r="JN70" s="227" t="n"/>
      <c r="JO70" s="227" t="n"/>
      <c r="JP70" s="227" t="n"/>
      <c r="JQ70" s="227" t="n"/>
      <c r="JR70" s="227" t="n"/>
      <c r="JS70" s="227" t="n"/>
      <c r="JT70" s="227" t="n"/>
      <c r="JU70" s="227" t="n"/>
      <c r="JV70" s="227" t="n"/>
      <c r="JW70" s="227" t="n"/>
      <c r="JX70" s="227" t="n"/>
      <c r="JY70" s="227" t="n"/>
      <c r="JZ70" s="227" t="n"/>
      <c r="KA70" s="227" t="n"/>
      <c r="KB70" s="227" t="n"/>
      <c r="KC70" s="227" t="n"/>
      <c r="KD70" s="227" t="n"/>
      <c r="KE70" s="227" t="n"/>
      <c r="KF70" s="227" t="n"/>
      <c r="KG70" s="227" t="n"/>
      <c r="KH70" s="227" t="n"/>
      <c r="KI70" s="227" t="n"/>
      <c r="KJ70" s="227" t="n"/>
      <c r="KK70" s="227" t="n"/>
      <c r="KL70" s="227" t="n"/>
      <c r="KM70" s="227" t="n"/>
      <c r="KN70" s="227" t="n"/>
      <c r="KO70" s="227" t="n"/>
      <c r="KP70" s="227" t="n"/>
      <c r="KQ70" s="227" t="n"/>
      <c r="KR70" s="227" t="n"/>
      <c r="KS70" s="227" t="n"/>
      <c r="KT70" s="227" t="n"/>
      <c r="KU70" s="227" t="n"/>
      <c r="KV70" s="227" t="n"/>
      <c r="KW70" s="227" t="n"/>
      <c r="KX70" s="227" t="n"/>
      <c r="KY70" s="227" t="n"/>
      <c r="KZ70" s="227" t="n"/>
      <c r="LA70" s="227" t="n"/>
      <c r="LB70" s="227" t="n"/>
      <c r="LC70" s="227" t="n"/>
      <c r="LD70" s="227" t="n"/>
      <c r="LE70" s="227" t="n"/>
      <c r="LF70" s="227" t="n"/>
      <c r="LG70" s="227" t="n"/>
      <c r="LH70" s="227" t="n"/>
      <c r="LI70" s="227" t="n"/>
      <c r="LJ70" s="227" t="n"/>
      <c r="LK70" s="227" t="n"/>
      <c r="LL70" s="227" t="n"/>
      <c r="LM70" s="227" t="n"/>
      <c r="LN70" s="227" t="n"/>
      <c r="LO70" s="227" t="n"/>
      <c r="LP70" s="227" t="n"/>
      <c r="LQ70" s="227" t="n"/>
      <c r="LR70" s="227" t="n"/>
      <c r="LS70" s="227" t="n"/>
      <c r="LT70" s="227" t="n"/>
      <c r="LU70" s="227" t="n"/>
      <c r="LV70" s="227" t="n"/>
      <c r="LW70" s="227" t="n"/>
      <c r="LX70" s="227" t="n"/>
      <c r="LY70" s="227" t="n"/>
      <c r="LZ70" s="227" t="n"/>
      <c r="MA70" s="227" t="n"/>
      <c r="MB70" s="227" t="n"/>
      <c r="MC70" s="227" t="n"/>
      <c r="MD70" s="227" t="n"/>
      <c r="ME70" s="227" t="n"/>
      <c r="MF70" s="227" t="n"/>
      <c r="MG70" s="227" t="n"/>
      <c r="MH70" s="227" t="n"/>
      <c r="MI70" s="227" t="n"/>
      <c r="MJ70" s="227" t="n"/>
      <c r="MK70" s="227" t="n"/>
      <c r="ML70" s="227" t="n"/>
      <c r="MM70" s="227" t="n"/>
      <c r="MN70" s="227" t="n"/>
      <c r="MO70" s="227" t="n"/>
      <c r="MP70" s="227" t="n"/>
      <c r="MQ70" s="227" t="n"/>
      <c r="MR70" s="227" t="n"/>
      <c r="MS70" s="227" t="n"/>
      <c r="MT70" s="227" t="n"/>
      <c r="MU70" s="227" t="n"/>
      <c r="MV70" s="227" t="n"/>
      <c r="MW70" s="227" t="n"/>
      <c r="MX70" s="227" t="n"/>
      <c r="MY70" s="227" t="n"/>
      <c r="MZ70" s="227" t="n"/>
      <c r="NA70" s="227" t="n"/>
      <c r="NB70" s="227" t="n"/>
      <c r="NC70" s="228">
        <f>SUM(B70:NB70)</f>
        <v/>
      </c>
    </row>
    <row r="71" ht="14.25" customHeight="1" s="166">
      <c r="A71" s="214" t="inlineStr">
        <is>
          <t>BTU-60-RDE-02-06</t>
        </is>
      </c>
      <c r="B71" s="227" t="n"/>
      <c r="C71" s="227" t="n"/>
      <c r="D71" s="227" t="n"/>
      <c r="E71" s="227" t="n"/>
      <c r="F71" s="227" t="n"/>
      <c r="G71" s="227" t="n"/>
      <c r="H71" s="227" t="n"/>
      <c r="I71" s="227" t="n"/>
      <c r="J71" s="227" t="n"/>
      <c r="K71" s="227" t="n"/>
      <c r="L71" s="227" t="n"/>
      <c r="M71" s="227" t="n"/>
      <c r="N71" s="227" t="n"/>
      <c r="O71" s="227" t="n"/>
      <c r="P71" s="227" t="n"/>
      <c r="Q71" s="227" t="n"/>
      <c r="R71" s="227" t="n"/>
      <c r="S71" s="227" t="n"/>
      <c r="T71" s="227" t="n"/>
      <c r="U71" s="227" t="n"/>
      <c r="V71" s="227" t="n"/>
      <c r="W71" s="227" t="n"/>
      <c r="X71" s="227" t="n"/>
      <c r="Y71" s="227" t="n"/>
      <c r="Z71" s="227" t="n"/>
      <c r="AA71" s="227" t="n"/>
      <c r="AB71" s="227" t="n"/>
      <c r="AC71" s="227" t="n"/>
      <c r="AD71" s="227" t="n"/>
      <c r="AE71" s="227" t="n"/>
      <c r="AF71" s="227" t="n"/>
      <c r="AG71" s="227" t="n"/>
      <c r="AH71" s="227" t="n"/>
      <c r="AI71" s="227" t="n"/>
      <c r="AJ71" s="227" t="n"/>
      <c r="AK71" s="227" t="n"/>
      <c r="AL71" s="227" t="n"/>
      <c r="AM71" s="227" t="n"/>
      <c r="AN71" s="227" t="n"/>
      <c r="AO71" s="227" t="n"/>
      <c r="AP71" s="227" t="n"/>
      <c r="AQ71" s="227" t="n"/>
      <c r="AR71" s="227" t="n"/>
      <c r="AS71" s="227" t="n"/>
      <c r="AT71" s="227" t="n"/>
      <c r="AU71" s="227" t="n"/>
      <c r="AV71" s="227" t="n"/>
      <c r="AW71" s="227" t="n"/>
      <c r="AX71" s="227" t="n"/>
      <c r="AY71" s="227" t="n"/>
      <c r="AZ71" s="227" t="n"/>
      <c r="BA71" s="227" t="n"/>
      <c r="BB71" s="227" t="n"/>
      <c r="BC71" s="227" t="n"/>
      <c r="BD71" s="227" t="n"/>
      <c r="BE71" s="227" t="n"/>
      <c r="BF71" s="227" t="n"/>
      <c r="BG71" s="227" t="n"/>
      <c r="BH71" s="227" t="n"/>
      <c r="BI71" s="227" t="n"/>
      <c r="BJ71" s="227" t="n"/>
      <c r="BK71" s="227" t="n"/>
      <c r="BL71" s="227" t="n"/>
      <c r="BM71" s="227" t="n"/>
      <c r="BN71" s="227" t="n"/>
      <c r="BO71" s="227" t="n"/>
      <c r="BP71" s="227" t="n"/>
      <c r="BQ71" s="227" t="n"/>
      <c r="BR71" s="227" t="n"/>
      <c r="BS71" s="227" t="n"/>
      <c r="BT71" s="227" t="n"/>
      <c r="BU71" s="227" t="n"/>
      <c r="BV71" s="227" t="n"/>
      <c r="BW71" s="227" t="n"/>
      <c r="BX71" s="227" t="n"/>
      <c r="BY71" s="227" t="n"/>
      <c r="BZ71" s="227" t="n"/>
      <c r="CA71" s="227" t="n"/>
      <c r="CB71" s="227" t="n"/>
      <c r="CC71" s="227" t="n"/>
      <c r="CD71" s="227" t="n"/>
      <c r="CE71" s="227" t="n"/>
      <c r="CF71" s="227" t="n"/>
      <c r="CG71" s="227" t="n"/>
      <c r="CH71" s="227" t="n"/>
      <c r="CI71" s="227" t="n"/>
      <c r="CJ71" s="227" t="n"/>
      <c r="CK71" s="227" t="n"/>
      <c r="CL71" s="227" t="n"/>
      <c r="CM71" s="227" t="n"/>
      <c r="CN71" s="227" t="n"/>
      <c r="CO71" s="227" t="n"/>
      <c r="CP71" s="227" t="n"/>
      <c r="CQ71" s="227" t="n"/>
      <c r="CR71" s="227" t="n"/>
      <c r="CS71" s="227" t="n"/>
      <c r="CT71" s="227" t="n"/>
      <c r="CU71" s="227" t="n"/>
      <c r="CV71" s="227" t="n"/>
      <c r="CW71" s="227" t="n"/>
      <c r="CX71" s="227" t="n"/>
      <c r="CY71" s="227" t="n"/>
      <c r="CZ71" s="227" t="n"/>
      <c r="DA71" s="227" t="n"/>
      <c r="DB71" s="227" t="n"/>
      <c r="DC71" s="227" t="n"/>
      <c r="DD71" s="227" t="n"/>
      <c r="DE71" s="227" t="n"/>
      <c r="DF71" s="227" t="n"/>
      <c r="DG71" s="227" t="n"/>
      <c r="DH71" s="227" t="n"/>
      <c r="DI71" s="227" t="n"/>
      <c r="DJ71" s="227" t="n"/>
      <c r="DK71" s="227" t="n"/>
      <c r="DL71" s="227" t="n"/>
      <c r="DM71" s="227" t="n"/>
      <c r="DN71" s="227" t="n"/>
      <c r="DO71" s="227" t="n"/>
      <c r="DP71" s="227" t="n"/>
      <c r="DQ71" s="227" t="n"/>
      <c r="DR71" s="227" t="n"/>
      <c r="DS71" s="227" t="n"/>
      <c r="DT71" s="227" t="n"/>
      <c r="DU71" s="227" t="n"/>
      <c r="DV71" s="227" t="n"/>
      <c r="DW71" s="227" t="n"/>
      <c r="DX71" s="227" t="n"/>
      <c r="DY71" s="227" t="n"/>
      <c r="DZ71" s="227" t="n"/>
      <c r="EA71" s="227" t="n"/>
      <c r="EB71" s="227" t="n"/>
      <c r="EC71" s="227" t="n"/>
      <c r="ED71" s="227" t="n"/>
      <c r="EE71" s="227" t="n"/>
      <c r="EF71" s="227" t="n"/>
      <c r="EG71" s="227" t="n"/>
      <c r="EH71" s="227" t="n"/>
      <c r="EI71" s="227" t="n"/>
      <c r="EJ71" s="227" t="n"/>
      <c r="EK71" s="227" t="n"/>
      <c r="EL71" s="227" t="n"/>
      <c r="EM71" s="227" t="n"/>
      <c r="EN71" s="227" t="n"/>
      <c r="EO71" s="227" t="n"/>
      <c r="EP71" s="227" t="n"/>
      <c r="EQ71" s="227" t="n"/>
      <c r="ER71" s="227" t="n"/>
      <c r="ES71" s="227" t="n"/>
      <c r="ET71" s="227" t="n"/>
      <c r="EU71" s="227" t="n"/>
      <c r="EV71" s="227" t="n"/>
      <c r="EW71" s="227" t="n"/>
      <c r="EX71" s="227" t="n"/>
      <c r="EY71" s="227" t="n"/>
      <c r="EZ71" s="227" t="n"/>
      <c r="FA71" s="227" t="n"/>
      <c r="FB71" s="227" t="n"/>
      <c r="FC71" s="227" t="n"/>
      <c r="FD71" s="227" t="n"/>
      <c r="FE71" s="227" t="n"/>
      <c r="FF71" s="227" t="n"/>
      <c r="FG71" s="227" t="n"/>
      <c r="FH71" s="227" t="n"/>
      <c r="FI71" s="227" t="n"/>
      <c r="FJ71" s="227" t="n"/>
      <c r="FK71" s="227" t="n"/>
      <c r="FL71" s="227" t="n"/>
      <c r="FM71" s="227" t="n"/>
      <c r="FN71" s="227" t="n"/>
      <c r="FO71" s="227" t="n"/>
      <c r="FP71" s="227" t="n"/>
      <c r="FQ71" s="227" t="n"/>
      <c r="FR71" s="227" t="n"/>
      <c r="FS71" s="227" t="n"/>
      <c r="FT71" s="227" t="n"/>
      <c r="FU71" s="227" t="n"/>
      <c r="FV71" s="227" t="n"/>
      <c r="FW71" s="227" t="n"/>
      <c r="FX71" s="227" t="n"/>
      <c r="FY71" s="227" t="n"/>
      <c r="FZ71" s="227" t="n"/>
      <c r="GA71" s="227" t="n"/>
      <c r="GB71" s="227" t="n"/>
      <c r="GC71" s="227" t="n"/>
      <c r="GD71" s="227" t="n"/>
      <c r="GE71" s="227" t="n"/>
      <c r="GF71" s="227" t="n"/>
      <c r="GG71" s="227" t="n"/>
      <c r="GH71" s="227" t="n"/>
      <c r="GI71" s="227" t="n"/>
      <c r="GJ71" s="227" t="n"/>
      <c r="GK71" s="227" t="n"/>
      <c r="GL71" s="227" t="n"/>
      <c r="GM71" s="227" t="n"/>
      <c r="GN71" s="227" t="n"/>
      <c r="GO71" s="227" t="n"/>
      <c r="GP71" s="227" t="n"/>
      <c r="GQ71" s="227" t="n"/>
      <c r="GR71" s="227" t="n"/>
      <c r="GS71" s="227" t="n"/>
      <c r="GT71" s="227" t="n"/>
      <c r="GU71" s="227" t="n"/>
      <c r="GV71" s="227" t="n"/>
      <c r="GW71" s="227" t="n"/>
      <c r="GX71" s="227" t="n"/>
      <c r="GY71" s="227" t="n"/>
      <c r="GZ71" s="227" t="n"/>
      <c r="HA71" s="227" t="n"/>
      <c r="HB71" s="227" t="n"/>
      <c r="HC71" s="227" t="n"/>
      <c r="HD71" s="227" t="n"/>
      <c r="HE71" s="227" t="n"/>
      <c r="HF71" s="227" t="n"/>
      <c r="HG71" s="227" t="n"/>
      <c r="HH71" s="227" t="n"/>
      <c r="HI71" s="227" t="n"/>
      <c r="HJ71" s="227" t="n"/>
      <c r="HK71" s="227" t="n"/>
      <c r="HL71" s="227" t="n"/>
      <c r="HM71" s="227" t="n"/>
      <c r="HN71" s="227" t="n"/>
      <c r="HO71" s="227" t="n"/>
      <c r="HP71" s="227" t="n"/>
      <c r="HQ71" s="227" t="n"/>
      <c r="HR71" s="227" t="n"/>
      <c r="HS71" s="227" t="n"/>
      <c r="HT71" s="227" t="n"/>
      <c r="HU71" s="227" t="n"/>
      <c r="HV71" s="227" t="n"/>
      <c r="HW71" s="227" t="n"/>
      <c r="HX71" s="227" t="n"/>
      <c r="HY71" s="227" t="n"/>
      <c r="HZ71" s="227" t="n"/>
      <c r="IA71" s="227" t="n"/>
      <c r="IB71" s="227" t="n"/>
      <c r="IC71" s="227" t="n"/>
      <c r="ID71" s="227" t="n"/>
      <c r="IE71" s="227" t="n"/>
      <c r="IF71" s="227" t="n"/>
      <c r="IG71" s="227" t="n"/>
      <c r="IH71" s="227" t="n"/>
      <c r="II71" s="227" t="n"/>
      <c r="IJ71" s="227" t="n"/>
      <c r="IK71" s="227" t="n"/>
      <c r="IL71" s="227" t="n"/>
      <c r="IM71" s="227" t="n"/>
      <c r="IN71" s="227" t="n"/>
      <c r="IO71" s="227" t="n"/>
      <c r="IP71" s="227" t="n"/>
      <c r="IQ71" s="227" t="n"/>
      <c r="IR71" s="227" t="n"/>
      <c r="IS71" s="227" t="n"/>
      <c r="IT71" s="227" t="n"/>
      <c r="IU71" s="227" t="n"/>
      <c r="IV71" s="227" t="n"/>
      <c r="IW71" s="227" t="n"/>
      <c r="IX71" s="227" t="n"/>
      <c r="IY71" s="227" t="n"/>
      <c r="IZ71" s="227" t="n"/>
      <c r="JA71" s="227" t="n"/>
      <c r="JB71" s="227" t="n"/>
      <c r="JC71" s="227" t="n"/>
      <c r="JD71" s="227" t="n"/>
      <c r="JE71" s="227" t="n"/>
      <c r="JF71" s="227" t="n"/>
      <c r="JG71" s="227" t="n"/>
      <c r="JH71" s="227" t="n"/>
      <c r="JI71" s="227" t="n"/>
      <c r="JJ71" s="227" t="n"/>
      <c r="JK71" s="227" t="n"/>
      <c r="JL71" s="227" t="n"/>
      <c r="JM71" s="227" t="n"/>
      <c r="JN71" s="227" t="n"/>
      <c r="JO71" s="227" t="n"/>
      <c r="JP71" s="227" t="n"/>
      <c r="JQ71" s="227" t="n"/>
      <c r="JR71" s="227" t="n"/>
      <c r="JS71" s="227" t="n"/>
      <c r="JT71" s="227" t="n"/>
      <c r="JU71" s="227" t="n"/>
      <c r="JV71" s="227" t="n"/>
      <c r="JW71" s="227" t="n"/>
      <c r="JX71" s="227" t="n"/>
      <c r="JY71" s="227" t="n"/>
      <c r="JZ71" s="227" t="n"/>
      <c r="KA71" s="227" t="n"/>
      <c r="KB71" s="227" t="n"/>
      <c r="KC71" s="227" t="n"/>
      <c r="KD71" s="227" t="n"/>
      <c r="KE71" s="227" t="n"/>
      <c r="KF71" s="227" t="n"/>
      <c r="KG71" s="227" t="n"/>
      <c r="KH71" s="227" t="n"/>
      <c r="KI71" s="227" t="n"/>
      <c r="KJ71" s="227" t="n"/>
      <c r="KK71" s="227" t="n"/>
      <c r="KL71" s="227" t="n"/>
      <c r="KM71" s="227" t="n"/>
      <c r="KN71" s="227" t="n"/>
      <c r="KO71" s="227" t="n"/>
      <c r="KP71" s="227" t="n"/>
      <c r="KQ71" s="227" t="n"/>
      <c r="KR71" s="227" t="n"/>
      <c r="KS71" s="227" t="n"/>
      <c r="KT71" s="227" t="n"/>
      <c r="KU71" s="227" t="n"/>
      <c r="KV71" s="227" t="n"/>
      <c r="KW71" s="227" t="n"/>
      <c r="KX71" s="227" t="n"/>
      <c r="KY71" s="227" t="n"/>
      <c r="KZ71" s="227" t="n"/>
      <c r="LA71" s="227" t="n"/>
      <c r="LB71" s="227" t="n"/>
      <c r="LC71" s="227" t="n"/>
      <c r="LD71" s="227" t="n"/>
      <c r="LE71" s="227" t="n"/>
      <c r="LF71" s="227" t="n"/>
      <c r="LG71" s="227" t="n"/>
      <c r="LH71" s="227" t="n"/>
      <c r="LI71" s="227" t="n"/>
      <c r="LJ71" s="227" t="n"/>
      <c r="LK71" s="227" t="n"/>
      <c r="LL71" s="227" t="n"/>
      <c r="LM71" s="227" t="n"/>
      <c r="LN71" s="227" t="n"/>
      <c r="LO71" s="227" t="n"/>
      <c r="LP71" s="227" t="n"/>
      <c r="LQ71" s="227" t="n"/>
      <c r="LR71" s="227" t="n"/>
      <c r="LS71" s="227" t="n"/>
      <c r="LT71" s="227" t="n"/>
      <c r="LU71" s="227" t="n"/>
      <c r="LV71" s="227" t="n"/>
      <c r="LW71" s="227" t="n"/>
      <c r="LX71" s="227" t="n"/>
      <c r="LY71" s="227" t="n"/>
      <c r="LZ71" s="227" t="n"/>
      <c r="MA71" s="227" t="n"/>
      <c r="MB71" s="227" t="n"/>
      <c r="MC71" s="227" t="n"/>
      <c r="MD71" s="227" t="n"/>
      <c r="ME71" s="227" t="n"/>
      <c r="MF71" s="227" t="n"/>
      <c r="MG71" s="227" t="n"/>
      <c r="MH71" s="227" t="n"/>
      <c r="MI71" s="227" t="n"/>
      <c r="MJ71" s="227" t="n"/>
      <c r="MK71" s="227" t="n"/>
      <c r="ML71" s="227" t="n"/>
      <c r="MM71" s="227" t="n"/>
      <c r="MN71" s="227" t="n"/>
      <c r="MO71" s="227" t="n"/>
      <c r="MP71" s="227" t="n"/>
      <c r="MQ71" s="227" t="n"/>
      <c r="MR71" s="227" t="n"/>
      <c r="MS71" s="227" t="n"/>
      <c r="MT71" s="227" t="n"/>
      <c r="MU71" s="227" t="n"/>
      <c r="MV71" s="227" t="n"/>
      <c r="MW71" s="227" t="n"/>
      <c r="MX71" s="227" t="n"/>
      <c r="MY71" s="227" t="n"/>
      <c r="MZ71" s="227" t="n"/>
      <c r="NA71" s="227" t="n"/>
      <c r="NB71" s="227" t="n"/>
      <c r="NC71" s="228">
        <f>SUM(B71:NB71)</f>
        <v/>
      </c>
    </row>
    <row r="72" ht="14.25" customHeight="1" s="166">
      <c r="A72" s="214" t="inlineStr">
        <is>
          <t>BTU-60-RDE-02-07</t>
        </is>
      </c>
      <c r="B72" s="227" t="n"/>
      <c r="C72" s="227" t="n"/>
      <c r="D72" s="227" t="n"/>
      <c r="E72" s="227" t="n"/>
      <c r="F72" s="227" t="n"/>
      <c r="G72" s="227" t="n"/>
      <c r="H72" s="227" t="n"/>
      <c r="I72" s="227" t="n"/>
      <c r="J72" s="227" t="n"/>
      <c r="K72" s="227" t="n"/>
      <c r="L72" s="227" t="n"/>
      <c r="M72" s="227" t="n"/>
      <c r="N72" s="227" t="n"/>
      <c r="O72" s="227" t="n"/>
      <c r="P72" s="227" t="n"/>
      <c r="Q72" s="227" t="n"/>
      <c r="R72" s="227" t="n"/>
      <c r="S72" s="227" t="n"/>
      <c r="T72" s="227" t="n"/>
      <c r="U72" s="227" t="n"/>
      <c r="V72" s="227" t="n"/>
      <c r="W72" s="227" t="n"/>
      <c r="X72" s="227" t="n"/>
      <c r="Y72" s="227" t="n"/>
      <c r="Z72" s="227" t="n"/>
      <c r="AA72" s="227" t="n"/>
      <c r="AB72" s="227" t="n"/>
      <c r="AC72" s="227" t="n"/>
      <c r="AD72" s="227" t="n"/>
      <c r="AE72" s="227" t="n"/>
      <c r="AF72" s="227" t="n"/>
      <c r="AG72" s="227" t="n"/>
      <c r="AH72" s="227" t="n"/>
      <c r="AI72" s="227" t="n"/>
      <c r="AJ72" s="227" t="n"/>
      <c r="AK72" s="227" t="n"/>
      <c r="AL72" s="227" t="n"/>
      <c r="AM72" s="227" t="n"/>
      <c r="AN72" s="227" t="n"/>
      <c r="AO72" s="227" t="n"/>
      <c r="AP72" s="227" t="n"/>
      <c r="AQ72" s="227" t="n"/>
      <c r="AR72" s="227" t="n"/>
      <c r="AS72" s="227" t="n"/>
      <c r="AT72" s="227" t="n"/>
      <c r="AU72" s="227" t="n"/>
      <c r="AV72" s="227" t="n"/>
      <c r="AW72" s="227" t="n"/>
      <c r="AX72" s="227" t="n"/>
      <c r="AY72" s="227" t="n"/>
      <c r="AZ72" s="227" t="n"/>
      <c r="BA72" s="227" t="n"/>
      <c r="BB72" s="227" t="n"/>
      <c r="BC72" s="227" t="n"/>
      <c r="BD72" s="227" t="n"/>
      <c r="BE72" s="227" t="n"/>
      <c r="BF72" s="227" t="n"/>
      <c r="BG72" s="227" t="n"/>
      <c r="BH72" s="227" t="n"/>
      <c r="BI72" s="227" t="n"/>
      <c r="BJ72" s="227" t="n"/>
      <c r="BK72" s="227" t="n"/>
      <c r="BL72" s="227" t="n"/>
      <c r="BM72" s="227" t="n"/>
      <c r="BN72" s="227" t="n"/>
      <c r="BO72" s="227" t="n"/>
      <c r="BP72" s="227" t="n"/>
      <c r="BQ72" s="227" t="n"/>
      <c r="BR72" s="227" t="n"/>
      <c r="BS72" s="227" t="n"/>
      <c r="BT72" s="227" t="n"/>
      <c r="BU72" s="227" t="n"/>
      <c r="BV72" s="227" t="n"/>
      <c r="BW72" s="227" t="n"/>
      <c r="BX72" s="227" t="n"/>
      <c r="BY72" s="227" t="n"/>
      <c r="BZ72" s="227" t="n"/>
      <c r="CA72" s="227" t="n"/>
      <c r="CB72" s="227" t="n"/>
      <c r="CC72" s="227" t="n"/>
      <c r="CD72" s="227" t="n"/>
      <c r="CE72" s="227" t="n"/>
      <c r="CF72" s="227" t="n"/>
      <c r="CG72" s="227" t="n"/>
      <c r="CH72" s="227" t="n"/>
      <c r="CI72" s="227" t="n"/>
      <c r="CJ72" s="227" t="n"/>
      <c r="CK72" s="227" t="n"/>
      <c r="CL72" s="227" t="n"/>
      <c r="CM72" s="227" t="n"/>
      <c r="CN72" s="227" t="n"/>
      <c r="CO72" s="227" t="n"/>
      <c r="CP72" s="227" t="n"/>
      <c r="CQ72" s="227" t="n"/>
      <c r="CR72" s="227" t="n"/>
      <c r="CS72" s="227" t="n"/>
      <c r="CT72" s="227" t="n"/>
      <c r="CU72" s="227" t="n"/>
      <c r="CV72" s="227" t="n"/>
      <c r="CW72" s="227" t="n"/>
      <c r="CX72" s="227" t="n"/>
      <c r="CY72" s="227" t="n"/>
      <c r="CZ72" s="227" t="n"/>
      <c r="DA72" s="227" t="n"/>
      <c r="DB72" s="227" t="n"/>
      <c r="DC72" s="227" t="n"/>
      <c r="DD72" s="227" t="n"/>
      <c r="DE72" s="227" t="n"/>
      <c r="DF72" s="227" t="n"/>
      <c r="DG72" s="227" t="n"/>
      <c r="DH72" s="227" t="n"/>
      <c r="DI72" s="227" t="n"/>
      <c r="DJ72" s="227" t="n"/>
      <c r="DK72" s="227" t="n"/>
      <c r="DL72" s="227" t="n"/>
      <c r="DM72" s="227" t="n"/>
      <c r="DN72" s="227" t="n"/>
      <c r="DO72" s="227" t="n"/>
      <c r="DP72" s="227" t="n"/>
      <c r="DQ72" s="227" t="n"/>
      <c r="DR72" s="227" t="n"/>
      <c r="DS72" s="227" t="n"/>
      <c r="DT72" s="227" t="n"/>
      <c r="DU72" s="227" t="n"/>
      <c r="DV72" s="227" t="n"/>
      <c r="DW72" s="227" t="n"/>
      <c r="DX72" s="227" t="n"/>
      <c r="DY72" s="227" t="n"/>
      <c r="DZ72" s="227" t="n"/>
      <c r="EA72" s="227" t="n"/>
      <c r="EB72" s="227" t="n"/>
      <c r="EC72" s="227" t="n"/>
      <c r="ED72" s="227" t="n"/>
      <c r="EE72" s="227" t="n"/>
      <c r="EF72" s="227" t="n"/>
      <c r="EG72" s="227" t="n"/>
      <c r="EH72" s="227" t="n"/>
      <c r="EI72" s="227" t="n"/>
      <c r="EJ72" s="227" t="n"/>
      <c r="EK72" s="227" t="n"/>
      <c r="EL72" s="227" t="n"/>
      <c r="EM72" s="227" t="n"/>
      <c r="EN72" s="227" t="n"/>
      <c r="EO72" s="227" t="n"/>
      <c r="EP72" s="227" t="n"/>
      <c r="EQ72" s="227" t="n"/>
      <c r="ER72" s="227" t="n"/>
      <c r="ES72" s="227" t="n"/>
      <c r="ET72" s="227" t="n"/>
      <c r="EU72" s="227" t="n"/>
      <c r="EV72" s="227" t="n"/>
      <c r="EW72" s="227" t="n"/>
      <c r="EX72" s="227" t="n"/>
      <c r="EY72" s="227" t="n"/>
      <c r="EZ72" s="227" t="n"/>
      <c r="FA72" s="227" t="n"/>
      <c r="FB72" s="227" t="n"/>
      <c r="FC72" s="227" t="n"/>
      <c r="FD72" s="227" t="n"/>
      <c r="FE72" s="227" t="n"/>
      <c r="FF72" s="227" t="n"/>
      <c r="FG72" s="227" t="n"/>
      <c r="FH72" s="227" t="n"/>
      <c r="FI72" s="227" t="n"/>
      <c r="FJ72" s="227" t="n"/>
      <c r="FK72" s="227" t="n"/>
      <c r="FL72" s="227" t="n"/>
      <c r="FM72" s="227" t="n"/>
      <c r="FN72" s="227" t="n"/>
      <c r="FO72" s="227" t="n"/>
      <c r="FP72" s="227" t="n"/>
      <c r="FQ72" s="227" t="n"/>
      <c r="FR72" s="227" t="n"/>
      <c r="FS72" s="227" t="n"/>
      <c r="FT72" s="227" t="n"/>
      <c r="FU72" s="227" t="n"/>
      <c r="FV72" s="227" t="n"/>
      <c r="FW72" s="227" t="n"/>
      <c r="FX72" s="227" t="n"/>
      <c r="FY72" s="227" t="n"/>
      <c r="FZ72" s="227" t="n"/>
      <c r="GA72" s="227" t="n"/>
      <c r="GB72" s="227" t="n"/>
      <c r="GC72" s="227" t="n"/>
      <c r="GD72" s="227" t="n"/>
      <c r="GE72" s="227" t="n"/>
      <c r="GF72" s="227" t="n"/>
      <c r="GG72" s="227" t="n"/>
      <c r="GH72" s="227" t="n"/>
      <c r="GI72" s="227" t="n"/>
      <c r="GJ72" s="227" t="n"/>
      <c r="GK72" s="227" t="n"/>
      <c r="GL72" s="227" t="n"/>
      <c r="GM72" s="227" t="n"/>
      <c r="GN72" s="227" t="n"/>
      <c r="GO72" s="227" t="n"/>
      <c r="GP72" s="227" t="n"/>
      <c r="GQ72" s="227" t="n"/>
      <c r="GR72" s="227" t="n"/>
      <c r="GS72" s="227" t="n"/>
      <c r="GT72" s="227" t="n"/>
      <c r="GU72" s="227" t="n"/>
      <c r="GV72" s="227" t="n"/>
      <c r="GW72" s="227" t="n"/>
      <c r="GX72" s="227" t="n"/>
      <c r="GY72" s="227" t="n"/>
      <c r="GZ72" s="227" t="n"/>
      <c r="HA72" s="227" t="n"/>
      <c r="HB72" s="227" t="n"/>
      <c r="HC72" s="227" t="n"/>
      <c r="HD72" s="227" t="n"/>
      <c r="HE72" s="227" t="n"/>
      <c r="HF72" s="227" t="n"/>
      <c r="HG72" s="227" t="n"/>
      <c r="HH72" s="227" t="n"/>
      <c r="HI72" s="227" t="n"/>
      <c r="HJ72" s="227" t="n"/>
      <c r="HK72" s="227" t="n"/>
      <c r="HL72" s="227" t="n"/>
      <c r="HM72" s="227" t="n"/>
      <c r="HN72" s="227" t="n"/>
      <c r="HO72" s="227" t="n"/>
      <c r="HP72" s="227" t="n"/>
      <c r="HQ72" s="227" t="n"/>
      <c r="HR72" s="227" t="n"/>
      <c r="HS72" s="227" t="n"/>
      <c r="HT72" s="227" t="n"/>
      <c r="HU72" s="227" t="n"/>
      <c r="HV72" s="227" t="n"/>
      <c r="HW72" s="227" t="n"/>
      <c r="HX72" s="227" t="n"/>
      <c r="HY72" s="227" t="n"/>
      <c r="HZ72" s="227" t="n"/>
      <c r="IA72" s="227" t="n"/>
      <c r="IB72" s="227" t="n"/>
      <c r="IC72" s="227" t="n"/>
      <c r="ID72" s="227" t="n"/>
      <c r="IE72" s="227" t="n"/>
      <c r="IF72" s="227" t="n"/>
      <c r="IG72" s="227" t="n"/>
      <c r="IH72" s="227" t="n"/>
      <c r="II72" s="227" t="n"/>
      <c r="IJ72" s="227" t="n"/>
      <c r="IK72" s="227" t="n"/>
      <c r="IL72" s="227" t="n"/>
      <c r="IM72" s="227" t="n"/>
      <c r="IN72" s="227" t="n"/>
      <c r="IO72" s="227" t="n"/>
      <c r="IP72" s="227" t="n"/>
      <c r="IQ72" s="227" t="n"/>
      <c r="IR72" s="227" t="n"/>
      <c r="IS72" s="227" t="n"/>
      <c r="IT72" s="227" t="n"/>
      <c r="IU72" s="227" t="n"/>
      <c r="IV72" s="227" t="n"/>
      <c r="IW72" s="227" t="n"/>
      <c r="IX72" s="227" t="n"/>
      <c r="IY72" s="227" t="n"/>
      <c r="IZ72" s="227" t="n"/>
      <c r="JA72" s="227" t="n"/>
      <c r="JB72" s="227" t="n"/>
      <c r="JC72" s="227" t="n"/>
      <c r="JD72" s="227" t="n"/>
      <c r="JE72" s="227" t="n"/>
      <c r="JF72" s="227" t="n"/>
      <c r="JG72" s="227" t="n"/>
      <c r="JH72" s="227" t="n"/>
      <c r="JI72" s="227" t="n"/>
      <c r="JJ72" s="227" t="n"/>
      <c r="JK72" s="227" t="n"/>
      <c r="JL72" s="227" t="n"/>
      <c r="JM72" s="227" t="n"/>
      <c r="JN72" s="227" t="n"/>
      <c r="JO72" s="227" t="n"/>
      <c r="JP72" s="227" t="n"/>
      <c r="JQ72" s="227" t="n"/>
      <c r="JR72" s="227" t="n"/>
      <c r="JS72" s="227" t="n"/>
      <c r="JT72" s="227" t="n"/>
      <c r="JU72" s="227" t="n"/>
      <c r="JV72" s="227" t="n"/>
      <c r="JW72" s="227" t="n"/>
      <c r="JX72" s="227" t="n"/>
      <c r="JY72" s="227" t="n"/>
      <c r="JZ72" s="227" t="n"/>
      <c r="KA72" s="227" t="n"/>
      <c r="KB72" s="227" t="n"/>
      <c r="KC72" s="227" t="n"/>
      <c r="KD72" s="227" t="n"/>
      <c r="KE72" s="227" t="n"/>
      <c r="KF72" s="227" t="n"/>
      <c r="KG72" s="227" t="n"/>
      <c r="KH72" s="227" t="n"/>
      <c r="KI72" s="227" t="n"/>
      <c r="KJ72" s="227" t="n"/>
      <c r="KK72" s="227" t="n"/>
      <c r="KL72" s="227" t="n"/>
      <c r="KM72" s="227" t="n"/>
      <c r="KN72" s="227" t="n"/>
      <c r="KO72" s="227" t="n"/>
      <c r="KP72" s="227" t="n"/>
      <c r="KQ72" s="227" t="n"/>
      <c r="KR72" s="227" t="n"/>
      <c r="KS72" s="227" t="n"/>
      <c r="KT72" s="227" t="n"/>
      <c r="KU72" s="227" t="n"/>
      <c r="KV72" s="227" t="n"/>
      <c r="KW72" s="227" t="n"/>
      <c r="KX72" s="227" t="n"/>
      <c r="KY72" s="227" t="n"/>
      <c r="KZ72" s="227" t="n"/>
      <c r="LA72" s="227" t="n"/>
      <c r="LB72" s="227" t="n"/>
      <c r="LC72" s="227" t="n"/>
      <c r="LD72" s="227" t="n"/>
      <c r="LE72" s="227" t="n"/>
      <c r="LF72" s="227" t="n"/>
      <c r="LG72" s="227" t="n"/>
      <c r="LH72" s="227" t="n"/>
      <c r="LI72" s="227" t="n"/>
      <c r="LJ72" s="227" t="n"/>
      <c r="LK72" s="227" t="n"/>
      <c r="LL72" s="227" t="n"/>
      <c r="LM72" s="227" t="n"/>
      <c r="LN72" s="227" t="n"/>
      <c r="LO72" s="227" t="n"/>
      <c r="LP72" s="227" t="n"/>
      <c r="LQ72" s="227" t="n"/>
      <c r="LR72" s="227" t="n"/>
      <c r="LS72" s="227" t="n"/>
      <c r="LT72" s="227" t="n"/>
      <c r="LU72" s="227" t="n"/>
      <c r="LV72" s="227" t="n"/>
      <c r="LW72" s="227" t="n"/>
      <c r="LX72" s="227" t="n"/>
      <c r="LY72" s="227" t="n"/>
      <c r="LZ72" s="227" t="n"/>
      <c r="MA72" s="227" t="n"/>
      <c r="MB72" s="227" t="n"/>
      <c r="MC72" s="227" t="n"/>
      <c r="MD72" s="227" t="n"/>
      <c r="ME72" s="227" t="n"/>
      <c r="MF72" s="227" t="n"/>
      <c r="MG72" s="227" t="n"/>
      <c r="MH72" s="227" t="n"/>
      <c r="MI72" s="227" t="n"/>
      <c r="MJ72" s="227" t="n"/>
      <c r="MK72" s="227" t="n"/>
      <c r="ML72" s="227" t="n"/>
      <c r="MM72" s="227" t="n"/>
      <c r="MN72" s="227" t="n"/>
      <c r="MO72" s="227" t="n"/>
      <c r="MP72" s="227" t="n"/>
      <c r="MQ72" s="227" t="n"/>
      <c r="MR72" s="227" t="n"/>
      <c r="MS72" s="227" t="n"/>
      <c r="MT72" s="227" t="n"/>
      <c r="MU72" s="227" t="n"/>
      <c r="MV72" s="227" t="n"/>
      <c r="MW72" s="227" t="n"/>
      <c r="MX72" s="227" t="n"/>
      <c r="MY72" s="227" t="n"/>
      <c r="MZ72" s="227" t="n"/>
      <c r="NA72" s="227" t="n"/>
      <c r="NB72" s="227" t="n"/>
      <c r="NC72" s="228">
        <f>SUM(B72:NB72)</f>
        <v/>
      </c>
    </row>
    <row r="73" ht="14.25" customHeight="1" s="166">
      <c r="A73" s="214" t="inlineStr">
        <is>
          <t>BTU-60-RDE-02-08</t>
        </is>
      </c>
      <c r="B73" s="227" t="n"/>
      <c r="C73" s="227" t="n"/>
      <c r="D73" s="227" t="n"/>
      <c r="E73" s="227" t="n"/>
      <c r="F73" s="227" t="n"/>
      <c r="G73" s="227" t="n"/>
      <c r="H73" s="227" t="n"/>
      <c r="I73" s="227" t="n"/>
      <c r="J73" s="227" t="n"/>
      <c r="K73" s="227" t="n"/>
      <c r="L73" s="227" t="n"/>
      <c r="M73" s="227" t="n"/>
      <c r="N73" s="227" t="n"/>
      <c r="O73" s="227" t="n"/>
      <c r="P73" s="227" t="n"/>
      <c r="Q73" s="227" t="n"/>
      <c r="R73" s="227" t="n"/>
      <c r="S73" s="227" t="n"/>
      <c r="T73" s="227" t="n"/>
      <c r="U73" s="227" t="n"/>
      <c r="V73" s="227" t="n"/>
      <c r="W73" s="227" t="n"/>
      <c r="X73" s="227" t="n"/>
      <c r="Y73" s="227" t="n"/>
      <c r="Z73" s="227" t="n"/>
      <c r="AA73" s="227" t="n"/>
      <c r="AB73" s="227" t="n"/>
      <c r="AC73" s="227" t="n"/>
      <c r="AD73" s="227" t="n"/>
      <c r="AE73" s="227" t="n"/>
      <c r="AF73" s="227" t="n"/>
      <c r="AG73" s="227" t="n"/>
      <c r="AH73" s="227" t="n"/>
      <c r="AI73" s="227" t="n"/>
      <c r="AJ73" s="227" t="n"/>
      <c r="AK73" s="227" t="n"/>
      <c r="AL73" s="227" t="n"/>
      <c r="AM73" s="227" t="n"/>
      <c r="AN73" s="227" t="n"/>
      <c r="AO73" s="227" t="n"/>
      <c r="AP73" s="227" t="n"/>
      <c r="AQ73" s="227" t="n"/>
      <c r="AR73" s="227" t="n"/>
      <c r="AS73" s="227" t="n"/>
      <c r="AT73" s="227" t="n"/>
      <c r="AU73" s="227" t="n"/>
      <c r="AV73" s="227" t="n"/>
      <c r="AW73" s="227" t="n"/>
      <c r="AX73" s="227" t="n"/>
      <c r="AY73" s="227" t="n"/>
      <c r="AZ73" s="227" t="n"/>
      <c r="BA73" s="227" t="n"/>
      <c r="BB73" s="227" t="n"/>
      <c r="BC73" s="227" t="n"/>
      <c r="BD73" s="227" t="n"/>
      <c r="BE73" s="227" t="n"/>
      <c r="BF73" s="227" t="n"/>
      <c r="BG73" s="227" t="n"/>
      <c r="BH73" s="227" t="n"/>
      <c r="BI73" s="227" t="n"/>
      <c r="BJ73" s="227" t="n"/>
      <c r="BK73" s="227" t="n"/>
      <c r="BL73" s="227" t="n"/>
      <c r="BM73" s="227" t="n"/>
      <c r="BN73" s="227" t="n"/>
      <c r="BO73" s="227" t="n"/>
      <c r="BP73" s="227" t="n"/>
      <c r="BQ73" s="227" t="n"/>
      <c r="BR73" s="227" t="n"/>
      <c r="BS73" s="227" t="n"/>
      <c r="BT73" s="227" t="n"/>
      <c r="BU73" s="227" t="n"/>
      <c r="BV73" s="227" t="n"/>
      <c r="BW73" s="227" t="n"/>
      <c r="BX73" s="227" t="n"/>
      <c r="BY73" s="227" t="n"/>
      <c r="BZ73" s="227" t="n"/>
      <c r="CA73" s="227" t="n"/>
      <c r="CB73" s="227" t="n"/>
      <c r="CC73" s="227" t="n"/>
      <c r="CD73" s="227" t="n"/>
      <c r="CE73" s="227" t="n"/>
      <c r="CF73" s="227" t="n"/>
      <c r="CG73" s="227" t="n"/>
      <c r="CH73" s="227" t="n"/>
      <c r="CI73" s="227" t="n"/>
      <c r="CJ73" s="227" t="n"/>
      <c r="CK73" s="227" t="n"/>
      <c r="CL73" s="227" t="n"/>
      <c r="CM73" s="227" t="n"/>
      <c r="CN73" s="227" t="n"/>
      <c r="CO73" s="227" t="n"/>
      <c r="CP73" s="227" t="n"/>
      <c r="CQ73" s="227" t="n"/>
      <c r="CR73" s="227" t="n"/>
      <c r="CS73" s="227" t="n"/>
      <c r="CT73" s="227" t="n"/>
      <c r="CU73" s="227" t="n"/>
      <c r="CV73" s="227" t="n"/>
      <c r="CW73" s="227" t="n"/>
      <c r="CX73" s="227" t="n"/>
      <c r="CY73" s="227" t="n"/>
      <c r="CZ73" s="227" t="n"/>
      <c r="DA73" s="227" t="n"/>
      <c r="DB73" s="227" t="n"/>
      <c r="DC73" s="227" t="n"/>
      <c r="DD73" s="227" t="n"/>
      <c r="DE73" s="227" t="n"/>
      <c r="DF73" s="227" t="n"/>
      <c r="DG73" s="227" t="n"/>
      <c r="DH73" s="227" t="n"/>
      <c r="DI73" s="227" t="n"/>
      <c r="DJ73" s="227" t="n"/>
      <c r="DK73" s="227" t="n"/>
      <c r="DL73" s="227" t="n"/>
      <c r="DM73" s="227" t="n"/>
      <c r="DN73" s="227" t="n"/>
      <c r="DO73" s="227" t="n"/>
      <c r="DP73" s="227" t="n"/>
      <c r="DQ73" s="227" t="n"/>
      <c r="DR73" s="227" t="n"/>
      <c r="DS73" s="227" t="n"/>
      <c r="DT73" s="227" t="n"/>
      <c r="DU73" s="227" t="n"/>
      <c r="DV73" s="227" t="n"/>
      <c r="DW73" s="227" t="n"/>
      <c r="DX73" s="227" t="n"/>
      <c r="DY73" s="227" t="n"/>
      <c r="DZ73" s="227" t="n"/>
      <c r="EA73" s="227" t="n"/>
      <c r="EB73" s="227" t="n"/>
      <c r="EC73" s="227" t="n"/>
      <c r="ED73" s="227" t="n"/>
      <c r="EE73" s="227" t="n"/>
      <c r="EF73" s="227" t="n"/>
      <c r="EG73" s="227" t="n"/>
      <c r="EH73" s="227" t="n"/>
      <c r="EI73" s="227" t="n"/>
      <c r="EJ73" s="227" t="n"/>
      <c r="EK73" s="227" t="n"/>
      <c r="EL73" s="227" t="n"/>
      <c r="EM73" s="227" t="n"/>
      <c r="EN73" s="227" t="n"/>
      <c r="EO73" s="227" t="n"/>
      <c r="EP73" s="227" t="n"/>
      <c r="EQ73" s="227" t="n"/>
      <c r="ER73" s="227" t="n"/>
      <c r="ES73" s="227" t="n"/>
      <c r="ET73" s="227" t="n"/>
      <c r="EU73" s="227" t="n"/>
      <c r="EV73" s="227" t="n"/>
      <c r="EW73" s="227" t="n"/>
      <c r="EX73" s="227" t="n"/>
      <c r="EY73" s="227" t="n"/>
      <c r="EZ73" s="227" t="n"/>
      <c r="FA73" s="227" t="n"/>
      <c r="FB73" s="227" t="n"/>
      <c r="FC73" s="227" t="n"/>
      <c r="FD73" s="227" t="n"/>
      <c r="FE73" s="227" t="n"/>
      <c r="FF73" s="227" t="n"/>
      <c r="FG73" s="227" t="n"/>
      <c r="FH73" s="227" t="n"/>
      <c r="FI73" s="227" t="n"/>
      <c r="FJ73" s="227" t="n"/>
      <c r="FK73" s="227" t="n"/>
      <c r="FL73" s="227" t="n"/>
      <c r="FM73" s="227" t="n"/>
      <c r="FN73" s="227" t="n"/>
      <c r="FO73" s="227" t="n"/>
      <c r="FP73" s="227" t="n"/>
      <c r="FQ73" s="227" t="n"/>
      <c r="FR73" s="227" t="n"/>
      <c r="FS73" s="227" t="n"/>
      <c r="FT73" s="227" t="n"/>
      <c r="FU73" s="227" t="n"/>
      <c r="FV73" s="227" t="n"/>
      <c r="FW73" s="227" t="n"/>
      <c r="FX73" s="227" t="n"/>
      <c r="FY73" s="227" t="n"/>
      <c r="FZ73" s="227" t="n"/>
      <c r="GA73" s="227" t="n"/>
      <c r="GB73" s="227" t="n"/>
      <c r="GC73" s="227" t="n"/>
      <c r="GD73" s="227" t="n"/>
      <c r="GE73" s="227" t="n"/>
      <c r="GF73" s="227" t="n"/>
      <c r="GG73" s="227" t="n"/>
      <c r="GH73" s="227" t="n"/>
      <c r="GI73" s="227" t="n"/>
      <c r="GJ73" s="227" t="n"/>
      <c r="GK73" s="227" t="n"/>
      <c r="GL73" s="227" t="n"/>
      <c r="GM73" s="227" t="n"/>
      <c r="GN73" s="227" t="n"/>
      <c r="GO73" s="227" t="n"/>
      <c r="GP73" s="227" t="n"/>
      <c r="GQ73" s="227" t="n"/>
      <c r="GR73" s="227" t="n"/>
      <c r="GS73" s="227" t="n"/>
      <c r="GT73" s="227" t="n"/>
      <c r="GU73" s="227" t="n"/>
      <c r="GV73" s="227" t="n"/>
      <c r="GW73" s="227" t="n"/>
      <c r="GX73" s="227" t="n"/>
      <c r="GY73" s="227" t="n"/>
      <c r="GZ73" s="227" t="n"/>
      <c r="HA73" s="227" t="n"/>
      <c r="HB73" s="227" t="n"/>
      <c r="HC73" s="227" t="n"/>
      <c r="HD73" s="227" t="n"/>
      <c r="HE73" s="227" t="n"/>
      <c r="HF73" s="227" t="n"/>
      <c r="HG73" s="227" t="n"/>
      <c r="HH73" s="227" t="n"/>
      <c r="HI73" s="227" t="n"/>
      <c r="HJ73" s="227" t="n"/>
      <c r="HK73" s="227" t="n"/>
      <c r="HL73" s="227" t="n"/>
      <c r="HM73" s="227" t="n"/>
      <c r="HN73" s="227" t="n"/>
      <c r="HO73" s="227" t="n"/>
      <c r="HP73" s="227" t="n"/>
      <c r="HQ73" s="227" t="n"/>
      <c r="HR73" s="227" t="n"/>
      <c r="HS73" s="227" t="n"/>
      <c r="HT73" s="227" t="n"/>
      <c r="HU73" s="227" t="n"/>
      <c r="HV73" s="227" t="n"/>
      <c r="HW73" s="227" t="n"/>
      <c r="HX73" s="227" t="n"/>
      <c r="HY73" s="227" t="n"/>
      <c r="HZ73" s="227" t="n"/>
      <c r="IA73" s="227" t="n"/>
      <c r="IB73" s="227" t="n"/>
      <c r="IC73" s="227" t="n"/>
      <c r="ID73" s="227" t="n"/>
      <c r="IE73" s="227" t="n"/>
      <c r="IF73" s="227" t="n"/>
      <c r="IG73" s="227" t="n"/>
      <c r="IH73" s="227" t="n"/>
      <c r="II73" s="227" t="n"/>
      <c r="IJ73" s="227" t="n"/>
      <c r="IK73" s="227" t="n"/>
      <c r="IL73" s="227" t="n"/>
      <c r="IM73" s="227" t="n"/>
      <c r="IN73" s="227" t="n"/>
      <c r="IO73" s="227" t="n"/>
      <c r="IP73" s="227" t="n"/>
      <c r="IQ73" s="227" t="n"/>
      <c r="IR73" s="227" t="n"/>
      <c r="IS73" s="227" t="n"/>
      <c r="IT73" s="227" t="n"/>
      <c r="IU73" s="227" t="n"/>
      <c r="IV73" s="227" t="n"/>
      <c r="IW73" s="227" t="n"/>
      <c r="IX73" s="227" t="n"/>
      <c r="IY73" s="227" t="n"/>
      <c r="IZ73" s="227" t="n"/>
      <c r="JA73" s="227" t="n"/>
      <c r="JB73" s="227" t="n"/>
      <c r="JC73" s="227" t="n"/>
      <c r="JD73" s="227" t="n"/>
      <c r="JE73" s="227" t="n"/>
      <c r="JF73" s="227" t="n"/>
      <c r="JG73" s="227" t="n"/>
      <c r="JH73" s="227" t="n"/>
      <c r="JI73" s="227" t="n"/>
      <c r="JJ73" s="227" t="n"/>
      <c r="JK73" s="227" t="n"/>
      <c r="JL73" s="227" t="n"/>
      <c r="JM73" s="227" t="n"/>
      <c r="JN73" s="227" t="n"/>
      <c r="JO73" s="227" t="n"/>
      <c r="JP73" s="227" t="n"/>
      <c r="JQ73" s="227" t="n"/>
      <c r="JR73" s="227" t="n"/>
      <c r="JS73" s="227" t="n"/>
      <c r="JT73" s="227" t="n"/>
      <c r="JU73" s="227" t="n"/>
      <c r="JV73" s="227" t="n"/>
      <c r="JW73" s="227" t="n"/>
      <c r="JX73" s="227" t="n"/>
      <c r="JY73" s="227" t="n"/>
      <c r="JZ73" s="227" t="n"/>
      <c r="KA73" s="227" t="n"/>
      <c r="KB73" s="227" t="n"/>
      <c r="KC73" s="227" t="n"/>
      <c r="KD73" s="227" t="n"/>
      <c r="KE73" s="227" t="n"/>
      <c r="KF73" s="227" t="n"/>
      <c r="KG73" s="227" t="n"/>
      <c r="KH73" s="227" t="n"/>
      <c r="KI73" s="227" t="n"/>
      <c r="KJ73" s="227" t="n"/>
      <c r="KK73" s="227" t="n"/>
      <c r="KL73" s="227" t="n"/>
      <c r="KM73" s="227" t="n"/>
      <c r="KN73" s="227" t="n"/>
      <c r="KO73" s="227" t="n"/>
      <c r="KP73" s="227" t="n"/>
      <c r="KQ73" s="227" t="n"/>
      <c r="KR73" s="227" t="n"/>
      <c r="KS73" s="227" t="n"/>
      <c r="KT73" s="227" t="n"/>
      <c r="KU73" s="227" t="n"/>
      <c r="KV73" s="227" t="n"/>
      <c r="KW73" s="227" t="n"/>
      <c r="KX73" s="227" t="n"/>
      <c r="KY73" s="227" t="n"/>
      <c r="KZ73" s="227" t="n"/>
      <c r="LA73" s="227" t="n"/>
      <c r="LB73" s="227" t="n"/>
      <c r="LC73" s="227" t="n"/>
      <c r="LD73" s="227" t="n"/>
      <c r="LE73" s="227" t="n"/>
      <c r="LF73" s="227" t="n"/>
      <c r="LG73" s="227" t="n"/>
      <c r="LH73" s="227" t="n"/>
      <c r="LI73" s="227" t="n"/>
      <c r="LJ73" s="227" t="n"/>
      <c r="LK73" s="227" t="n"/>
      <c r="LL73" s="227" t="n"/>
      <c r="LM73" s="227" t="n"/>
      <c r="LN73" s="227" t="n"/>
      <c r="LO73" s="227" t="n"/>
      <c r="LP73" s="227" t="n"/>
      <c r="LQ73" s="227" t="n"/>
      <c r="LR73" s="227" t="n"/>
      <c r="LS73" s="227" t="n"/>
      <c r="LT73" s="227" t="n"/>
      <c r="LU73" s="227" t="n"/>
      <c r="LV73" s="227" t="n"/>
      <c r="LW73" s="227" t="n"/>
      <c r="LX73" s="227" t="n"/>
      <c r="LY73" s="227" t="n"/>
      <c r="LZ73" s="227" t="n"/>
      <c r="MA73" s="227" t="n"/>
      <c r="MB73" s="227" t="n"/>
      <c r="MC73" s="227" t="n"/>
      <c r="MD73" s="227" t="n"/>
      <c r="ME73" s="227" t="n"/>
      <c r="MF73" s="227" t="n"/>
      <c r="MG73" s="227" t="n"/>
      <c r="MH73" s="227" t="n"/>
      <c r="MI73" s="227" t="n"/>
      <c r="MJ73" s="227" t="n"/>
      <c r="MK73" s="227" t="n"/>
      <c r="ML73" s="227" t="n"/>
      <c r="MM73" s="227" t="n"/>
      <c r="MN73" s="227" t="n"/>
      <c r="MO73" s="227" t="n"/>
      <c r="MP73" s="227" t="n"/>
      <c r="MQ73" s="227" t="n"/>
      <c r="MR73" s="227" t="n"/>
      <c r="MS73" s="227" t="n"/>
      <c r="MT73" s="227" t="n"/>
      <c r="MU73" s="227" t="n"/>
      <c r="MV73" s="227" t="n"/>
      <c r="MW73" s="227" t="n"/>
      <c r="MX73" s="227" t="n"/>
      <c r="MY73" s="227" t="n"/>
      <c r="MZ73" s="227" t="n"/>
      <c r="NA73" s="227" t="n"/>
      <c r="NB73" s="227" t="n"/>
      <c r="NC73" s="228">
        <f>SUM(B73:NB73)</f>
        <v/>
      </c>
    </row>
    <row r="74" ht="14.25" customHeight="1" s="166">
      <c r="A74" s="214" t="inlineStr">
        <is>
          <t>BTU-60-RDE-02-09</t>
        </is>
      </c>
      <c r="B74" s="227" t="n"/>
      <c r="C74" s="227" t="n"/>
      <c r="D74" s="227" t="n"/>
      <c r="E74" s="227" t="n"/>
      <c r="F74" s="227" t="n"/>
      <c r="G74" s="227" t="n"/>
      <c r="H74" s="227" t="n"/>
      <c r="I74" s="227" t="n"/>
      <c r="J74" s="227" t="n"/>
      <c r="K74" s="227" t="n"/>
      <c r="L74" s="227" t="n"/>
      <c r="M74" s="227" t="n"/>
      <c r="N74" s="227" t="n"/>
      <c r="O74" s="227" t="n"/>
      <c r="P74" s="227" t="n"/>
      <c r="Q74" s="227" t="n"/>
      <c r="R74" s="227" t="n"/>
      <c r="S74" s="227" t="n"/>
      <c r="T74" s="227" t="n"/>
      <c r="U74" s="227" t="n"/>
      <c r="V74" s="227" t="n"/>
      <c r="W74" s="227" t="n"/>
      <c r="X74" s="227" t="n"/>
      <c r="Y74" s="227" t="n"/>
      <c r="Z74" s="227" t="n"/>
      <c r="AA74" s="227" t="n"/>
      <c r="AB74" s="227" t="n"/>
      <c r="AC74" s="227" t="n"/>
      <c r="AD74" s="227" t="n"/>
      <c r="AE74" s="227" t="n"/>
      <c r="AF74" s="227" t="n"/>
      <c r="AG74" s="227" t="n"/>
      <c r="AH74" s="227" t="n"/>
      <c r="AI74" s="227" t="n"/>
      <c r="AJ74" s="227" t="n"/>
      <c r="AK74" s="227" t="n"/>
      <c r="AL74" s="227" t="n"/>
      <c r="AM74" s="227" t="n"/>
      <c r="AN74" s="227" t="n"/>
      <c r="AO74" s="227" t="n"/>
      <c r="AP74" s="227" t="n"/>
      <c r="AQ74" s="227" t="n"/>
      <c r="AR74" s="227" t="n"/>
      <c r="AS74" s="227" t="n"/>
      <c r="AT74" s="227" t="n"/>
      <c r="AU74" s="227" t="n"/>
      <c r="AV74" s="227" t="n"/>
      <c r="AW74" s="227" t="n"/>
      <c r="AX74" s="227" t="n"/>
      <c r="AY74" s="227" t="n"/>
      <c r="AZ74" s="227" t="n"/>
      <c r="BA74" s="227" t="n"/>
      <c r="BB74" s="227" t="n"/>
      <c r="BC74" s="227" t="n"/>
      <c r="BD74" s="227" t="n"/>
      <c r="BE74" s="227" t="n"/>
      <c r="BF74" s="227" t="n"/>
      <c r="BG74" s="227" t="n"/>
      <c r="BH74" s="227" t="n"/>
      <c r="BI74" s="227" t="n"/>
      <c r="BJ74" s="227" t="n"/>
      <c r="BK74" s="227" t="n"/>
      <c r="BL74" s="227" t="n"/>
      <c r="BM74" s="227" t="n"/>
      <c r="BN74" s="227" t="n"/>
      <c r="BO74" s="227" t="n"/>
      <c r="BP74" s="227" t="n"/>
      <c r="BQ74" s="227" t="n"/>
      <c r="BR74" s="227" t="n"/>
      <c r="BS74" s="227" t="n"/>
      <c r="BT74" s="227" t="n"/>
      <c r="BU74" s="227" t="n"/>
      <c r="BV74" s="227" t="n"/>
      <c r="BW74" s="227" t="n"/>
      <c r="BX74" s="227" t="n"/>
      <c r="BY74" s="227" t="n"/>
      <c r="BZ74" s="227" t="n"/>
      <c r="CA74" s="227" t="n"/>
      <c r="CB74" s="227" t="n"/>
      <c r="CC74" s="227" t="n"/>
      <c r="CD74" s="227" t="n"/>
      <c r="CE74" s="227" t="n"/>
      <c r="CF74" s="227" t="n"/>
      <c r="CG74" s="227" t="n"/>
      <c r="CH74" s="227" t="n"/>
      <c r="CI74" s="227" t="n"/>
      <c r="CJ74" s="227" t="n"/>
      <c r="CK74" s="227" t="n"/>
      <c r="CL74" s="227" t="n"/>
      <c r="CM74" s="227" t="n"/>
      <c r="CN74" s="227" t="n"/>
      <c r="CO74" s="227" t="n"/>
      <c r="CP74" s="227" t="n"/>
      <c r="CQ74" s="227" t="n"/>
      <c r="CR74" s="227" t="n"/>
      <c r="CS74" s="227" t="n"/>
      <c r="CT74" s="227" t="n"/>
      <c r="CU74" s="227" t="n"/>
      <c r="CV74" s="227" t="n"/>
      <c r="CW74" s="227" t="n"/>
      <c r="CX74" s="227" t="n"/>
      <c r="CY74" s="227" t="n"/>
      <c r="CZ74" s="227" t="n"/>
      <c r="DA74" s="227" t="n"/>
      <c r="DB74" s="227" t="n"/>
      <c r="DC74" s="227" t="n"/>
      <c r="DD74" s="227" t="n"/>
      <c r="DE74" s="227" t="n"/>
      <c r="DF74" s="227" t="n"/>
      <c r="DG74" s="227" t="n"/>
      <c r="DH74" s="227" t="n"/>
      <c r="DI74" s="227" t="n"/>
      <c r="DJ74" s="227" t="n"/>
      <c r="DK74" s="227" t="n"/>
      <c r="DL74" s="227" t="n"/>
      <c r="DM74" s="227" t="n"/>
      <c r="DN74" s="227" t="n"/>
      <c r="DO74" s="227" t="n"/>
      <c r="DP74" s="227" t="n"/>
      <c r="DQ74" s="227" t="n"/>
      <c r="DR74" s="227" t="n"/>
      <c r="DS74" s="227" t="n"/>
      <c r="DT74" s="227" t="n"/>
      <c r="DU74" s="227" t="n"/>
      <c r="DV74" s="227" t="n"/>
      <c r="DW74" s="227" t="n"/>
      <c r="DX74" s="227" t="n"/>
      <c r="DY74" s="227" t="n"/>
      <c r="DZ74" s="227" t="n"/>
      <c r="EA74" s="227" t="n"/>
      <c r="EB74" s="227" t="n"/>
      <c r="EC74" s="227" t="n"/>
      <c r="ED74" s="227" t="n"/>
      <c r="EE74" s="227" t="n"/>
      <c r="EF74" s="227" t="n"/>
      <c r="EG74" s="227" t="n"/>
      <c r="EH74" s="227" t="n"/>
      <c r="EI74" s="227" t="n"/>
      <c r="EJ74" s="227" t="n"/>
      <c r="EK74" s="227" t="n"/>
      <c r="EL74" s="227" t="n"/>
      <c r="EM74" s="227" t="n"/>
      <c r="EN74" s="227" t="n"/>
      <c r="EO74" s="227" t="n"/>
      <c r="EP74" s="227" t="n"/>
      <c r="EQ74" s="227" t="n"/>
      <c r="ER74" s="227" t="n"/>
      <c r="ES74" s="227" t="n"/>
      <c r="ET74" s="227" t="n"/>
      <c r="EU74" s="227" t="n"/>
      <c r="EV74" s="227" t="n"/>
      <c r="EW74" s="227" t="n"/>
      <c r="EX74" s="227" t="n"/>
      <c r="EY74" s="227" t="n"/>
      <c r="EZ74" s="227" t="n"/>
      <c r="FA74" s="227" t="n"/>
      <c r="FB74" s="227" t="n"/>
      <c r="FC74" s="227" t="n"/>
      <c r="FD74" s="227" t="n"/>
      <c r="FE74" s="227" t="n"/>
      <c r="FF74" s="227" t="n"/>
      <c r="FG74" s="227" t="n"/>
      <c r="FH74" s="227" t="n"/>
      <c r="FI74" s="227" t="n"/>
      <c r="FJ74" s="227" t="n"/>
      <c r="FK74" s="227" t="n"/>
      <c r="FL74" s="227" t="n"/>
      <c r="FM74" s="227" t="n"/>
      <c r="FN74" s="227" t="n"/>
      <c r="FO74" s="227" t="n"/>
      <c r="FP74" s="227" t="n"/>
      <c r="FQ74" s="227" t="n"/>
      <c r="FR74" s="227" t="n"/>
      <c r="FS74" s="227" t="n"/>
      <c r="FT74" s="227" t="n"/>
      <c r="FU74" s="227" t="n"/>
      <c r="FV74" s="227" t="n"/>
      <c r="FW74" s="227" t="n"/>
      <c r="FX74" s="227" t="n"/>
      <c r="FY74" s="227" t="n"/>
      <c r="FZ74" s="227" t="n"/>
      <c r="GA74" s="227" t="n"/>
      <c r="GB74" s="227" t="n"/>
      <c r="GC74" s="227" t="n"/>
      <c r="GD74" s="227" t="n"/>
      <c r="GE74" s="227" t="n"/>
      <c r="GF74" s="227" t="n"/>
      <c r="GG74" s="227" t="n"/>
      <c r="GH74" s="227" t="n"/>
      <c r="GI74" s="227" t="n"/>
      <c r="GJ74" s="227" t="n"/>
      <c r="GK74" s="227" t="n"/>
      <c r="GL74" s="227" t="n"/>
      <c r="GM74" s="227" t="n"/>
      <c r="GN74" s="227" t="n"/>
      <c r="GO74" s="227" t="n"/>
      <c r="GP74" s="227" t="n"/>
      <c r="GQ74" s="227" t="n"/>
      <c r="GR74" s="227" t="n"/>
      <c r="GS74" s="227" t="n"/>
      <c r="GT74" s="227" t="n"/>
      <c r="GU74" s="227" t="n"/>
      <c r="GV74" s="227" t="n"/>
      <c r="GW74" s="227" t="n"/>
      <c r="GX74" s="227" t="n"/>
      <c r="GY74" s="227" t="n"/>
      <c r="GZ74" s="227" t="n"/>
      <c r="HA74" s="227" t="n"/>
      <c r="HB74" s="227" t="n"/>
      <c r="HC74" s="227" t="n"/>
      <c r="HD74" s="227" t="n"/>
      <c r="HE74" s="227" t="n"/>
      <c r="HF74" s="227" t="n"/>
      <c r="HG74" s="227" t="n"/>
      <c r="HH74" s="227" t="n"/>
      <c r="HI74" s="227" t="n"/>
      <c r="HJ74" s="227" t="n"/>
      <c r="HK74" s="227" t="n"/>
      <c r="HL74" s="227" t="n"/>
      <c r="HM74" s="227" t="n"/>
      <c r="HN74" s="227" t="n"/>
      <c r="HO74" s="227" t="n"/>
      <c r="HP74" s="227" t="n"/>
      <c r="HQ74" s="227" t="n"/>
      <c r="HR74" s="227" t="n"/>
      <c r="HS74" s="227" t="n"/>
      <c r="HT74" s="227" t="n"/>
      <c r="HU74" s="227" t="n"/>
      <c r="HV74" s="227" t="n"/>
      <c r="HW74" s="227" t="n"/>
      <c r="HX74" s="227" t="n"/>
      <c r="HY74" s="227" t="n"/>
      <c r="HZ74" s="227" t="n"/>
      <c r="IA74" s="227" t="n"/>
      <c r="IB74" s="227" t="n"/>
      <c r="IC74" s="227" t="n"/>
      <c r="ID74" s="227" t="n"/>
      <c r="IE74" s="227" t="n"/>
      <c r="IF74" s="227" t="n"/>
      <c r="IG74" s="227" t="n"/>
      <c r="IH74" s="227" t="n"/>
      <c r="II74" s="227" t="n"/>
      <c r="IJ74" s="227" t="n"/>
      <c r="IK74" s="227" t="n"/>
      <c r="IL74" s="227" t="n"/>
      <c r="IM74" s="227" t="n"/>
      <c r="IN74" s="227" t="n"/>
      <c r="IO74" s="227" t="n"/>
      <c r="IP74" s="227" t="n"/>
      <c r="IQ74" s="227" t="n"/>
      <c r="IR74" s="227" t="n"/>
      <c r="IS74" s="227" t="n"/>
      <c r="IT74" s="227" t="n"/>
      <c r="IU74" s="227" t="n"/>
      <c r="IV74" s="227" t="n"/>
      <c r="IW74" s="227" t="n"/>
      <c r="IX74" s="227" t="n"/>
      <c r="IY74" s="227" t="n"/>
      <c r="IZ74" s="227" t="n"/>
      <c r="JA74" s="227" t="n"/>
      <c r="JB74" s="227" t="n"/>
      <c r="JC74" s="227" t="n"/>
      <c r="JD74" s="227" t="n"/>
      <c r="JE74" s="227" t="n"/>
      <c r="JF74" s="227" t="n"/>
      <c r="JG74" s="227" t="n"/>
      <c r="JH74" s="227" t="n"/>
      <c r="JI74" s="227" t="n"/>
      <c r="JJ74" s="227" t="n"/>
      <c r="JK74" s="227" t="n"/>
      <c r="JL74" s="227" t="n"/>
      <c r="JM74" s="227" t="n"/>
      <c r="JN74" s="227" t="n"/>
      <c r="JO74" s="227" t="n"/>
      <c r="JP74" s="227" t="n"/>
      <c r="JQ74" s="227" t="n"/>
      <c r="JR74" s="227" t="n"/>
      <c r="JS74" s="227" t="n"/>
      <c r="JT74" s="227" t="n"/>
      <c r="JU74" s="227" t="n"/>
      <c r="JV74" s="227" t="n"/>
      <c r="JW74" s="227" t="n"/>
      <c r="JX74" s="227" t="n"/>
      <c r="JY74" s="227" t="n"/>
      <c r="JZ74" s="227" t="n"/>
      <c r="KA74" s="227" t="n"/>
      <c r="KB74" s="227" t="n"/>
      <c r="KC74" s="227" t="n"/>
      <c r="KD74" s="227" t="n"/>
      <c r="KE74" s="227" t="n"/>
      <c r="KF74" s="227" t="n"/>
      <c r="KG74" s="227" t="n"/>
      <c r="KH74" s="227" t="n"/>
      <c r="KI74" s="227" t="n"/>
      <c r="KJ74" s="227" t="n"/>
      <c r="KK74" s="227" t="n"/>
      <c r="KL74" s="227" t="n"/>
      <c r="KM74" s="227" t="n"/>
      <c r="KN74" s="227" t="n"/>
      <c r="KO74" s="227" t="n"/>
      <c r="KP74" s="227" t="n"/>
      <c r="KQ74" s="227" t="n"/>
      <c r="KR74" s="227" t="n"/>
      <c r="KS74" s="227" t="n"/>
      <c r="KT74" s="227" t="n"/>
      <c r="KU74" s="227" t="n"/>
      <c r="KV74" s="227" t="n"/>
      <c r="KW74" s="227" t="n"/>
      <c r="KX74" s="227" t="n"/>
      <c r="KY74" s="227" t="n"/>
      <c r="KZ74" s="227" t="n"/>
      <c r="LA74" s="227" t="n"/>
      <c r="LB74" s="227" t="n"/>
      <c r="LC74" s="227" t="n"/>
      <c r="LD74" s="227" t="n"/>
      <c r="LE74" s="227" t="n"/>
      <c r="LF74" s="227" t="n"/>
      <c r="LG74" s="227" t="n"/>
      <c r="LH74" s="227" t="n"/>
      <c r="LI74" s="227" t="n"/>
      <c r="LJ74" s="227" t="n"/>
      <c r="LK74" s="227" t="n"/>
      <c r="LL74" s="227" t="n"/>
      <c r="LM74" s="227" t="n"/>
      <c r="LN74" s="227" t="n"/>
      <c r="LO74" s="227" t="n"/>
      <c r="LP74" s="227" t="n"/>
      <c r="LQ74" s="227" t="n"/>
      <c r="LR74" s="227" t="n"/>
      <c r="LS74" s="227" t="n"/>
      <c r="LT74" s="227" t="n"/>
      <c r="LU74" s="227" t="n"/>
      <c r="LV74" s="227" t="n"/>
      <c r="LW74" s="227" t="n"/>
      <c r="LX74" s="227" t="n"/>
      <c r="LY74" s="227" t="n"/>
      <c r="LZ74" s="227" t="n"/>
      <c r="MA74" s="227" t="n"/>
      <c r="MB74" s="227" t="n"/>
      <c r="MC74" s="227" t="n"/>
      <c r="MD74" s="227" t="n"/>
      <c r="ME74" s="227" t="n"/>
      <c r="MF74" s="227" t="n"/>
      <c r="MG74" s="227" t="n"/>
      <c r="MH74" s="227" t="n"/>
      <c r="MI74" s="227" t="n"/>
      <c r="MJ74" s="227" t="n"/>
      <c r="MK74" s="227" t="n"/>
      <c r="ML74" s="227" t="n"/>
      <c r="MM74" s="227" t="n"/>
      <c r="MN74" s="227" t="n"/>
      <c r="MO74" s="227" t="n"/>
      <c r="MP74" s="227" t="n"/>
      <c r="MQ74" s="227" t="n"/>
      <c r="MR74" s="227" t="n"/>
      <c r="MS74" s="227" t="n"/>
      <c r="MT74" s="227" t="n"/>
      <c r="MU74" s="227" t="n"/>
      <c r="MV74" s="227" t="n"/>
      <c r="MW74" s="227" t="n"/>
      <c r="MX74" s="227" t="n"/>
      <c r="MY74" s="227" t="n"/>
      <c r="MZ74" s="227" t="n"/>
      <c r="NA74" s="227" t="n"/>
      <c r="NB74" s="227" t="n"/>
      <c r="NC74" s="228">
        <f>SUM(B74:NB74)</f>
        <v/>
      </c>
    </row>
    <row r="75" ht="14.25" customHeight="1" s="166">
      <c r="A75" s="214" t="inlineStr">
        <is>
          <t>BTU-60-RDE-02-10</t>
        </is>
      </c>
      <c r="B75" s="227" t="n"/>
      <c r="C75" s="227" t="n"/>
      <c r="D75" s="227" t="n"/>
      <c r="E75" s="227" t="n"/>
      <c r="F75" s="227" t="n"/>
      <c r="G75" s="227" t="n"/>
      <c r="H75" s="227" t="n"/>
      <c r="I75" s="227" t="n"/>
      <c r="J75" s="227" t="n"/>
      <c r="K75" s="227" t="n"/>
      <c r="L75" s="227" t="n"/>
      <c r="M75" s="227" t="n"/>
      <c r="N75" s="227" t="n"/>
      <c r="O75" s="227" t="n"/>
      <c r="P75" s="227" t="n"/>
      <c r="Q75" s="227" t="n"/>
      <c r="R75" s="227" t="n"/>
      <c r="S75" s="227" t="n"/>
      <c r="T75" s="227" t="n"/>
      <c r="U75" s="227" t="n"/>
      <c r="V75" s="227" t="n"/>
      <c r="W75" s="227" t="n"/>
      <c r="X75" s="227" t="n"/>
      <c r="Y75" s="227" t="n"/>
      <c r="Z75" s="227" t="n"/>
      <c r="AA75" s="227" t="n"/>
      <c r="AB75" s="227" t="n"/>
      <c r="AC75" s="227" t="n"/>
      <c r="AD75" s="227" t="n"/>
      <c r="AE75" s="227" t="n"/>
      <c r="AF75" s="227" t="n"/>
      <c r="AG75" s="227" t="n"/>
      <c r="AH75" s="227" t="n"/>
      <c r="AI75" s="227" t="n"/>
      <c r="AJ75" s="227" t="n"/>
      <c r="AK75" s="227" t="n"/>
      <c r="AL75" s="227" t="n"/>
      <c r="AM75" s="227" t="n"/>
      <c r="AN75" s="227" t="n"/>
      <c r="AO75" s="227" t="n"/>
      <c r="AP75" s="227" t="n"/>
      <c r="AQ75" s="227" t="n"/>
      <c r="AR75" s="227" t="n"/>
      <c r="AS75" s="227" t="n"/>
      <c r="AT75" s="227" t="n"/>
      <c r="AU75" s="227" t="n"/>
      <c r="AV75" s="227" t="n"/>
      <c r="AW75" s="227" t="n"/>
      <c r="AX75" s="227" t="n"/>
      <c r="AY75" s="227" t="n"/>
      <c r="AZ75" s="227" t="n"/>
      <c r="BA75" s="227" t="n"/>
      <c r="BB75" s="227" t="n"/>
      <c r="BC75" s="227" t="n"/>
      <c r="BD75" s="227" t="n"/>
      <c r="BE75" s="227" t="n"/>
      <c r="BF75" s="227" t="n"/>
      <c r="BG75" s="227" t="n"/>
      <c r="BH75" s="227" t="n"/>
      <c r="BI75" s="227" t="n"/>
      <c r="BJ75" s="227" t="n"/>
      <c r="BK75" s="227" t="n"/>
      <c r="BL75" s="227" t="n"/>
      <c r="BM75" s="227" t="n"/>
      <c r="BN75" s="227" t="n"/>
      <c r="BO75" s="227" t="n"/>
      <c r="BP75" s="227" t="n"/>
      <c r="BQ75" s="227" t="n"/>
      <c r="BR75" s="227" t="n"/>
      <c r="BS75" s="227" t="n"/>
      <c r="BT75" s="227" t="n"/>
      <c r="BU75" s="227" t="n"/>
      <c r="BV75" s="227" t="n"/>
      <c r="BW75" s="227" t="n"/>
      <c r="BX75" s="227" t="n"/>
      <c r="BY75" s="227" t="n"/>
      <c r="BZ75" s="227" t="n"/>
      <c r="CA75" s="227" t="n"/>
      <c r="CB75" s="227" t="n"/>
      <c r="CC75" s="227" t="n"/>
      <c r="CD75" s="227" t="n"/>
      <c r="CE75" s="227" t="n"/>
      <c r="CF75" s="227" t="n"/>
      <c r="CG75" s="227" t="n"/>
      <c r="CH75" s="227" t="n"/>
      <c r="CI75" s="227" t="n"/>
      <c r="CJ75" s="227" t="n"/>
      <c r="CK75" s="227" t="n"/>
      <c r="CL75" s="227" t="n"/>
      <c r="CM75" s="227" t="n"/>
      <c r="CN75" s="227" t="n"/>
      <c r="CO75" s="227" t="n"/>
      <c r="CP75" s="227" t="n"/>
      <c r="CQ75" s="227" t="n"/>
      <c r="CR75" s="227" t="n"/>
      <c r="CS75" s="227" t="n"/>
      <c r="CT75" s="227" t="n"/>
      <c r="CU75" s="227" t="n"/>
      <c r="CV75" s="227" t="n"/>
      <c r="CW75" s="227" t="n"/>
      <c r="CX75" s="227" t="n"/>
      <c r="CY75" s="227" t="n"/>
      <c r="CZ75" s="227" t="n"/>
      <c r="DA75" s="227" t="n"/>
      <c r="DB75" s="227" t="n"/>
      <c r="DC75" s="227" t="n"/>
      <c r="DD75" s="227" t="n"/>
      <c r="DE75" s="227" t="n"/>
      <c r="DF75" s="227" t="n"/>
      <c r="DG75" s="227" t="n"/>
      <c r="DH75" s="227" t="n"/>
      <c r="DI75" s="227" t="n"/>
      <c r="DJ75" s="227" t="n"/>
      <c r="DK75" s="227" t="n"/>
      <c r="DL75" s="227" t="n"/>
      <c r="DM75" s="227" t="n"/>
      <c r="DN75" s="227" t="n"/>
      <c r="DO75" s="227" t="n"/>
      <c r="DP75" s="227" t="n"/>
      <c r="DQ75" s="227" t="n"/>
      <c r="DR75" s="227" t="n"/>
      <c r="DS75" s="227" t="n"/>
      <c r="DT75" s="227" t="n"/>
      <c r="DU75" s="227" t="n"/>
      <c r="DV75" s="227" t="n"/>
      <c r="DW75" s="227" t="n"/>
      <c r="DX75" s="227" t="n"/>
      <c r="DY75" s="227" t="n"/>
      <c r="DZ75" s="227" t="n"/>
      <c r="EA75" s="227" t="n"/>
      <c r="EB75" s="227" t="n"/>
      <c r="EC75" s="227" t="n"/>
      <c r="ED75" s="227" t="n"/>
      <c r="EE75" s="227" t="n"/>
      <c r="EF75" s="227" t="n"/>
      <c r="EG75" s="227" t="n"/>
      <c r="EH75" s="227" t="n"/>
      <c r="EI75" s="227" t="n"/>
      <c r="EJ75" s="227" t="n"/>
      <c r="EK75" s="227" t="n"/>
      <c r="EL75" s="227" t="n"/>
      <c r="EM75" s="227" t="n"/>
      <c r="EN75" s="227" t="n"/>
      <c r="EO75" s="227" t="n"/>
      <c r="EP75" s="227" t="n"/>
      <c r="EQ75" s="227" t="n"/>
      <c r="ER75" s="227" t="n"/>
      <c r="ES75" s="227" t="n"/>
      <c r="ET75" s="227" t="n"/>
      <c r="EU75" s="227" t="n"/>
      <c r="EV75" s="227" t="n"/>
      <c r="EW75" s="227" t="n"/>
      <c r="EX75" s="227" t="n"/>
      <c r="EY75" s="227" t="n"/>
      <c r="EZ75" s="227" t="n"/>
      <c r="FA75" s="227" t="n"/>
      <c r="FB75" s="227" t="n"/>
      <c r="FC75" s="227" t="n"/>
      <c r="FD75" s="227" t="n"/>
      <c r="FE75" s="227" t="n"/>
      <c r="FF75" s="227" t="n"/>
      <c r="FG75" s="227" t="n"/>
      <c r="FH75" s="227" t="n"/>
      <c r="FI75" s="227" t="n"/>
      <c r="FJ75" s="227" t="n"/>
      <c r="FK75" s="227" t="n"/>
      <c r="FL75" s="227" t="n"/>
      <c r="FM75" s="227" t="n"/>
      <c r="FN75" s="227" t="n"/>
      <c r="FO75" s="227" t="n"/>
      <c r="FP75" s="227" t="n"/>
      <c r="FQ75" s="227" t="n"/>
      <c r="FR75" s="227" t="n"/>
      <c r="FS75" s="227" t="n"/>
      <c r="FT75" s="227" t="n"/>
      <c r="FU75" s="227" t="n"/>
      <c r="FV75" s="227" t="n"/>
      <c r="FW75" s="227" t="n"/>
      <c r="FX75" s="227" t="n"/>
      <c r="FY75" s="227" t="n"/>
      <c r="FZ75" s="227" t="n"/>
      <c r="GA75" s="227" t="n"/>
      <c r="GB75" s="227" t="n"/>
      <c r="GC75" s="227" t="n"/>
      <c r="GD75" s="227" t="n"/>
      <c r="GE75" s="227" t="n"/>
      <c r="GF75" s="227" t="n"/>
      <c r="GG75" s="227" t="n"/>
      <c r="GH75" s="227" t="n"/>
      <c r="GI75" s="227" t="n"/>
      <c r="GJ75" s="227" t="n"/>
      <c r="GK75" s="227" t="n"/>
      <c r="GL75" s="227" t="n"/>
      <c r="GM75" s="227" t="n"/>
      <c r="GN75" s="227" t="n"/>
      <c r="GO75" s="227" t="n"/>
      <c r="GP75" s="227" t="n"/>
      <c r="GQ75" s="227" t="n"/>
      <c r="GR75" s="227" t="n"/>
      <c r="GS75" s="227" t="n"/>
      <c r="GT75" s="227" t="n"/>
      <c r="GU75" s="227" t="n"/>
      <c r="GV75" s="227" t="n"/>
      <c r="GW75" s="227" t="n"/>
      <c r="GX75" s="227" t="n"/>
      <c r="GY75" s="227" t="n"/>
      <c r="GZ75" s="227" t="n"/>
      <c r="HA75" s="227" t="n"/>
      <c r="HB75" s="227" t="n"/>
      <c r="HC75" s="227" t="n"/>
      <c r="HD75" s="227" t="n"/>
      <c r="HE75" s="227" t="n"/>
      <c r="HF75" s="227" t="n"/>
      <c r="HG75" s="227" t="n"/>
      <c r="HH75" s="227" t="n"/>
      <c r="HI75" s="227" t="n"/>
      <c r="HJ75" s="227" t="n"/>
      <c r="HK75" s="227" t="n"/>
      <c r="HL75" s="227" t="n"/>
      <c r="HM75" s="227" t="n"/>
      <c r="HN75" s="227" t="n"/>
      <c r="HO75" s="227" t="n"/>
      <c r="HP75" s="227" t="n"/>
      <c r="HQ75" s="227" t="n"/>
      <c r="HR75" s="227" t="n"/>
      <c r="HS75" s="227" t="n"/>
      <c r="HT75" s="227" t="n"/>
      <c r="HU75" s="227" t="n"/>
      <c r="HV75" s="227" t="n"/>
      <c r="HW75" s="227" t="n"/>
      <c r="HX75" s="227" t="n"/>
      <c r="HY75" s="227" t="n"/>
      <c r="HZ75" s="227" t="n"/>
      <c r="IA75" s="227" t="n"/>
      <c r="IB75" s="227" t="n"/>
      <c r="IC75" s="227" t="n"/>
      <c r="ID75" s="227" t="n"/>
      <c r="IE75" s="227" t="n"/>
      <c r="IF75" s="227" t="n"/>
      <c r="IG75" s="227" t="n"/>
      <c r="IH75" s="227" t="n"/>
      <c r="II75" s="227" t="n"/>
      <c r="IJ75" s="227" t="n"/>
      <c r="IK75" s="227" t="n"/>
      <c r="IL75" s="227" t="n"/>
      <c r="IM75" s="227" t="n"/>
      <c r="IN75" s="227" t="n"/>
      <c r="IO75" s="227" t="n"/>
      <c r="IP75" s="227" t="n"/>
      <c r="IQ75" s="227" t="n"/>
      <c r="IR75" s="227" t="n"/>
      <c r="IS75" s="227" t="n"/>
      <c r="IT75" s="227" t="n"/>
      <c r="IU75" s="227" t="n"/>
      <c r="IV75" s="227" t="n"/>
      <c r="IW75" s="227" t="n"/>
      <c r="IX75" s="227" t="n"/>
      <c r="IY75" s="227" t="n"/>
      <c r="IZ75" s="227" t="n"/>
      <c r="JA75" s="227" t="n"/>
      <c r="JB75" s="227" t="n"/>
      <c r="JC75" s="227" t="n"/>
      <c r="JD75" s="227" t="n"/>
      <c r="JE75" s="227" t="n"/>
      <c r="JF75" s="227" t="n"/>
      <c r="JG75" s="227" t="n"/>
      <c r="JH75" s="227" t="n"/>
      <c r="JI75" s="227" t="n"/>
      <c r="JJ75" s="227" t="n"/>
      <c r="JK75" s="227" t="n"/>
      <c r="JL75" s="227" t="n"/>
      <c r="JM75" s="227" t="n"/>
      <c r="JN75" s="227" t="n"/>
      <c r="JO75" s="227" t="n"/>
      <c r="JP75" s="227" t="n"/>
      <c r="JQ75" s="227" t="n"/>
      <c r="JR75" s="227" t="n"/>
      <c r="JS75" s="227" t="n"/>
      <c r="JT75" s="227" t="n"/>
      <c r="JU75" s="227" t="n"/>
      <c r="JV75" s="227" t="n"/>
      <c r="JW75" s="227" t="n"/>
      <c r="JX75" s="227" t="n"/>
      <c r="JY75" s="227" t="n"/>
      <c r="JZ75" s="227" t="n"/>
      <c r="KA75" s="227" t="n"/>
      <c r="KB75" s="227" t="n"/>
      <c r="KC75" s="227" t="n"/>
      <c r="KD75" s="227" t="n"/>
      <c r="KE75" s="227" t="n"/>
      <c r="KF75" s="227" t="n"/>
      <c r="KG75" s="227" t="n"/>
      <c r="KH75" s="227" t="n"/>
      <c r="KI75" s="227" t="n"/>
      <c r="KJ75" s="227" t="n"/>
      <c r="KK75" s="227" t="n"/>
      <c r="KL75" s="227" t="n"/>
      <c r="KM75" s="227" t="n"/>
      <c r="KN75" s="227" t="n"/>
      <c r="KO75" s="227" t="n"/>
      <c r="KP75" s="227" t="n"/>
      <c r="KQ75" s="227" t="n"/>
      <c r="KR75" s="227" t="n"/>
      <c r="KS75" s="227" t="n"/>
      <c r="KT75" s="227" t="n"/>
      <c r="KU75" s="227" t="n"/>
      <c r="KV75" s="227" t="n"/>
      <c r="KW75" s="227" t="n"/>
      <c r="KX75" s="227" t="n"/>
      <c r="KY75" s="227" t="n"/>
      <c r="KZ75" s="227" t="n"/>
      <c r="LA75" s="227" t="n"/>
      <c r="LB75" s="227" t="n"/>
      <c r="LC75" s="227" t="n"/>
      <c r="LD75" s="227" t="n"/>
      <c r="LE75" s="227" t="n"/>
      <c r="LF75" s="227" t="n"/>
      <c r="LG75" s="227" t="n"/>
      <c r="LH75" s="227" t="n"/>
      <c r="LI75" s="227" t="n"/>
      <c r="LJ75" s="227" t="n"/>
      <c r="LK75" s="227" t="n"/>
      <c r="LL75" s="227" t="n"/>
      <c r="LM75" s="227" t="n"/>
      <c r="LN75" s="227" t="n"/>
      <c r="LO75" s="227" t="n"/>
      <c r="LP75" s="227" t="n"/>
      <c r="LQ75" s="227" t="n"/>
      <c r="LR75" s="227" t="n"/>
      <c r="LS75" s="227" t="n"/>
      <c r="LT75" s="227" t="n"/>
      <c r="LU75" s="227" t="n"/>
      <c r="LV75" s="227" t="n"/>
      <c r="LW75" s="227" t="n"/>
      <c r="LX75" s="227" t="n"/>
      <c r="LY75" s="227" t="n"/>
      <c r="LZ75" s="227" t="n"/>
      <c r="MA75" s="227" t="n"/>
      <c r="MB75" s="227" t="n"/>
      <c r="MC75" s="227" t="n"/>
      <c r="MD75" s="227" t="n"/>
      <c r="ME75" s="227" t="n"/>
      <c r="MF75" s="227" t="n"/>
      <c r="MG75" s="227" t="n"/>
      <c r="MH75" s="227" t="n"/>
      <c r="MI75" s="227" t="n"/>
      <c r="MJ75" s="227" t="n"/>
      <c r="MK75" s="227" t="n"/>
      <c r="ML75" s="227" t="n"/>
      <c r="MM75" s="227" t="n"/>
      <c r="MN75" s="227" t="n"/>
      <c r="MO75" s="227" t="n"/>
      <c r="MP75" s="227" t="n"/>
      <c r="MQ75" s="227" t="n"/>
      <c r="MR75" s="227" t="n"/>
      <c r="MS75" s="227" t="n"/>
      <c r="MT75" s="227" t="n"/>
      <c r="MU75" s="227" t="n"/>
      <c r="MV75" s="227" t="n"/>
      <c r="MW75" s="227" t="n"/>
      <c r="MX75" s="227" t="n"/>
      <c r="MY75" s="227" t="n"/>
      <c r="MZ75" s="227" t="n"/>
      <c r="NA75" s="227" t="n"/>
      <c r="NB75" s="227" t="n"/>
      <c r="NC75" s="228">
        <f>SUM(B75:NB75)</f>
        <v/>
      </c>
    </row>
    <row r="76" ht="14.25" customHeight="1" s="166">
      <c r="A76" s="214" t="inlineStr">
        <is>
          <t>BTU-60-RDE-02-11</t>
        </is>
      </c>
      <c r="B76" s="227" t="n"/>
      <c r="C76" s="227" t="n"/>
      <c r="D76" s="227" t="n"/>
      <c r="E76" s="227" t="n"/>
      <c r="F76" s="227" t="n"/>
      <c r="G76" s="227" t="n"/>
      <c r="H76" s="227" t="n"/>
      <c r="I76" s="227" t="n"/>
      <c r="J76" s="227" t="n"/>
      <c r="K76" s="227" t="n"/>
      <c r="L76" s="227" t="n"/>
      <c r="M76" s="227" t="n"/>
      <c r="N76" s="227" t="n"/>
      <c r="O76" s="227" t="n"/>
      <c r="P76" s="227" t="n"/>
      <c r="Q76" s="227" t="n"/>
      <c r="R76" s="227" t="n"/>
      <c r="S76" s="227" t="n"/>
      <c r="T76" s="227" t="n"/>
      <c r="U76" s="227" t="n"/>
      <c r="V76" s="227" t="n"/>
      <c r="W76" s="227" t="n"/>
      <c r="X76" s="227" t="n"/>
      <c r="Y76" s="227" t="n"/>
      <c r="Z76" s="227" t="n"/>
      <c r="AA76" s="227" t="n"/>
      <c r="AB76" s="227" t="n"/>
      <c r="AC76" s="227" t="n"/>
      <c r="AD76" s="227" t="n"/>
      <c r="AE76" s="227" t="n"/>
      <c r="AF76" s="227" t="n"/>
      <c r="AG76" s="227" t="n"/>
      <c r="AH76" s="227" t="n"/>
      <c r="AI76" s="227" t="n"/>
      <c r="AJ76" s="227" t="n"/>
      <c r="AK76" s="227" t="n"/>
      <c r="AL76" s="227" t="n"/>
      <c r="AM76" s="227" t="n"/>
      <c r="AN76" s="227" t="n"/>
      <c r="AO76" s="227" t="n"/>
      <c r="AP76" s="227" t="n"/>
      <c r="AQ76" s="227" t="n"/>
      <c r="AR76" s="227" t="n"/>
      <c r="AS76" s="227" t="n"/>
      <c r="AT76" s="227" t="n"/>
      <c r="AU76" s="227" t="n"/>
      <c r="AV76" s="227" t="n"/>
      <c r="AW76" s="227" t="n"/>
      <c r="AX76" s="227" t="n"/>
      <c r="AY76" s="227" t="n"/>
      <c r="AZ76" s="227" t="n"/>
      <c r="BA76" s="227" t="n"/>
      <c r="BB76" s="227" t="n"/>
      <c r="BC76" s="227" t="n"/>
      <c r="BD76" s="227" t="n"/>
      <c r="BE76" s="227" t="n"/>
      <c r="BF76" s="227" t="n"/>
      <c r="BG76" s="227" t="n"/>
      <c r="BH76" s="227" t="n"/>
      <c r="BI76" s="227" t="n"/>
      <c r="BJ76" s="227" t="n"/>
      <c r="BK76" s="227" t="n"/>
      <c r="BL76" s="227" t="n"/>
      <c r="BM76" s="227" t="n"/>
      <c r="BN76" s="227" t="n"/>
      <c r="BO76" s="227" t="n"/>
      <c r="BP76" s="227" t="n"/>
      <c r="BQ76" s="227" t="n"/>
      <c r="BR76" s="227" t="n"/>
      <c r="BS76" s="227" t="n"/>
      <c r="BT76" s="227" t="n"/>
      <c r="BU76" s="227" t="n"/>
      <c r="BV76" s="227" t="n"/>
      <c r="BW76" s="227" t="n"/>
      <c r="BX76" s="227" t="n"/>
      <c r="BY76" s="227" t="n"/>
      <c r="BZ76" s="227" t="n"/>
      <c r="CA76" s="227" t="n"/>
      <c r="CB76" s="227" t="n"/>
      <c r="CC76" s="227" t="n"/>
      <c r="CD76" s="227" t="n"/>
      <c r="CE76" s="227" t="n"/>
      <c r="CF76" s="227" t="n"/>
      <c r="CG76" s="227" t="n"/>
      <c r="CH76" s="227" t="n"/>
      <c r="CI76" s="227" t="n"/>
      <c r="CJ76" s="227" t="n"/>
      <c r="CK76" s="227" t="n"/>
      <c r="CL76" s="227" t="n"/>
      <c r="CM76" s="227" t="n"/>
      <c r="CN76" s="227" t="n"/>
      <c r="CO76" s="227" t="n"/>
      <c r="CP76" s="227" t="n"/>
      <c r="CQ76" s="227" t="n"/>
      <c r="CR76" s="227" t="n"/>
      <c r="CS76" s="227" t="n"/>
      <c r="CT76" s="227" t="n"/>
      <c r="CU76" s="227" t="n"/>
      <c r="CV76" s="227" t="n"/>
      <c r="CW76" s="227" t="n"/>
      <c r="CX76" s="227" t="n"/>
      <c r="CY76" s="227" t="n"/>
      <c r="CZ76" s="227" t="n"/>
      <c r="DA76" s="227" t="n"/>
      <c r="DB76" s="227" t="n"/>
      <c r="DC76" s="227" t="n"/>
      <c r="DD76" s="227" t="n"/>
      <c r="DE76" s="227" t="n"/>
      <c r="DF76" s="227" t="n"/>
      <c r="DG76" s="227" t="n"/>
      <c r="DH76" s="227" t="n"/>
      <c r="DI76" s="227" t="n"/>
      <c r="DJ76" s="227" t="n"/>
      <c r="DK76" s="227" t="n"/>
      <c r="DL76" s="227" t="n"/>
      <c r="DM76" s="227" t="n"/>
      <c r="DN76" s="227" t="n"/>
      <c r="DO76" s="227" t="n"/>
      <c r="DP76" s="227" t="n"/>
      <c r="DQ76" s="227" t="n"/>
      <c r="DR76" s="227" t="n"/>
      <c r="DS76" s="227" t="n"/>
      <c r="DT76" s="227" t="n"/>
      <c r="DU76" s="227" t="n"/>
      <c r="DV76" s="227" t="n"/>
      <c r="DW76" s="227" t="n"/>
      <c r="DX76" s="227" t="n"/>
      <c r="DY76" s="227" t="n"/>
      <c r="DZ76" s="227" t="n"/>
      <c r="EA76" s="227" t="n"/>
      <c r="EB76" s="227" t="n"/>
      <c r="EC76" s="227" t="n"/>
      <c r="ED76" s="227" t="n"/>
      <c r="EE76" s="227" t="n"/>
      <c r="EF76" s="227" t="n"/>
      <c r="EG76" s="227" t="n"/>
      <c r="EH76" s="227" t="n"/>
      <c r="EI76" s="227" t="n"/>
      <c r="EJ76" s="227" t="n"/>
      <c r="EK76" s="227" t="n"/>
      <c r="EL76" s="227" t="n"/>
      <c r="EM76" s="227" t="n"/>
      <c r="EN76" s="227" t="n"/>
      <c r="EO76" s="227" t="n"/>
      <c r="EP76" s="227" t="n"/>
      <c r="EQ76" s="227" t="n"/>
      <c r="ER76" s="227" t="n"/>
      <c r="ES76" s="227" t="n"/>
      <c r="ET76" s="227" t="n"/>
      <c r="EU76" s="227" t="n"/>
      <c r="EV76" s="227" t="n"/>
      <c r="EW76" s="227" t="n"/>
      <c r="EX76" s="227" t="n"/>
      <c r="EY76" s="227" t="n"/>
      <c r="EZ76" s="227" t="n"/>
      <c r="FA76" s="227" t="n"/>
      <c r="FB76" s="227" t="n"/>
      <c r="FC76" s="227" t="n"/>
      <c r="FD76" s="227" t="n"/>
      <c r="FE76" s="227" t="n"/>
      <c r="FF76" s="227" t="n"/>
      <c r="FG76" s="227" t="n"/>
      <c r="FH76" s="227" t="n"/>
      <c r="FI76" s="227" t="n"/>
      <c r="FJ76" s="227" t="n"/>
      <c r="FK76" s="227" t="n"/>
      <c r="FL76" s="227" t="n"/>
      <c r="FM76" s="227" t="n"/>
      <c r="FN76" s="227" t="n"/>
      <c r="FO76" s="227" t="n"/>
      <c r="FP76" s="227" t="n"/>
      <c r="FQ76" s="227" t="n"/>
      <c r="FR76" s="227" t="n"/>
      <c r="FS76" s="227" t="n"/>
      <c r="FT76" s="227" t="n"/>
      <c r="FU76" s="227" t="n"/>
      <c r="FV76" s="227" t="n"/>
      <c r="FW76" s="227" t="n"/>
      <c r="FX76" s="227" t="n"/>
      <c r="FY76" s="227" t="n"/>
      <c r="FZ76" s="227" t="n"/>
      <c r="GA76" s="227" t="n"/>
      <c r="GB76" s="227" t="n"/>
      <c r="GC76" s="227" t="n"/>
      <c r="GD76" s="227" t="n"/>
      <c r="GE76" s="227" t="n"/>
      <c r="GF76" s="227" t="n"/>
      <c r="GG76" s="227" t="n"/>
      <c r="GH76" s="227" t="n"/>
      <c r="GI76" s="227" t="n"/>
      <c r="GJ76" s="227" t="n"/>
      <c r="GK76" s="227" t="n"/>
      <c r="GL76" s="227" t="n"/>
      <c r="GM76" s="227" t="n"/>
      <c r="GN76" s="227" t="n"/>
      <c r="GO76" s="227" t="n"/>
      <c r="GP76" s="227" t="n"/>
      <c r="GQ76" s="227" t="n"/>
      <c r="GR76" s="227" t="n"/>
      <c r="GS76" s="227" t="n"/>
      <c r="GT76" s="227" t="n"/>
      <c r="GU76" s="227" t="n"/>
      <c r="GV76" s="227" t="n"/>
      <c r="GW76" s="227" t="n"/>
      <c r="GX76" s="227" t="n"/>
      <c r="GY76" s="227" t="n"/>
      <c r="GZ76" s="227" t="n"/>
      <c r="HA76" s="227" t="n"/>
      <c r="HB76" s="227" t="n"/>
      <c r="HC76" s="227" t="n"/>
      <c r="HD76" s="227" t="n"/>
      <c r="HE76" s="227" t="n"/>
      <c r="HF76" s="227" t="n"/>
      <c r="HG76" s="227" t="n"/>
      <c r="HH76" s="227" t="n"/>
      <c r="HI76" s="227" t="n"/>
      <c r="HJ76" s="227" t="n"/>
      <c r="HK76" s="227" t="n"/>
      <c r="HL76" s="227" t="n"/>
      <c r="HM76" s="227" t="n"/>
      <c r="HN76" s="227" t="n"/>
      <c r="HO76" s="227" t="n"/>
      <c r="HP76" s="227" t="n"/>
      <c r="HQ76" s="227" t="n"/>
      <c r="HR76" s="227" t="n"/>
      <c r="HS76" s="227" t="n"/>
      <c r="HT76" s="227" t="n"/>
      <c r="HU76" s="227" t="n"/>
      <c r="HV76" s="227" t="n"/>
      <c r="HW76" s="227" t="n"/>
      <c r="HX76" s="227" t="n"/>
      <c r="HY76" s="227" t="n"/>
      <c r="HZ76" s="227" t="n"/>
      <c r="IA76" s="227" t="n"/>
      <c r="IB76" s="227" t="n"/>
      <c r="IC76" s="227" t="n"/>
      <c r="ID76" s="227" t="n"/>
      <c r="IE76" s="227" t="n"/>
      <c r="IF76" s="227" t="n"/>
      <c r="IG76" s="227" t="n"/>
      <c r="IH76" s="227" t="n"/>
      <c r="II76" s="227" t="n"/>
      <c r="IJ76" s="227" t="n"/>
      <c r="IK76" s="227" t="n"/>
      <c r="IL76" s="227" t="n"/>
      <c r="IM76" s="227" t="n"/>
      <c r="IN76" s="227" t="n"/>
      <c r="IO76" s="227" t="n"/>
      <c r="IP76" s="227" t="n"/>
      <c r="IQ76" s="227" t="n"/>
      <c r="IR76" s="227" t="n"/>
      <c r="IS76" s="227" t="n"/>
      <c r="IT76" s="227" t="n"/>
      <c r="IU76" s="227" t="n"/>
      <c r="IV76" s="227" t="n"/>
      <c r="IW76" s="227" t="n"/>
      <c r="IX76" s="227" t="n"/>
      <c r="IY76" s="227" t="n"/>
      <c r="IZ76" s="227" t="n"/>
      <c r="JA76" s="227" t="n"/>
      <c r="JB76" s="227" t="n"/>
      <c r="JC76" s="227" t="n"/>
      <c r="JD76" s="227" t="n"/>
      <c r="JE76" s="227" t="n"/>
      <c r="JF76" s="227" t="n"/>
      <c r="JG76" s="227" t="n"/>
      <c r="JH76" s="227" t="n"/>
      <c r="JI76" s="227" t="n"/>
      <c r="JJ76" s="227" t="n"/>
      <c r="JK76" s="227" t="n"/>
      <c r="JL76" s="227" t="n"/>
      <c r="JM76" s="227" t="n"/>
      <c r="JN76" s="227" t="n"/>
      <c r="JO76" s="227" t="n"/>
      <c r="JP76" s="227" t="n"/>
      <c r="JQ76" s="227" t="n"/>
      <c r="JR76" s="227" t="n"/>
      <c r="JS76" s="227" t="n"/>
      <c r="JT76" s="227" t="n"/>
      <c r="JU76" s="227" t="n"/>
      <c r="JV76" s="227" t="n"/>
      <c r="JW76" s="227" t="n"/>
      <c r="JX76" s="227" t="n"/>
      <c r="JY76" s="227" t="n"/>
      <c r="JZ76" s="227" t="n"/>
      <c r="KA76" s="227" t="n"/>
      <c r="KB76" s="227" t="n"/>
      <c r="KC76" s="227" t="n"/>
      <c r="KD76" s="227" t="n"/>
      <c r="KE76" s="227" t="n"/>
      <c r="KF76" s="227" t="n"/>
      <c r="KG76" s="227" t="n"/>
      <c r="KH76" s="227" t="n"/>
      <c r="KI76" s="227" t="n"/>
      <c r="KJ76" s="227" t="n"/>
      <c r="KK76" s="227" t="n"/>
      <c r="KL76" s="227" t="n"/>
      <c r="KM76" s="227" t="n"/>
      <c r="KN76" s="227" t="n"/>
      <c r="KO76" s="227" t="n"/>
      <c r="KP76" s="227" t="n"/>
      <c r="KQ76" s="227" t="n"/>
      <c r="KR76" s="227" t="n"/>
      <c r="KS76" s="227" t="n"/>
      <c r="KT76" s="227" t="n"/>
      <c r="KU76" s="227" t="n"/>
      <c r="KV76" s="227" t="n"/>
      <c r="KW76" s="227" t="n"/>
      <c r="KX76" s="227" t="n"/>
      <c r="KY76" s="227" t="n"/>
      <c r="KZ76" s="227" t="n"/>
      <c r="LA76" s="227" t="n"/>
      <c r="LB76" s="227" t="n"/>
      <c r="LC76" s="227" t="n"/>
      <c r="LD76" s="227" t="n"/>
      <c r="LE76" s="227" t="n"/>
      <c r="LF76" s="227" t="n"/>
      <c r="LG76" s="227" t="n"/>
      <c r="LH76" s="227" t="n"/>
      <c r="LI76" s="227" t="n"/>
      <c r="LJ76" s="227" t="n"/>
      <c r="LK76" s="227" t="n"/>
      <c r="LL76" s="227" t="n"/>
      <c r="LM76" s="227" t="n"/>
      <c r="LN76" s="227" t="n"/>
      <c r="LO76" s="227" t="n"/>
      <c r="LP76" s="227" t="n"/>
      <c r="LQ76" s="227" t="n"/>
      <c r="LR76" s="227" t="n"/>
      <c r="LS76" s="227" t="n"/>
      <c r="LT76" s="227" t="n"/>
      <c r="LU76" s="227" t="n"/>
      <c r="LV76" s="227" t="n"/>
      <c r="LW76" s="227" t="n"/>
      <c r="LX76" s="227" t="n"/>
      <c r="LY76" s="227" t="n"/>
      <c r="LZ76" s="227" t="n"/>
      <c r="MA76" s="227" t="n"/>
      <c r="MB76" s="227" t="n"/>
      <c r="MC76" s="227" t="n"/>
      <c r="MD76" s="227" t="n"/>
      <c r="ME76" s="227" t="n"/>
      <c r="MF76" s="227" t="n"/>
      <c r="MG76" s="227" t="n"/>
      <c r="MH76" s="227" t="n"/>
      <c r="MI76" s="227" t="n"/>
      <c r="MJ76" s="227" t="n"/>
      <c r="MK76" s="227" t="n"/>
      <c r="ML76" s="227" t="n"/>
      <c r="MM76" s="227" t="n"/>
      <c r="MN76" s="227" t="n"/>
      <c r="MO76" s="227" t="n"/>
      <c r="MP76" s="227" t="n"/>
      <c r="MQ76" s="227" t="n"/>
      <c r="MR76" s="227" t="n"/>
      <c r="MS76" s="227" t="n"/>
      <c r="MT76" s="227" t="n"/>
      <c r="MU76" s="227" t="n"/>
      <c r="MV76" s="227" t="n"/>
      <c r="MW76" s="227" t="n"/>
      <c r="MX76" s="227" t="n"/>
      <c r="MY76" s="227" t="n"/>
      <c r="MZ76" s="227" t="n"/>
      <c r="NA76" s="227" t="n"/>
      <c r="NB76" s="227" t="n"/>
      <c r="NC76" s="228">
        <f>SUM(B76:NB76)</f>
        <v/>
      </c>
    </row>
    <row r="77" ht="14.25" customHeight="1" s="166">
      <c r="A77" s="214" t="inlineStr">
        <is>
          <t>BTU-60-RDE-02-12</t>
        </is>
      </c>
      <c r="B77" s="227" t="n"/>
      <c r="C77" s="227" t="n"/>
      <c r="D77" s="227" t="n"/>
      <c r="E77" s="227" t="n"/>
      <c r="F77" s="227" t="n"/>
      <c r="G77" s="227" t="n"/>
      <c r="H77" s="227" t="n"/>
      <c r="I77" s="227" t="n"/>
      <c r="J77" s="227" t="n"/>
      <c r="K77" s="227" t="n"/>
      <c r="L77" s="227" t="n"/>
      <c r="M77" s="227" t="n"/>
      <c r="N77" s="227" t="n"/>
      <c r="O77" s="227" t="n"/>
      <c r="P77" s="227" t="n"/>
      <c r="Q77" s="227" t="n"/>
      <c r="R77" s="227" t="n"/>
      <c r="S77" s="227" t="n"/>
      <c r="T77" s="227" t="n"/>
      <c r="U77" s="227" t="n"/>
      <c r="V77" s="227" t="n"/>
      <c r="W77" s="227" t="n"/>
      <c r="X77" s="227" t="n"/>
      <c r="Y77" s="227" t="n"/>
      <c r="Z77" s="227" t="n"/>
      <c r="AA77" s="227" t="n"/>
      <c r="AB77" s="227" t="n"/>
      <c r="AC77" s="227" t="n"/>
      <c r="AD77" s="227" t="n"/>
      <c r="AE77" s="227" t="n"/>
      <c r="AF77" s="227" t="n"/>
      <c r="AG77" s="227" t="n"/>
      <c r="AH77" s="227" t="n"/>
      <c r="AI77" s="227" t="n"/>
      <c r="AJ77" s="227" t="n"/>
      <c r="AK77" s="227" t="n"/>
      <c r="AL77" s="227" t="n"/>
      <c r="AM77" s="227" t="n"/>
      <c r="AN77" s="227" t="n"/>
      <c r="AO77" s="227" t="n"/>
      <c r="AP77" s="227" t="n"/>
      <c r="AQ77" s="227" t="n"/>
      <c r="AR77" s="227" t="n"/>
      <c r="AS77" s="227" t="n"/>
      <c r="AT77" s="227" t="n"/>
      <c r="AU77" s="227" t="n"/>
      <c r="AV77" s="227" t="n"/>
      <c r="AW77" s="227" t="n"/>
      <c r="AX77" s="227" t="n"/>
      <c r="AY77" s="227" t="n"/>
      <c r="AZ77" s="227" t="n"/>
      <c r="BA77" s="227" t="n"/>
      <c r="BB77" s="227" t="n"/>
      <c r="BC77" s="227" t="n"/>
      <c r="BD77" s="227" t="n"/>
      <c r="BE77" s="227" t="n"/>
      <c r="BF77" s="227" t="n"/>
      <c r="BG77" s="227" t="n"/>
      <c r="BH77" s="227" t="n"/>
      <c r="BI77" s="227" t="n"/>
      <c r="BJ77" s="227" t="n"/>
      <c r="BK77" s="227" t="n"/>
      <c r="BL77" s="227" t="n"/>
      <c r="BM77" s="227" t="n"/>
      <c r="BN77" s="227" t="n"/>
      <c r="BO77" s="227" t="n"/>
      <c r="BP77" s="227" t="n"/>
      <c r="BQ77" s="227" t="n"/>
      <c r="BR77" s="227" t="n"/>
      <c r="BS77" s="227" t="n"/>
      <c r="BT77" s="227" t="n"/>
      <c r="BU77" s="227" t="n"/>
      <c r="BV77" s="227" t="n"/>
      <c r="BW77" s="227" t="n"/>
      <c r="BX77" s="227" t="n"/>
      <c r="BY77" s="227" t="n"/>
      <c r="BZ77" s="227" t="n"/>
      <c r="CA77" s="227" t="n"/>
      <c r="CB77" s="227" t="n"/>
      <c r="CC77" s="227" t="n"/>
      <c r="CD77" s="227" t="n"/>
      <c r="CE77" s="227" t="n"/>
      <c r="CF77" s="227" t="n"/>
      <c r="CG77" s="227" t="n"/>
      <c r="CH77" s="227" t="n"/>
      <c r="CI77" s="227" t="n"/>
      <c r="CJ77" s="227" t="n"/>
      <c r="CK77" s="227" t="n"/>
      <c r="CL77" s="227" t="n"/>
      <c r="CM77" s="227" t="n"/>
      <c r="CN77" s="227" t="n"/>
      <c r="CO77" s="227" t="n"/>
      <c r="CP77" s="227" t="n"/>
      <c r="CQ77" s="227" t="n"/>
      <c r="CR77" s="227" t="n"/>
      <c r="CS77" s="227" t="n"/>
      <c r="CT77" s="227" t="n"/>
      <c r="CU77" s="227" t="n"/>
      <c r="CV77" s="227" t="n"/>
      <c r="CW77" s="227" t="n"/>
      <c r="CX77" s="227" t="n"/>
      <c r="CY77" s="227" t="n"/>
      <c r="CZ77" s="227" t="n"/>
      <c r="DA77" s="227" t="n"/>
      <c r="DB77" s="227" t="n"/>
      <c r="DC77" s="227" t="n"/>
      <c r="DD77" s="227" t="n"/>
      <c r="DE77" s="227" t="n"/>
      <c r="DF77" s="227" t="n"/>
      <c r="DG77" s="227" t="n"/>
      <c r="DH77" s="227" t="n"/>
      <c r="DI77" s="227" t="n"/>
      <c r="DJ77" s="227" t="n"/>
      <c r="DK77" s="227" t="n"/>
      <c r="DL77" s="227" t="n"/>
      <c r="DM77" s="227" t="n"/>
      <c r="DN77" s="227" t="n"/>
      <c r="DO77" s="227" t="n"/>
      <c r="DP77" s="227" t="n"/>
      <c r="DQ77" s="227" t="n"/>
      <c r="DR77" s="227" t="n"/>
      <c r="DS77" s="227" t="n"/>
      <c r="DT77" s="227" t="n"/>
      <c r="DU77" s="227" t="n"/>
      <c r="DV77" s="227" t="n"/>
      <c r="DW77" s="227" t="n"/>
      <c r="DX77" s="227" t="n"/>
      <c r="DY77" s="227" t="n"/>
      <c r="DZ77" s="227" t="n"/>
      <c r="EA77" s="227" t="n"/>
      <c r="EB77" s="227" t="n"/>
      <c r="EC77" s="227" t="n"/>
      <c r="ED77" s="227" t="n"/>
      <c r="EE77" s="227" t="n"/>
      <c r="EF77" s="227" t="n"/>
      <c r="EG77" s="227" t="n"/>
      <c r="EH77" s="227" t="n"/>
      <c r="EI77" s="227" t="n"/>
      <c r="EJ77" s="227" t="n"/>
      <c r="EK77" s="227" t="n"/>
      <c r="EL77" s="227" t="n"/>
      <c r="EM77" s="227" t="n"/>
      <c r="EN77" s="227" t="n"/>
      <c r="EO77" s="227" t="n"/>
      <c r="EP77" s="227" t="n"/>
      <c r="EQ77" s="227" t="n"/>
      <c r="ER77" s="227" t="n"/>
      <c r="ES77" s="227" t="n"/>
      <c r="ET77" s="227" t="n"/>
      <c r="EU77" s="227" t="n"/>
      <c r="EV77" s="227" t="n"/>
      <c r="EW77" s="227" t="n"/>
      <c r="EX77" s="227" t="n"/>
      <c r="EY77" s="227" t="n"/>
      <c r="EZ77" s="227" t="n"/>
      <c r="FA77" s="227" t="n"/>
      <c r="FB77" s="227" t="n"/>
      <c r="FC77" s="227" t="n"/>
      <c r="FD77" s="227" t="n"/>
      <c r="FE77" s="227" t="n"/>
      <c r="FF77" s="227" t="n"/>
      <c r="FG77" s="227" t="n"/>
      <c r="FH77" s="227" t="n"/>
      <c r="FI77" s="227" t="n"/>
      <c r="FJ77" s="227" t="n"/>
      <c r="FK77" s="227" t="n"/>
      <c r="FL77" s="227" t="n"/>
      <c r="FM77" s="227" t="n"/>
      <c r="FN77" s="227" t="n"/>
      <c r="FO77" s="227" t="n"/>
      <c r="FP77" s="227" t="n"/>
      <c r="FQ77" s="227" t="n"/>
      <c r="FR77" s="227" t="n"/>
      <c r="FS77" s="227" t="n"/>
      <c r="FT77" s="227" t="n"/>
      <c r="FU77" s="227" t="n"/>
      <c r="FV77" s="227" t="n"/>
      <c r="FW77" s="227" t="n"/>
      <c r="FX77" s="227" t="n"/>
      <c r="FY77" s="227" t="n"/>
      <c r="FZ77" s="227" t="n"/>
      <c r="GA77" s="227" t="n"/>
      <c r="GB77" s="227" t="n"/>
      <c r="GC77" s="227" t="n"/>
      <c r="GD77" s="227" t="n"/>
      <c r="GE77" s="227" t="n"/>
      <c r="GF77" s="227" t="n"/>
      <c r="GG77" s="227" t="n"/>
      <c r="GH77" s="227" t="n"/>
      <c r="GI77" s="227" t="n"/>
      <c r="GJ77" s="227" t="n"/>
      <c r="GK77" s="227" t="n"/>
      <c r="GL77" s="227" t="n"/>
      <c r="GM77" s="227" t="n"/>
      <c r="GN77" s="227" t="n"/>
      <c r="GO77" s="227" t="n"/>
      <c r="GP77" s="227" t="n"/>
      <c r="GQ77" s="227" t="n"/>
      <c r="GR77" s="227" t="n"/>
      <c r="GS77" s="227" t="n"/>
      <c r="GT77" s="227" t="n"/>
      <c r="GU77" s="227" t="n"/>
      <c r="GV77" s="227" t="n"/>
      <c r="GW77" s="227" t="n"/>
      <c r="GX77" s="227" t="n"/>
      <c r="GY77" s="227" t="n"/>
      <c r="GZ77" s="227" t="n"/>
      <c r="HA77" s="227" t="n"/>
      <c r="HB77" s="227" t="n"/>
      <c r="HC77" s="227" t="n"/>
      <c r="HD77" s="227" t="n"/>
      <c r="HE77" s="227" t="n"/>
      <c r="HF77" s="227" t="n"/>
      <c r="HG77" s="227" t="n"/>
      <c r="HH77" s="227" t="n"/>
      <c r="HI77" s="227" t="n"/>
      <c r="HJ77" s="227" t="n"/>
      <c r="HK77" s="227" t="n"/>
      <c r="HL77" s="227" t="n"/>
      <c r="HM77" s="227" t="n"/>
      <c r="HN77" s="227" t="n"/>
      <c r="HO77" s="227" t="n"/>
      <c r="HP77" s="227" t="n"/>
      <c r="HQ77" s="227" t="n"/>
      <c r="HR77" s="227" t="n"/>
      <c r="HS77" s="227" t="n"/>
      <c r="HT77" s="227" t="n"/>
      <c r="HU77" s="227" t="n"/>
      <c r="HV77" s="227" t="n"/>
      <c r="HW77" s="227" t="n"/>
      <c r="HX77" s="227" t="n"/>
      <c r="HY77" s="227" t="n"/>
      <c r="HZ77" s="227" t="n"/>
      <c r="IA77" s="227" t="n"/>
      <c r="IB77" s="227" t="n"/>
      <c r="IC77" s="227" t="n"/>
      <c r="ID77" s="227" t="n"/>
      <c r="IE77" s="227" t="n"/>
      <c r="IF77" s="227" t="n"/>
      <c r="IG77" s="227" t="n"/>
      <c r="IH77" s="227" t="n"/>
      <c r="II77" s="227" t="n"/>
      <c r="IJ77" s="227" t="n"/>
      <c r="IK77" s="227" t="n"/>
      <c r="IL77" s="227" t="n"/>
      <c r="IM77" s="227" t="n"/>
      <c r="IN77" s="227" t="n"/>
      <c r="IO77" s="227" t="n"/>
      <c r="IP77" s="227" t="n"/>
      <c r="IQ77" s="227" t="n"/>
      <c r="IR77" s="227" t="n"/>
      <c r="IS77" s="227" t="n"/>
      <c r="IT77" s="227" t="n"/>
      <c r="IU77" s="227" t="n"/>
      <c r="IV77" s="227" t="n"/>
      <c r="IW77" s="227" t="n"/>
      <c r="IX77" s="227" t="n"/>
      <c r="IY77" s="227" t="n"/>
      <c r="IZ77" s="227" t="n"/>
      <c r="JA77" s="227" t="n"/>
      <c r="JB77" s="227" t="n"/>
      <c r="JC77" s="227" t="n"/>
      <c r="JD77" s="227" t="n"/>
      <c r="JE77" s="227" t="n"/>
      <c r="JF77" s="227" t="n"/>
      <c r="JG77" s="227" t="n"/>
      <c r="JH77" s="227" t="n"/>
      <c r="JI77" s="227" t="n"/>
      <c r="JJ77" s="227" t="n"/>
      <c r="JK77" s="227" t="n"/>
      <c r="JL77" s="227" t="n"/>
      <c r="JM77" s="227" t="n"/>
      <c r="JN77" s="227" t="n"/>
      <c r="JO77" s="227" t="n"/>
      <c r="JP77" s="227" t="n"/>
      <c r="JQ77" s="227" t="n"/>
      <c r="JR77" s="227" t="n"/>
      <c r="JS77" s="227" t="n"/>
      <c r="JT77" s="227" t="n"/>
      <c r="JU77" s="227" t="n"/>
      <c r="JV77" s="227" t="n"/>
      <c r="JW77" s="227" t="n"/>
      <c r="JX77" s="227" t="n"/>
      <c r="JY77" s="227" t="n"/>
      <c r="JZ77" s="227" t="n"/>
      <c r="KA77" s="227" t="n"/>
      <c r="KB77" s="227" t="n"/>
      <c r="KC77" s="227" t="n"/>
      <c r="KD77" s="227" t="n"/>
      <c r="KE77" s="227" t="n"/>
      <c r="KF77" s="227" t="n"/>
      <c r="KG77" s="227" t="n"/>
      <c r="KH77" s="227" t="n"/>
      <c r="KI77" s="227" t="n"/>
      <c r="KJ77" s="227" t="n"/>
      <c r="KK77" s="227" t="n"/>
      <c r="KL77" s="227" t="n"/>
      <c r="KM77" s="227" t="n"/>
      <c r="KN77" s="227" t="n"/>
      <c r="KO77" s="227" t="n"/>
      <c r="KP77" s="227" t="n"/>
      <c r="KQ77" s="227" t="n"/>
      <c r="KR77" s="227" t="n"/>
      <c r="KS77" s="227" t="n"/>
      <c r="KT77" s="227" t="n"/>
      <c r="KU77" s="227" t="n"/>
      <c r="KV77" s="227" t="n"/>
      <c r="KW77" s="227" t="n"/>
      <c r="KX77" s="227" t="n"/>
      <c r="KY77" s="227" t="n"/>
      <c r="KZ77" s="227" t="n"/>
      <c r="LA77" s="227" t="n"/>
      <c r="LB77" s="227" t="n"/>
      <c r="LC77" s="227" t="n"/>
      <c r="LD77" s="227" t="n"/>
      <c r="LE77" s="227" t="n"/>
      <c r="LF77" s="227" t="n"/>
      <c r="LG77" s="227" t="n"/>
      <c r="LH77" s="227" t="n"/>
      <c r="LI77" s="227" t="n"/>
      <c r="LJ77" s="227" t="n"/>
      <c r="LK77" s="227" t="n"/>
      <c r="LL77" s="227" t="n"/>
      <c r="LM77" s="227" t="n"/>
      <c r="LN77" s="227" t="n"/>
      <c r="LO77" s="227" t="n"/>
      <c r="LP77" s="227" t="n"/>
      <c r="LQ77" s="227" t="n"/>
      <c r="LR77" s="227" t="n"/>
      <c r="LS77" s="227" t="n"/>
      <c r="LT77" s="227" t="n"/>
      <c r="LU77" s="227" t="n"/>
      <c r="LV77" s="227" t="n"/>
      <c r="LW77" s="227" t="n"/>
      <c r="LX77" s="227" t="n"/>
      <c r="LY77" s="227" t="n"/>
      <c r="LZ77" s="227" t="n"/>
      <c r="MA77" s="227" t="n"/>
      <c r="MB77" s="227" t="n"/>
      <c r="MC77" s="227" t="n"/>
      <c r="MD77" s="227" t="n"/>
      <c r="ME77" s="227" t="n"/>
      <c r="MF77" s="227" t="n"/>
      <c r="MG77" s="227" t="n"/>
      <c r="MH77" s="227" t="n"/>
      <c r="MI77" s="227" t="n"/>
      <c r="MJ77" s="227" t="n"/>
      <c r="MK77" s="227" t="n"/>
      <c r="ML77" s="227" t="n"/>
      <c r="MM77" s="227" t="n"/>
      <c r="MN77" s="227" t="n"/>
      <c r="MO77" s="227" t="n"/>
      <c r="MP77" s="227" t="n"/>
      <c r="MQ77" s="227" t="n"/>
      <c r="MR77" s="227" t="n"/>
      <c r="MS77" s="227" t="n"/>
      <c r="MT77" s="227" t="n"/>
      <c r="MU77" s="227" t="n"/>
      <c r="MV77" s="227" t="n"/>
      <c r="MW77" s="227" t="n"/>
      <c r="MX77" s="227" t="n"/>
      <c r="MY77" s="227" t="n"/>
      <c r="MZ77" s="227" t="n"/>
      <c r="NA77" s="227" t="n"/>
      <c r="NB77" s="227" t="n"/>
      <c r="NC77" s="228">
        <f>SUM(B77:NB77)</f>
        <v/>
      </c>
    </row>
    <row r="78" ht="14.25" customHeight="1" s="166">
      <c r="A78" s="214" t="inlineStr">
        <is>
          <t>BTU-60-RDE-03-01</t>
        </is>
      </c>
      <c r="B78" s="227" t="n"/>
      <c r="C78" s="227" t="n"/>
      <c r="D78" s="227" t="n"/>
      <c r="E78" s="227" t="n"/>
      <c r="F78" s="227" t="n"/>
      <c r="G78" s="227" t="n"/>
      <c r="H78" s="227" t="n"/>
      <c r="I78" s="227" t="n"/>
      <c r="J78" s="227" t="n"/>
      <c r="K78" s="227" t="n"/>
      <c r="L78" s="227" t="n"/>
      <c r="M78" s="227" t="n"/>
      <c r="N78" s="227" t="n"/>
      <c r="O78" s="227" t="n"/>
      <c r="P78" s="227" t="n"/>
      <c r="Q78" s="227" t="n"/>
      <c r="R78" s="227" t="n"/>
      <c r="S78" s="227" t="n"/>
      <c r="T78" s="227" t="n"/>
      <c r="U78" s="227" t="n"/>
      <c r="V78" s="227" t="n"/>
      <c r="W78" s="227" t="n"/>
      <c r="X78" s="227" t="n"/>
      <c r="Y78" s="227" t="n"/>
      <c r="Z78" s="227" t="n"/>
      <c r="AA78" s="227" t="n"/>
      <c r="AB78" s="227" t="n"/>
      <c r="AC78" s="227" t="n"/>
      <c r="AD78" s="227" t="n"/>
      <c r="AE78" s="227" t="n"/>
      <c r="AF78" s="227" t="n"/>
      <c r="AG78" s="227" t="n"/>
      <c r="AH78" s="227" t="n"/>
      <c r="AI78" s="227" t="n"/>
      <c r="AJ78" s="227" t="n"/>
      <c r="AK78" s="227" t="n"/>
      <c r="AL78" s="227" t="n"/>
      <c r="AM78" s="227" t="n"/>
      <c r="AN78" s="227" t="n"/>
      <c r="AO78" s="227" t="n"/>
      <c r="AP78" s="227" t="n"/>
      <c r="AQ78" s="227" t="n"/>
      <c r="AR78" s="227" t="n"/>
      <c r="AS78" s="227" t="n"/>
      <c r="AT78" s="227" t="n"/>
      <c r="AU78" s="227" t="n"/>
      <c r="AV78" s="227" t="n"/>
      <c r="AW78" s="227" t="n"/>
      <c r="AX78" s="227" t="n"/>
      <c r="AY78" s="227" t="n"/>
      <c r="AZ78" s="227" t="n"/>
      <c r="BA78" s="227" t="n"/>
      <c r="BB78" s="227" t="n"/>
      <c r="BC78" s="227" t="n"/>
      <c r="BD78" s="227" t="n"/>
      <c r="BE78" s="227" t="n"/>
      <c r="BF78" s="227" t="n"/>
      <c r="BG78" s="227" t="n"/>
      <c r="BH78" s="227" t="n"/>
      <c r="BI78" s="227" t="n"/>
      <c r="BJ78" s="227" t="n"/>
      <c r="BK78" s="227" t="n"/>
      <c r="BL78" s="227" t="n"/>
      <c r="BM78" s="227" t="n"/>
      <c r="BN78" s="227" t="n"/>
      <c r="BO78" s="227" t="n"/>
      <c r="BP78" s="227" t="n"/>
      <c r="BQ78" s="227" t="n"/>
      <c r="BR78" s="227" t="n"/>
      <c r="BS78" s="227" t="n"/>
      <c r="BT78" s="227" t="n"/>
      <c r="BU78" s="227" t="n"/>
      <c r="BV78" s="227" t="n"/>
      <c r="BW78" s="227" t="n"/>
      <c r="BX78" s="227" t="n"/>
      <c r="BY78" s="227" t="n"/>
      <c r="BZ78" s="227" t="n"/>
      <c r="CA78" s="227" t="n"/>
      <c r="CB78" s="227" t="n"/>
      <c r="CC78" s="227" t="n"/>
      <c r="CD78" s="227" t="n"/>
      <c r="CE78" s="227" t="n"/>
      <c r="CF78" s="227" t="n"/>
      <c r="CG78" s="227" t="n"/>
      <c r="CH78" s="227" t="n"/>
      <c r="CI78" s="227" t="n"/>
      <c r="CJ78" s="227" t="n"/>
      <c r="CK78" s="227" t="n"/>
      <c r="CL78" s="227" t="n"/>
      <c r="CM78" s="227" t="n"/>
      <c r="CN78" s="227" t="n"/>
      <c r="CO78" s="227" t="n"/>
      <c r="CP78" s="227" t="n"/>
      <c r="CQ78" s="227" t="n"/>
      <c r="CR78" s="227" t="n"/>
      <c r="CS78" s="227" t="n"/>
      <c r="CT78" s="227" t="n"/>
      <c r="CU78" s="227" t="n"/>
      <c r="CV78" s="227" t="n"/>
      <c r="CW78" s="227" t="n"/>
      <c r="CX78" s="227" t="n"/>
      <c r="CY78" s="227" t="n"/>
      <c r="CZ78" s="227" t="n"/>
      <c r="DA78" s="227" t="n"/>
      <c r="DB78" s="227" t="n"/>
      <c r="DC78" s="227" t="n"/>
      <c r="DD78" s="227" t="n"/>
      <c r="DE78" s="227" t="n"/>
      <c r="DF78" s="227" t="n"/>
      <c r="DG78" s="227" t="n"/>
      <c r="DH78" s="227" t="n"/>
      <c r="DI78" s="227" t="n"/>
      <c r="DJ78" s="227" t="n"/>
      <c r="DK78" s="227" t="n"/>
      <c r="DL78" s="227" t="n"/>
      <c r="DM78" s="227" t="n"/>
      <c r="DN78" s="227" t="n"/>
      <c r="DO78" s="227" t="n"/>
      <c r="DP78" s="227" t="n"/>
      <c r="DQ78" s="227" t="n"/>
      <c r="DR78" s="227" t="n"/>
      <c r="DS78" s="227" t="n"/>
      <c r="DT78" s="227" t="n"/>
      <c r="DU78" s="227" t="n"/>
      <c r="DV78" s="227" t="n"/>
      <c r="DW78" s="227" t="n"/>
      <c r="DX78" s="227" t="n"/>
      <c r="DY78" s="227" t="n"/>
      <c r="DZ78" s="227" t="n"/>
      <c r="EA78" s="227" t="n"/>
      <c r="EB78" s="227" t="n"/>
      <c r="EC78" s="227" t="n"/>
      <c r="ED78" s="227" t="n"/>
      <c r="EE78" s="227" t="n"/>
      <c r="EF78" s="227" t="n"/>
      <c r="EG78" s="227" t="n"/>
      <c r="EH78" s="227" t="n"/>
      <c r="EI78" s="227" t="n"/>
      <c r="EJ78" s="227" t="n"/>
      <c r="EK78" s="227" t="n"/>
      <c r="EL78" s="227" t="n"/>
      <c r="EM78" s="227" t="n"/>
      <c r="EN78" s="227" t="n"/>
      <c r="EO78" s="227" t="n"/>
      <c r="EP78" s="227" t="n"/>
      <c r="EQ78" s="227" t="n"/>
      <c r="ER78" s="227" t="n"/>
      <c r="ES78" s="227" t="n"/>
      <c r="ET78" s="227" t="n"/>
      <c r="EU78" s="227" t="n"/>
      <c r="EV78" s="227" t="n"/>
      <c r="EW78" s="227" t="n"/>
      <c r="EX78" s="227" t="n"/>
      <c r="EY78" s="227" t="n"/>
      <c r="EZ78" s="227" t="n"/>
      <c r="FA78" s="227" t="n"/>
      <c r="FB78" s="227" t="n"/>
      <c r="FC78" s="227" t="n"/>
      <c r="FD78" s="227" t="n"/>
      <c r="FE78" s="227" t="n"/>
      <c r="FF78" s="227" t="n"/>
      <c r="FG78" s="227" t="n"/>
      <c r="FH78" s="227" t="n"/>
      <c r="FI78" s="227" t="n"/>
      <c r="FJ78" s="227" t="n"/>
      <c r="FK78" s="227" t="n"/>
      <c r="FL78" s="227" t="n"/>
      <c r="FM78" s="227" t="n"/>
      <c r="FN78" s="227" t="n"/>
      <c r="FO78" s="227" t="n"/>
      <c r="FP78" s="227" t="n"/>
      <c r="FQ78" s="227" t="n"/>
      <c r="FR78" s="227" t="n"/>
      <c r="FS78" s="227" t="n"/>
      <c r="FT78" s="227" t="n"/>
      <c r="FU78" s="227" t="n"/>
      <c r="FV78" s="227" t="n"/>
      <c r="FW78" s="227" t="n"/>
      <c r="FX78" s="227" t="n"/>
      <c r="FY78" s="227" t="n"/>
      <c r="FZ78" s="227" t="n"/>
      <c r="GA78" s="227" t="n"/>
      <c r="GB78" s="227" t="n"/>
      <c r="GC78" s="227" t="n"/>
      <c r="GD78" s="227" t="n"/>
      <c r="GE78" s="227" t="n"/>
      <c r="GF78" s="227" t="n"/>
      <c r="GG78" s="227" t="n"/>
      <c r="GH78" s="227" t="n"/>
      <c r="GI78" s="227" t="n"/>
      <c r="GJ78" s="227" t="n"/>
      <c r="GK78" s="227" t="n"/>
      <c r="GL78" s="227" t="n"/>
      <c r="GM78" s="227" t="n"/>
      <c r="GN78" s="227" t="n"/>
      <c r="GO78" s="227" t="n"/>
      <c r="GP78" s="227" t="n"/>
      <c r="GQ78" s="227" t="n"/>
      <c r="GR78" s="227" t="n"/>
      <c r="GS78" s="227" t="n"/>
      <c r="GT78" s="227" t="n"/>
      <c r="GU78" s="227" t="n"/>
      <c r="GV78" s="227" t="n"/>
      <c r="GW78" s="227" t="n"/>
      <c r="GX78" s="227" t="n"/>
      <c r="GY78" s="227" t="n"/>
      <c r="GZ78" s="227" t="n"/>
      <c r="HA78" s="227" t="n"/>
      <c r="HB78" s="227" t="n"/>
      <c r="HC78" s="227" t="n"/>
      <c r="HD78" s="227" t="n"/>
      <c r="HE78" s="227" t="n"/>
      <c r="HF78" s="227" t="n"/>
      <c r="HG78" s="227" t="n"/>
      <c r="HH78" s="227" t="n"/>
      <c r="HI78" s="227" t="n"/>
      <c r="HJ78" s="227" t="n"/>
      <c r="HK78" s="227" t="n"/>
      <c r="HL78" s="227" t="n"/>
      <c r="HM78" s="227" t="n"/>
      <c r="HN78" s="227" t="n"/>
      <c r="HO78" s="227" t="n"/>
      <c r="HP78" s="227" t="n"/>
      <c r="HQ78" s="227" t="n"/>
      <c r="HR78" s="227" t="n"/>
      <c r="HS78" s="227" t="n"/>
      <c r="HT78" s="227" t="n"/>
      <c r="HU78" s="227" t="n"/>
      <c r="HV78" s="227" t="n"/>
      <c r="HW78" s="227" t="n"/>
      <c r="HX78" s="227" t="n"/>
      <c r="HY78" s="227" t="n"/>
      <c r="HZ78" s="227" t="n"/>
      <c r="IA78" s="227" t="n"/>
      <c r="IB78" s="227" t="n"/>
      <c r="IC78" s="227" t="n"/>
      <c r="ID78" s="227" t="n"/>
      <c r="IE78" s="227" t="n"/>
      <c r="IF78" s="227" t="n"/>
      <c r="IG78" s="227" t="n"/>
      <c r="IH78" s="227" t="n"/>
      <c r="II78" s="227" t="n"/>
      <c r="IJ78" s="227" t="n"/>
      <c r="IK78" s="227" t="n"/>
      <c r="IL78" s="227" t="n"/>
      <c r="IM78" s="227" t="n"/>
      <c r="IN78" s="227" t="n"/>
      <c r="IO78" s="227" t="n"/>
      <c r="IP78" s="227" t="n"/>
      <c r="IQ78" s="227" t="n"/>
      <c r="IR78" s="227" t="n"/>
      <c r="IS78" s="227" t="n"/>
      <c r="IT78" s="227" t="n"/>
      <c r="IU78" s="227" t="n"/>
      <c r="IV78" s="227" t="n"/>
      <c r="IW78" s="227" t="n"/>
      <c r="IX78" s="227" t="n"/>
      <c r="IY78" s="227" t="n"/>
      <c r="IZ78" s="227" t="n"/>
      <c r="JA78" s="227" t="n"/>
      <c r="JB78" s="227" t="n"/>
      <c r="JC78" s="227" t="n"/>
      <c r="JD78" s="227" t="n"/>
      <c r="JE78" s="227" t="n"/>
      <c r="JF78" s="227" t="n"/>
      <c r="JG78" s="227" t="n"/>
      <c r="JH78" s="227" t="n"/>
      <c r="JI78" s="227" t="n"/>
      <c r="JJ78" s="227" t="n"/>
      <c r="JK78" s="227" t="n"/>
      <c r="JL78" s="227" t="n"/>
      <c r="JM78" s="227" t="n"/>
      <c r="JN78" s="227" t="n"/>
      <c r="JO78" s="227" t="n"/>
      <c r="JP78" s="227" t="n"/>
      <c r="JQ78" s="227" t="n"/>
      <c r="JR78" s="227" t="n"/>
      <c r="JS78" s="227" t="n"/>
      <c r="JT78" s="227" t="n"/>
      <c r="JU78" s="227" t="n"/>
      <c r="JV78" s="227" t="n"/>
      <c r="JW78" s="227" t="n"/>
      <c r="JX78" s="227" t="n"/>
      <c r="JY78" s="227" t="n"/>
      <c r="JZ78" s="227" t="n"/>
      <c r="KA78" s="227" t="n"/>
      <c r="KB78" s="227" t="n"/>
      <c r="KC78" s="227" t="n"/>
      <c r="KD78" s="227" t="n"/>
      <c r="KE78" s="227" t="n"/>
      <c r="KF78" s="227" t="n"/>
      <c r="KG78" s="227" t="n"/>
      <c r="KH78" s="227" t="n"/>
      <c r="KI78" s="227" t="n"/>
      <c r="KJ78" s="227" t="n"/>
      <c r="KK78" s="227" t="n"/>
      <c r="KL78" s="227" t="n"/>
      <c r="KM78" s="227" t="n"/>
      <c r="KN78" s="227" t="n"/>
      <c r="KO78" s="227" t="n"/>
      <c r="KP78" s="227" t="n"/>
      <c r="KQ78" s="227" t="n"/>
      <c r="KR78" s="227" t="n"/>
      <c r="KS78" s="227" t="n"/>
      <c r="KT78" s="227" t="n"/>
      <c r="KU78" s="227" t="n"/>
      <c r="KV78" s="227" t="n"/>
      <c r="KW78" s="227" t="n"/>
      <c r="KX78" s="227" t="n"/>
      <c r="KY78" s="227" t="n"/>
      <c r="KZ78" s="227" t="n"/>
      <c r="LA78" s="227" t="n"/>
      <c r="LB78" s="227" t="n"/>
      <c r="LC78" s="227" t="n"/>
      <c r="LD78" s="227" t="n"/>
      <c r="LE78" s="227" t="n"/>
      <c r="LF78" s="227" t="n"/>
      <c r="LG78" s="227" t="n"/>
      <c r="LH78" s="227" t="n"/>
      <c r="LI78" s="227" t="n"/>
      <c r="LJ78" s="227" t="n"/>
      <c r="LK78" s="227" t="n"/>
      <c r="LL78" s="227" t="n"/>
      <c r="LM78" s="227" t="n"/>
      <c r="LN78" s="227" t="n"/>
      <c r="LO78" s="227" t="n"/>
      <c r="LP78" s="227" t="n"/>
      <c r="LQ78" s="227" t="n"/>
      <c r="LR78" s="227" t="n"/>
      <c r="LS78" s="227" t="n"/>
      <c r="LT78" s="227" t="n"/>
      <c r="LU78" s="227" t="n"/>
      <c r="LV78" s="227" t="n"/>
      <c r="LW78" s="227" t="n"/>
      <c r="LX78" s="227" t="n"/>
      <c r="LY78" s="227" t="n"/>
      <c r="LZ78" s="227" t="n"/>
      <c r="MA78" s="227" t="n"/>
      <c r="MB78" s="227" t="n"/>
      <c r="MC78" s="227" t="n"/>
      <c r="MD78" s="227" t="n"/>
      <c r="ME78" s="227" t="n"/>
      <c r="MF78" s="227" t="n"/>
      <c r="MG78" s="227" t="n"/>
      <c r="MH78" s="227" t="n"/>
      <c r="MI78" s="227" t="n"/>
      <c r="MJ78" s="227" t="n"/>
      <c r="MK78" s="227" t="n"/>
      <c r="ML78" s="227" t="n"/>
      <c r="MM78" s="227" t="n"/>
      <c r="MN78" s="227" t="n"/>
      <c r="MO78" s="227" t="n"/>
      <c r="MP78" s="227" t="n"/>
      <c r="MQ78" s="227" t="n"/>
      <c r="MR78" s="227" t="n"/>
      <c r="MS78" s="227" t="n"/>
      <c r="MT78" s="227" t="n"/>
      <c r="MU78" s="227" t="n"/>
      <c r="MV78" s="227" t="n"/>
      <c r="MW78" s="227" t="n"/>
      <c r="MX78" s="227" t="n"/>
      <c r="MY78" s="227" t="n"/>
      <c r="MZ78" s="227" t="n"/>
      <c r="NA78" s="227" t="n"/>
      <c r="NB78" s="227" t="n"/>
      <c r="NC78" s="228">
        <f>SUM(B78:NB78)</f>
        <v/>
      </c>
    </row>
    <row r="79" ht="14.25" customHeight="1" s="166">
      <c r="A79" s="214" t="inlineStr">
        <is>
          <t>BTU-60-RDE-03-02</t>
        </is>
      </c>
      <c r="B79" s="227" t="n"/>
      <c r="C79" s="227" t="n"/>
      <c r="D79" s="227" t="n"/>
      <c r="E79" s="227" t="n"/>
      <c r="F79" s="227" t="n"/>
      <c r="G79" s="227" t="n"/>
      <c r="H79" s="227" t="n"/>
      <c r="I79" s="227" t="n"/>
      <c r="J79" s="227" t="n"/>
      <c r="K79" s="227" t="n"/>
      <c r="L79" s="227" t="n"/>
      <c r="M79" s="227" t="n"/>
      <c r="N79" s="227" t="n"/>
      <c r="O79" s="227" t="n"/>
      <c r="P79" s="227" t="n"/>
      <c r="Q79" s="227" t="n"/>
      <c r="R79" s="227" t="n"/>
      <c r="S79" s="227" t="n"/>
      <c r="T79" s="227" t="n"/>
      <c r="U79" s="227" t="n"/>
      <c r="V79" s="227" t="n"/>
      <c r="W79" s="227" t="n"/>
      <c r="X79" s="227" t="n"/>
      <c r="Y79" s="227" t="n"/>
      <c r="Z79" s="227" t="n"/>
      <c r="AA79" s="227" t="n"/>
      <c r="AB79" s="227" t="n"/>
      <c r="AC79" s="227" t="n"/>
      <c r="AD79" s="227" t="n"/>
      <c r="AE79" s="227" t="n"/>
      <c r="AF79" s="227" t="n"/>
      <c r="AG79" s="227" t="n"/>
      <c r="AH79" s="227" t="n"/>
      <c r="AI79" s="227" t="n"/>
      <c r="AJ79" s="227" t="n"/>
      <c r="AK79" s="227" t="n"/>
      <c r="AL79" s="227" t="n"/>
      <c r="AM79" s="227" t="n"/>
      <c r="AN79" s="227" t="n"/>
      <c r="AO79" s="227" t="n"/>
      <c r="AP79" s="227" t="n"/>
      <c r="AQ79" s="227" t="n"/>
      <c r="AR79" s="227" t="n"/>
      <c r="AS79" s="227" t="n"/>
      <c r="AT79" s="227" t="n"/>
      <c r="AU79" s="227" t="n"/>
      <c r="AV79" s="227" t="n"/>
      <c r="AW79" s="227" t="n"/>
      <c r="AX79" s="227" t="n"/>
      <c r="AY79" s="227" t="n"/>
      <c r="AZ79" s="227" t="n"/>
      <c r="BA79" s="227" t="n"/>
      <c r="BB79" s="227" t="n"/>
      <c r="BC79" s="227" t="n"/>
      <c r="BD79" s="227" t="n"/>
      <c r="BE79" s="227" t="n"/>
      <c r="BF79" s="227" t="n"/>
      <c r="BG79" s="227" t="n"/>
      <c r="BH79" s="227" t="n"/>
      <c r="BI79" s="227" t="n"/>
      <c r="BJ79" s="227" t="n"/>
      <c r="BK79" s="227" t="n"/>
      <c r="BL79" s="227" t="n"/>
      <c r="BM79" s="227" t="n"/>
      <c r="BN79" s="227" t="n"/>
      <c r="BO79" s="227" t="n"/>
      <c r="BP79" s="227" t="n"/>
      <c r="BQ79" s="227" t="n"/>
      <c r="BR79" s="227" t="n"/>
      <c r="BS79" s="227" t="n"/>
      <c r="BT79" s="227" t="n"/>
      <c r="BU79" s="227" t="n"/>
      <c r="BV79" s="227" t="n"/>
      <c r="BW79" s="227" t="n"/>
      <c r="BX79" s="227" t="n"/>
      <c r="BY79" s="227" t="n"/>
      <c r="BZ79" s="227" t="n"/>
      <c r="CA79" s="227" t="n"/>
      <c r="CB79" s="227" t="n"/>
      <c r="CC79" s="227" t="n"/>
      <c r="CD79" s="227" t="n"/>
      <c r="CE79" s="227" t="n"/>
      <c r="CF79" s="227" t="n"/>
      <c r="CG79" s="227" t="n"/>
      <c r="CH79" s="227" t="n"/>
      <c r="CI79" s="227" t="n"/>
      <c r="CJ79" s="227" t="n"/>
      <c r="CK79" s="227" t="n"/>
      <c r="CL79" s="227" t="n"/>
      <c r="CM79" s="227" t="n"/>
      <c r="CN79" s="227" t="n"/>
      <c r="CO79" s="227" t="n"/>
      <c r="CP79" s="227" t="n"/>
      <c r="CQ79" s="227" t="n"/>
      <c r="CR79" s="227" t="n"/>
      <c r="CS79" s="227" t="n"/>
      <c r="CT79" s="227" t="n"/>
      <c r="CU79" s="227" t="n"/>
      <c r="CV79" s="227" t="n"/>
      <c r="CW79" s="227" t="n"/>
      <c r="CX79" s="227" t="n"/>
      <c r="CY79" s="227" t="n"/>
      <c r="CZ79" s="227" t="n"/>
      <c r="DA79" s="227" t="n"/>
      <c r="DB79" s="227" t="n"/>
      <c r="DC79" s="227" t="n"/>
      <c r="DD79" s="227" t="n"/>
      <c r="DE79" s="227" t="n"/>
      <c r="DF79" s="227" t="n"/>
      <c r="DG79" s="227" t="n"/>
      <c r="DH79" s="227" t="n"/>
      <c r="DI79" s="227" t="n"/>
      <c r="DJ79" s="227" t="n"/>
      <c r="DK79" s="227" t="n"/>
      <c r="DL79" s="227" t="n"/>
      <c r="DM79" s="227" t="n"/>
      <c r="DN79" s="227" t="n"/>
      <c r="DO79" s="227" t="n"/>
      <c r="DP79" s="227" t="n"/>
      <c r="DQ79" s="227" t="n"/>
      <c r="DR79" s="227" t="n"/>
      <c r="DS79" s="227" t="n"/>
      <c r="DT79" s="227" t="n"/>
      <c r="DU79" s="227" t="n"/>
      <c r="DV79" s="227" t="n"/>
      <c r="DW79" s="227" t="n"/>
      <c r="DX79" s="227" t="n"/>
      <c r="DY79" s="227" t="n"/>
      <c r="DZ79" s="227" t="n"/>
      <c r="EA79" s="227" t="n"/>
      <c r="EB79" s="227" t="n"/>
      <c r="EC79" s="227" t="n"/>
      <c r="ED79" s="227" t="n"/>
      <c r="EE79" s="227" t="n"/>
      <c r="EF79" s="227" t="n"/>
      <c r="EG79" s="227" t="n"/>
      <c r="EH79" s="227" t="n"/>
      <c r="EI79" s="227" t="n"/>
      <c r="EJ79" s="227" t="n"/>
      <c r="EK79" s="227" t="n"/>
      <c r="EL79" s="227" t="n"/>
      <c r="EM79" s="227" t="n"/>
      <c r="EN79" s="227" t="n"/>
      <c r="EO79" s="227" t="n"/>
      <c r="EP79" s="227" t="n"/>
      <c r="EQ79" s="227" t="n"/>
      <c r="ER79" s="227" t="n"/>
      <c r="ES79" s="227" t="n"/>
      <c r="ET79" s="227" t="n"/>
      <c r="EU79" s="227" t="n"/>
      <c r="EV79" s="227" t="n"/>
      <c r="EW79" s="227" t="n"/>
      <c r="EX79" s="227" t="n"/>
      <c r="EY79" s="227" t="n"/>
      <c r="EZ79" s="227" t="n"/>
      <c r="FA79" s="227" t="n"/>
      <c r="FB79" s="227" t="n"/>
      <c r="FC79" s="227" t="n"/>
      <c r="FD79" s="227" t="n"/>
      <c r="FE79" s="227" t="n"/>
      <c r="FF79" s="227" t="n"/>
      <c r="FG79" s="227" t="n"/>
      <c r="FH79" s="227" t="n"/>
      <c r="FI79" s="227" t="n"/>
      <c r="FJ79" s="227" t="n"/>
      <c r="FK79" s="227" t="n"/>
      <c r="FL79" s="227" t="n"/>
      <c r="FM79" s="227" t="n"/>
      <c r="FN79" s="227" t="n"/>
      <c r="FO79" s="227" t="n"/>
      <c r="FP79" s="227" t="n"/>
      <c r="FQ79" s="227" t="n"/>
      <c r="FR79" s="227" t="n"/>
      <c r="FS79" s="227" t="n"/>
      <c r="FT79" s="227" t="n"/>
      <c r="FU79" s="227" t="n"/>
      <c r="FV79" s="227" t="n"/>
      <c r="FW79" s="227" t="n"/>
      <c r="FX79" s="227" t="n"/>
      <c r="FY79" s="227" t="n"/>
      <c r="FZ79" s="227" t="n"/>
      <c r="GA79" s="227" t="n"/>
      <c r="GB79" s="227" t="n"/>
      <c r="GC79" s="227" t="n"/>
      <c r="GD79" s="227" t="n"/>
      <c r="GE79" s="227" t="n"/>
      <c r="GF79" s="227" t="n"/>
      <c r="GG79" s="227" t="n"/>
      <c r="GH79" s="227" t="n"/>
      <c r="GI79" s="227" t="n"/>
      <c r="GJ79" s="227" t="n"/>
      <c r="GK79" s="227" t="n"/>
      <c r="GL79" s="227" t="n"/>
      <c r="GM79" s="227" t="n"/>
      <c r="GN79" s="227" t="n"/>
      <c r="GO79" s="227" t="n"/>
      <c r="GP79" s="227" t="n"/>
      <c r="GQ79" s="227" t="n"/>
      <c r="GR79" s="227" t="n"/>
      <c r="GS79" s="227" t="n"/>
      <c r="GT79" s="227" t="n"/>
      <c r="GU79" s="227" t="n"/>
      <c r="GV79" s="227" t="n"/>
      <c r="GW79" s="227" t="n"/>
      <c r="GX79" s="227" t="n"/>
      <c r="GY79" s="227" t="n"/>
      <c r="GZ79" s="227" t="n"/>
      <c r="HA79" s="227" t="n"/>
      <c r="HB79" s="227" t="n"/>
      <c r="HC79" s="227" t="n"/>
      <c r="HD79" s="227" t="n"/>
      <c r="HE79" s="227" t="n"/>
      <c r="HF79" s="227" t="n"/>
      <c r="HG79" s="227" t="n"/>
      <c r="HH79" s="227" t="n"/>
      <c r="HI79" s="227" t="n"/>
      <c r="HJ79" s="227" t="n"/>
      <c r="HK79" s="227" t="n"/>
      <c r="HL79" s="227" t="n"/>
      <c r="HM79" s="227" t="n"/>
      <c r="HN79" s="227" t="n"/>
      <c r="HO79" s="227" t="n"/>
      <c r="HP79" s="227" t="n"/>
      <c r="HQ79" s="227" t="n"/>
      <c r="HR79" s="227" t="n"/>
      <c r="HS79" s="227" t="n"/>
      <c r="HT79" s="227" t="n"/>
      <c r="HU79" s="227" t="n"/>
      <c r="HV79" s="227" t="n"/>
      <c r="HW79" s="227" t="n"/>
      <c r="HX79" s="227" t="n"/>
      <c r="HY79" s="227" t="n"/>
      <c r="HZ79" s="227" t="n"/>
      <c r="IA79" s="227" t="n"/>
      <c r="IB79" s="227" t="n"/>
      <c r="IC79" s="227" t="n"/>
      <c r="ID79" s="227" t="n"/>
      <c r="IE79" s="227" t="n"/>
      <c r="IF79" s="227" t="n"/>
      <c r="IG79" s="227" t="n"/>
      <c r="IH79" s="227" t="n"/>
      <c r="II79" s="227" t="n"/>
      <c r="IJ79" s="227" t="n"/>
      <c r="IK79" s="227" t="n"/>
      <c r="IL79" s="227" t="n"/>
      <c r="IM79" s="227" t="n"/>
      <c r="IN79" s="227" t="n"/>
      <c r="IO79" s="227" t="n"/>
      <c r="IP79" s="227" t="n"/>
      <c r="IQ79" s="227" t="n"/>
      <c r="IR79" s="227" t="n"/>
      <c r="IS79" s="227" t="n"/>
      <c r="IT79" s="227" t="n"/>
      <c r="IU79" s="227" t="n"/>
      <c r="IV79" s="227" t="n"/>
      <c r="IW79" s="227" t="n"/>
      <c r="IX79" s="227" t="n"/>
      <c r="IY79" s="227" t="n"/>
      <c r="IZ79" s="227" t="n"/>
      <c r="JA79" s="227" t="n"/>
      <c r="JB79" s="227" t="n"/>
      <c r="JC79" s="227" t="n"/>
      <c r="JD79" s="227" t="n"/>
      <c r="JE79" s="227" t="n"/>
      <c r="JF79" s="227" t="n"/>
      <c r="JG79" s="227" t="n"/>
      <c r="JH79" s="227" t="n"/>
      <c r="JI79" s="227" t="n"/>
      <c r="JJ79" s="227" t="n"/>
      <c r="JK79" s="227" t="n"/>
      <c r="JL79" s="227" t="n"/>
      <c r="JM79" s="227" t="n"/>
      <c r="JN79" s="227" t="n"/>
      <c r="JO79" s="227" t="n"/>
      <c r="JP79" s="227" t="n"/>
      <c r="JQ79" s="227" t="n"/>
      <c r="JR79" s="227" t="n"/>
      <c r="JS79" s="227" t="n"/>
      <c r="JT79" s="227" t="n"/>
      <c r="JU79" s="227" t="n"/>
      <c r="JV79" s="227" t="n"/>
      <c r="JW79" s="227" t="n"/>
      <c r="JX79" s="227" t="n"/>
      <c r="JY79" s="227" t="n"/>
      <c r="JZ79" s="227" t="n"/>
      <c r="KA79" s="227" t="n"/>
      <c r="KB79" s="227" t="n"/>
      <c r="KC79" s="227" t="n"/>
      <c r="KD79" s="227" t="n"/>
      <c r="KE79" s="227" t="n"/>
      <c r="KF79" s="227" t="n"/>
      <c r="KG79" s="227" t="n"/>
      <c r="KH79" s="227" t="n"/>
      <c r="KI79" s="227" t="n"/>
      <c r="KJ79" s="227" t="n"/>
      <c r="KK79" s="227" t="n"/>
      <c r="KL79" s="227" t="n"/>
      <c r="KM79" s="227" t="n"/>
      <c r="KN79" s="227" t="n"/>
      <c r="KO79" s="227" t="n"/>
      <c r="KP79" s="227" t="n"/>
      <c r="KQ79" s="227" t="n"/>
      <c r="KR79" s="227" t="n"/>
      <c r="KS79" s="227" t="n"/>
      <c r="KT79" s="227" t="n"/>
      <c r="KU79" s="227" t="n"/>
      <c r="KV79" s="227" t="n"/>
      <c r="KW79" s="227" t="n"/>
      <c r="KX79" s="227" t="n"/>
      <c r="KY79" s="227" t="n"/>
      <c r="KZ79" s="227" t="n"/>
      <c r="LA79" s="227" t="n"/>
      <c r="LB79" s="227" t="n"/>
      <c r="LC79" s="227" t="n"/>
      <c r="LD79" s="227" t="n"/>
      <c r="LE79" s="227" t="n"/>
      <c r="LF79" s="227" t="n"/>
      <c r="LG79" s="227" t="n"/>
      <c r="LH79" s="227" t="n"/>
      <c r="LI79" s="227" t="n"/>
      <c r="LJ79" s="227" t="n"/>
      <c r="LK79" s="227" t="n"/>
      <c r="LL79" s="227" t="n"/>
      <c r="LM79" s="227" t="n"/>
      <c r="LN79" s="227" t="n"/>
      <c r="LO79" s="227" t="n"/>
      <c r="LP79" s="227" t="n"/>
      <c r="LQ79" s="227" t="n"/>
      <c r="LR79" s="227" t="n"/>
      <c r="LS79" s="227" t="n"/>
      <c r="LT79" s="227" t="n"/>
      <c r="LU79" s="227" t="n"/>
      <c r="LV79" s="227" t="n"/>
      <c r="LW79" s="227" t="n"/>
      <c r="LX79" s="227" t="n"/>
      <c r="LY79" s="227" t="n"/>
      <c r="LZ79" s="227" t="n"/>
      <c r="MA79" s="227" t="n"/>
      <c r="MB79" s="227" t="n"/>
      <c r="MC79" s="227" t="n"/>
      <c r="MD79" s="227" t="n"/>
      <c r="ME79" s="227" t="n"/>
      <c r="MF79" s="227" t="n"/>
      <c r="MG79" s="227" t="n"/>
      <c r="MH79" s="227" t="n"/>
      <c r="MI79" s="227" t="n"/>
      <c r="MJ79" s="227" t="n"/>
      <c r="MK79" s="227" t="n"/>
      <c r="ML79" s="227" t="n"/>
      <c r="MM79" s="227" t="n"/>
      <c r="MN79" s="227" t="n"/>
      <c r="MO79" s="227" t="n"/>
      <c r="MP79" s="227" t="n"/>
      <c r="MQ79" s="227" t="n"/>
      <c r="MR79" s="227" t="n"/>
      <c r="MS79" s="227" t="n"/>
      <c r="MT79" s="227" t="n"/>
      <c r="MU79" s="227" t="n"/>
      <c r="MV79" s="227" t="n"/>
      <c r="MW79" s="227" t="n"/>
      <c r="MX79" s="227" t="n"/>
      <c r="MY79" s="227" t="n"/>
      <c r="MZ79" s="227" t="n"/>
      <c r="NA79" s="227" t="n"/>
      <c r="NB79" s="227" t="n"/>
      <c r="NC79" s="228">
        <f>SUM(B79:NB79)</f>
        <v/>
      </c>
    </row>
    <row r="80" ht="14.25" customHeight="1" s="166">
      <c r="A80" s="214" t="inlineStr">
        <is>
          <t>BTU-60-RDE-03-05</t>
        </is>
      </c>
      <c r="B80" s="227" t="n"/>
      <c r="C80" s="227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7" t="n"/>
      <c r="Y80" s="227" t="n"/>
      <c r="Z80" s="227" t="n"/>
      <c r="AA80" s="227" t="n"/>
      <c r="AB80" s="227" t="n"/>
      <c r="AC80" s="227" t="n"/>
      <c r="AD80" s="227" t="n"/>
      <c r="AE80" s="227" t="n"/>
      <c r="AF80" s="227" t="n"/>
      <c r="AG80" s="227" t="n"/>
      <c r="AH80" s="227" t="n"/>
      <c r="AI80" s="227" t="n"/>
      <c r="AJ80" s="227" t="n"/>
      <c r="AK80" s="227" t="n"/>
      <c r="AL80" s="227" t="n"/>
      <c r="AM80" s="227" t="n"/>
      <c r="AN80" s="227" t="n"/>
      <c r="AO80" s="227" t="n"/>
      <c r="AP80" s="227" t="n"/>
      <c r="AQ80" s="227" t="n"/>
      <c r="AR80" s="227" t="n"/>
      <c r="AS80" s="227" t="n"/>
      <c r="AT80" s="227" t="n"/>
      <c r="AU80" s="227" t="n"/>
      <c r="AV80" s="227" t="n"/>
      <c r="AW80" s="227" t="n"/>
      <c r="AX80" s="227" t="n"/>
      <c r="AY80" s="227" t="n"/>
      <c r="AZ80" s="227" t="n"/>
      <c r="BA80" s="227" t="n"/>
      <c r="BB80" s="227" t="n"/>
      <c r="BC80" s="227" t="n"/>
      <c r="BD80" s="227" t="n"/>
      <c r="BE80" s="227" t="n"/>
      <c r="BF80" s="227" t="n"/>
      <c r="BG80" s="227" t="n"/>
      <c r="BH80" s="227" t="n"/>
      <c r="BI80" s="227" t="n"/>
      <c r="BJ80" s="227" t="n"/>
      <c r="BK80" s="227" t="n"/>
      <c r="BL80" s="227" t="n"/>
      <c r="BM80" s="227" t="n"/>
      <c r="BN80" s="227" t="n"/>
      <c r="BO80" s="227" t="n"/>
      <c r="BP80" s="227" t="n"/>
      <c r="BQ80" s="227" t="n"/>
      <c r="BR80" s="227" t="n"/>
      <c r="BS80" s="227" t="n"/>
      <c r="BT80" s="227" t="n"/>
      <c r="BU80" s="227" t="n"/>
      <c r="BV80" s="227" t="n"/>
      <c r="BW80" s="227" t="n"/>
      <c r="BX80" s="227" t="n"/>
      <c r="BY80" s="227" t="n"/>
      <c r="BZ80" s="227" t="n"/>
      <c r="CA80" s="227" t="n"/>
      <c r="CB80" s="227" t="n"/>
      <c r="CC80" s="227" t="n"/>
      <c r="CD80" s="227" t="n"/>
      <c r="CE80" s="227" t="n"/>
      <c r="CF80" s="227" t="n"/>
      <c r="CG80" s="227" t="n"/>
      <c r="CH80" s="227" t="n"/>
      <c r="CI80" s="227" t="n"/>
      <c r="CJ80" s="227" t="n"/>
      <c r="CK80" s="227" t="n"/>
      <c r="CL80" s="227" t="n"/>
      <c r="CM80" s="227" t="n"/>
      <c r="CN80" s="227" t="n"/>
      <c r="CO80" s="227" t="n"/>
      <c r="CP80" s="227" t="n"/>
      <c r="CQ80" s="227" t="n"/>
      <c r="CR80" s="227" t="n"/>
      <c r="CS80" s="227" t="n"/>
      <c r="CT80" s="227" t="n"/>
      <c r="CU80" s="227" t="n"/>
      <c r="CV80" s="227" t="n"/>
      <c r="CW80" s="227" t="n"/>
      <c r="CX80" s="227" t="n"/>
      <c r="CY80" s="227" t="n"/>
      <c r="CZ80" s="227" t="n"/>
      <c r="DA80" s="227" t="n"/>
      <c r="DB80" s="227" t="n"/>
      <c r="DC80" s="227" t="n"/>
      <c r="DD80" s="227" t="n"/>
      <c r="DE80" s="227" t="n"/>
      <c r="DF80" s="227" t="n"/>
      <c r="DG80" s="227" t="n"/>
      <c r="DH80" s="227" t="n"/>
      <c r="DI80" s="227" t="n"/>
      <c r="DJ80" s="227" t="n"/>
      <c r="DK80" s="227" t="n"/>
      <c r="DL80" s="227" t="n"/>
      <c r="DM80" s="227" t="n"/>
      <c r="DN80" s="227" t="n"/>
      <c r="DO80" s="227" t="n"/>
      <c r="DP80" s="227" t="n"/>
      <c r="DQ80" s="227" t="n"/>
      <c r="DR80" s="227" t="n"/>
      <c r="DS80" s="227" t="n"/>
      <c r="DT80" s="227" t="n"/>
      <c r="DU80" s="227" t="n"/>
      <c r="DV80" s="227" t="n"/>
      <c r="DW80" s="227" t="n"/>
      <c r="DX80" s="227" t="n"/>
      <c r="DY80" s="227" t="n"/>
      <c r="DZ80" s="227" t="n"/>
      <c r="EA80" s="227" t="n"/>
      <c r="EB80" s="227" t="n"/>
      <c r="EC80" s="227" t="n"/>
      <c r="ED80" s="227" t="n"/>
      <c r="EE80" s="227" t="n"/>
      <c r="EF80" s="227" t="n"/>
      <c r="EG80" s="227" t="n"/>
      <c r="EH80" s="227" t="n"/>
      <c r="EI80" s="227" t="n"/>
      <c r="EJ80" s="227" t="n"/>
      <c r="EK80" s="227" t="n"/>
      <c r="EL80" s="227" t="n"/>
      <c r="EM80" s="227" t="n"/>
      <c r="EN80" s="227" t="n"/>
      <c r="EO80" s="227" t="n"/>
      <c r="EP80" s="227" t="n"/>
      <c r="EQ80" s="227" t="n"/>
      <c r="ER80" s="227" t="n"/>
      <c r="ES80" s="227" t="n"/>
      <c r="ET80" s="227" t="n"/>
      <c r="EU80" s="227" t="n"/>
      <c r="EV80" s="227" t="n"/>
      <c r="EW80" s="227" t="n"/>
      <c r="EX80" s="227" t="n"/>
      <c r="EY80" s="227" t="n"/>
      <c r="EZ80" s="227" t="n"/>
      <c r="FA80" s="227" t="n"/>
      <c r="FB80" s="227" t="n"/>
      <c r="FC80" s="227" t="n"/>
      <c r="FD80" s="227" t="n"/>
      <c r="FE80" s="227" t="n"/>
      <c r="FF80" s="227" t="n"/>
      <c r="FG80" s="227" t="n"/>
      <c r="FH80" s="227" t="n"/>
      <c r="FI80" s="227" t="n"/>
      <c r="FJ80" s="227" t="n"/>
      <c r="FK80" s="227" t="n"/>
      <c r="FL80" s="227" t="n"/>
      <c r="FM80" s="227" t="n"/>
      <c r="FN80" s="227" t="n"/>
      <c r="FO80" s="227" t="n"/>
      <c r="FP80" s="227" t="n"/>
      <c r="FQ80" s="227" t="n"/>
      <c r="FR80" s="227" t="n"/>
      <c r="FS80" s="227" t="n"/>
      <c r="FT80" s="227" t="n"/>
      <c r="FU80" s="227" t="n"/>
      <c r="FV80" s="227" t="n"/>
      <c r="FW80" s="227" t="n"/>
      <c r="FX80" s="227" t="n"/>
      <c r="FY80" s="227" t="n"/>
      <c r="FZ80" s="227" t="n"/>
      <c r="GA80" s="227" t="n"/>
      <c r="GB80" s="227" t="n"/>
      <c r="GC80" s="227" t="n"/>
      <c r="GD80" s="227" t="n"/>
      <c r="GE80" s="227" t="n"/>
      <c r="GF80" s="227" t="n"/>
      <c r="GG80" s="227" t="n"/>
      <c r="GH80" s="227" t="n"/>
      <c r="GI80" s="227" t="n"/>
      <c r="GJ80" s="227" t="n"/>
      <c r="GK80" s="227" t="n"/>
      <c r="GL80" s="227" t="n"/>
      <c r="GM80" s="227" t="n"/>
      <c r="GN80" s="227" t="n"/>
      <c r="GO80" s="227" t="n"/>
      <c r="GP80" s="227" t="n"/>
      <c r="GQ80" s="227" t="n"/>
      <c r="GR80" s="227" t="n"/>
      <c r="GS80" s="227" t="n"/>
      <c r="GT80" s="227" t="n"/>
      <c r="GU80" s="227" t="n"/>
      <c r="GV80" s="227" t="n"/>
      <c r="GW80" s="227" t="n"/>
      <c r="GX80" s="227" t="n"/>
      <c r="GY80" s="227" t="n"/>
      <c r="GZ80" s="227" t="n"/>
      <c r="HA80" s="227" t="n"/>
      <c r="HB80" s="227" t="n"/>
      <c r="HC80" s="227" t="n"/>
      <c r="HD80" s="227" t="n"/>
      <c r="HE80" s="227" t="n"/>
      <c r="HF80" s="227" t="n"/>
      <c r="HG80" s="227" t="n"/>
      <c r="HH80" s="227" t="n"/>
      <c r="HI80" s="227" t="n"/>
      <c r="HJ80" s="227" t="n"/>
      <c r="HK80" s="227" t="n"/>
      <c r="HL80" s="227" t="n"/>
      <c r="HM80" s="227" t="n"/>
      <c r="HN80" s="227" t="n"/>
      <c r="HO80" s="227" t="n"/>
      <c r="HP80" s="227" t="n"/>
      <c r="HQ80" s="227" t="n"/>
      <c r="HR80" s="227" t="n"/>
      <c r="HS80" s="227" t="n"/>
      <c r="HT80" s="227" t="n"/>
      <c r="HU80" s="227" t="n"/>
      <c r="HV80" s="227" t="n"/>
      <c r="HW80" s="227" t="n"/>
      <c r="HX80" s="227" t="n"/>
      <c r="HY80" s="227" t="n"/>
      <c r="HZ80" s="227" t="n"/>
      <c r="IA80" s="227" t="n"/>
      <c r="IB80" s="227" t="n"/>
      <c r="IC80" s="227" t="n"/>
      <c r="ID80" s="227" t="n"/>
      <c r="IE80" s="227" t="n"/>
      <c r="IF80" s="227" t="n"/>
      <c r="IG80" s="227" t="n"/>
      <c r="IH80" s="227" t="n"/>
      <c r="II80" s="227" t="n"/>
      <c r="IJ80" s="227" t="n"/>
      <c r="IK80" s="227" t="n"/>
      <c r="IL80" s="227" t="n"/>
      <c r="IM80" s="227" t="n"/>
      <c r="IN80" s="227" t="n"/>
      <c r="IO80" s="227" t="n"/>
      <c r="IP80" s="227" t="n"/>
      <c r="IQ80" s="227" t="n"/>
      <c r="IR80" s="227" t="n"/>
      <c r="IS80" s="227" t="n"/>
      <c r="IT80" s="227" t="n"/>
      <c r="IU80" s="227" t="n"/>
      <c r="IV80" s="227" t="n"/>
      <c r="IW80" s="227" t="n"/>
      <c r="IX80" s="227" t="n"/>
      <c r="IY80" s="227" t="n"/>
      <c r="IZ80" s="227" t="n"/>
      <c r="JA80" s="227" t="n"/>
      <c r="JB80" s="227" t="n"/>
      <c r="JC80" s="227" t="n"/>
      <c r="JD80" s="227" t="n"/>
      <c r="JE80" s="227" t="n"/>
      <c r="JF80" s="227" t="n"/>
      <c r="JG80" s="227" t="n"/>
      <c r="JH80" s="227" t="n"/>
      <c r="JI80" s="227" t="n"/>
      <c r="JJ80" s="227" t="n"/>
      <c r="JK80" s="227" t="n"/>
      <c r="JL80" s="227" t="n"/>
      <c r="JM80" s="227" t="n"/>
      <c r="JN80" s="227" t="n"/>
      <c r="JO80" s="227" t="n"/>
      <c r="JP80" s="227" t="n"/>
      <c r="JQ80" s="227" t="n"/>
      <c r="JR80" s="227" t="n"/>
      <c r="JS80" s="227" t="n"/>
      <c r="JT80" s="227" t="n"/>
      <c r="JU80" s="227" t="n"/>
      <c r="JV80" s="227" t="n"/>
      <c r="JW80" s="227" t="n"/>
      <c r="JX80" s="227" t="n"/>
      <c r="JY80" s="227" t="n"/>
      <c r="JZ80" s="227" t="n"/>
      <c r="KA80" s="227" t="n"/>
      <c r="KB80" s="227" t="n"/>
      <c r="KC80" s="227" t="n"/>
      <c r="KD80" s="227" t="n"/>
      <c r="KE80" s="227" t="n"/>
      <c r="KF80" s="227" t="n"/>
      <c r="KG80" s="227" t="n"/>
      <c r="KH80" s="227" t="n"/>
      <c r="KI80" s="227" t="n"/>
      <c r="KJ80" s="227" t="n"/>
      <c r="KK80" s="227" t="n"/>
      <c r="KL80" s="227" t="n"/>
      <c r="KM80" s="227" t="n"/>
      <c r="KN80" s="227" t="n"/>
      <c r="KO80" s="227" t="n"/>
      <c r="KP80" s="227" t="n"/>
      <c r="KQ80" s="227" t="n"/>
      <c r="KR80" s="227" t="n"/>
      <c r="KS80" s="227" t="n"/>
      <c r="KT80" s="227" t="n"/>
      <c r="KU80" s="227" t="n"/>
      <c r="KV80" s="227" t="n"/>
      <c r="KW80" s="227" t="n"/>
      <c r="KX80" s="227" t="n"/>
      <c r="KY80" s="227" t="n"/>
      <c r="KZ80" s="227" t="n"/>
      <c r="LA80" s="227" t="n"/>
      <c r="LB80" s="227" t="n"/>
      <c r="LC80" s="227" t="n"/>
      <c r="LD80" s="227" t="n"/>
      <c r="LE80" s="227" t="n"/>
      <c r="LF80" s="227" t="n"/>
      <c r="LG80" s="227" t="n"/>
      <c r="LH80" s="227" t="n"/>
      <c r="LI80" s="227" t="n"/>
      <c r="LJ80" s="227" t="n"/>
      <c r="LK80" s="227" t="n"/>
      <c r="LL80" s="227" t="n"/>
      <c r="LM80" s="227" t="n"/>
      <c r="LN80" s="227" t="n"/>
      <c r="LO80" s="227" t="n"/>
      <c r="LP80" s="227" t="n"/>
      <c r="LQ80" s="227" t="n"/>
      <c r="LR80" s="227" t="n"/>
      <c r="LS80" s="227" t="n"/>
      <c r="LT80" s="227" t="n"/>
      <c r="LU80" s="227" t="n"/>
      <c r="LV80" s="227" t="n"/>
      <c r="LW80" s="227" t="n"/>
      <c r="LX80" s="227" t="n"/>
      <c r="LY80" s="227" t="n"/>
      <c r="LZ80" s="227" t="n"/>
      <c r="MA80" s="227" t="n"/>
      <c r="MB80" s="227" t="n"/>
      <c r="MC80" s="227" t="n"/>
      <c r="MD80" s="227" t="n"/>
      <c r="ME80" s="227" t="n"/>
      <c r="MF80" s="227" t="n"/>
      <c r="MG80" s="227" t="n"/>
      <c r="MH80" s="227" t="n"/>
      <c r="MI80" s="227" t="n"/>
      <c r="MJ80" s="227" t="n"/>
      <c r="MK80" s="227" t="n"/>
      <c r="ML80" s="227" t="n"/>
      <c r="MM80" s="227" t="n"/>
      <c r="MN80" s="227" t="n"/>
      <c r="MO80" s="227" t="n"/>
      <c r="MP80" s="227" t="n"/>
      <c r="MQ80" s="227" t="n"/>
      <c r="MR80" s="227" t="n"/>
      <c r="MS80" s="227" t="n"/>
      <c r="MT80" s="227" t="n"/>
      <c r="MU80" s="227" t="n"/>
      <c r="MV80" s="227" t="n"/>
      <c r="MW80" s="227" t="n"/>
      <c r="MX80" s="227" t="n"/>
      <c r="MY80" s="227" t="n"/>
      <c r="MZ80" s="227" t="n"/>
      <c r="NA80" s="227" t="n"/>
      <c r="NB80" s="227" t="n"/>
      <c r="NC80" s="228">
        <f>SUM(B80:NB80)</f>
        <v/>
      </c>
    </row>
    <row r="81" ht="14.25" customHeight="1" s="166">
      <c r="A81" s="214" t="inlineStr">
        <is>
          <t>BTU-60-03-01</t>
        </is>
      </c>
      <c r="B81" s="227" t="n"/>
      <c r="C81" s="227" t="n"/>
      <c r="D81" s="227" t="n"/>
      <c r="E81" s="227" t="n"/>
      <c r="F81" s="227" t="n"/>
      <c r="G81" s="227" t="n"/>
      <c r="H81" s="227" t="n"/>
      <c r="I81" s="227" t="n"/>
      <c r="J81" s="227" t="n"/>
      <c r="K81" s="227" t="n"/>
      <c r="L81" s="227" t="n"/>
      <c r="M81" s="227" t="n"/>
      <c r="N81" s="227" t="n"/>
      <c r="O81" s="227" t="n"/>
      <c r="P81" s="227" t="n"/>
      <c r="Q81" s="227" t="n"/>
      <c r="R81" s="227" t="n"/>
      <c r="S81" s="227" t="n"/>
      <c r="T81" s="227" t="n"/>
      <c r="U81" s="227" t="n"/>
      <c r="V81" s="227" t="n"/>
      <c r="W81" s="227" t="n"/>
      <c r="X81" s="227" t="n"/>
      <c r="Y81" s="227" t="n"/>
      <c r="Z81" s="227" t="n"/>
      <c r="AA81" s="227" t="n"/>
      <c r="AB81" s="227" t="n"/>
      <c r="AC81" s="227" t="n"/>
      <c r="AD81" s="227" t="n"/>
      <c r="AE81" s="227" t="n"/>
      <c r="AF81" s="227" t="n"/>
      <c r="AG81" s="227" t="n"/>
      <c r="AH81" s="227" t="n"/>
      <c r="AI81" s="227" t="n"/>
      <c r="AJ81" s="227" t="n"/>
      <c r="AK81" s="227" t="n"/>
      <c r="AL81" s="227" t="n"/>
      <c r="AM81" s="227" t="n"/>
      <c r="AN81" s="227" t="n"/>
      <c r="AO81" s="227" t="n"/>
      <c r="AP81" s="227" t="n"/>
      <c r="AQ81" s="227" t="n"/>
      <c r="AR81" s="227" t="n"/>
      <c r="AS81" s="227" t="n"/>
      <c r="AT81" s="227" t="n"/>
      <c r="AU81" s="227" t="n"/>
      <c r="AV81" s="227" t="n"/>
      <c r="AW81" s="227" t="n"/>
      <c r="AX81" s="227" t="n"/>
      <c r="AY81" s="227" t="n"/>
      <c r="AZ81" s="227" t="n"/>
      <c r="BA81" s="227" t="n"/>
      <c r="BB81" s="227" t="n"/>
      <c r="BC81" s="227" t="n"/>
      <c r="BD81" s="227" t="n"/>
      <c r="BE81" s="227" t="n"/>
      <c r="BF81" s="227" t="n"/>
      <c r="BG81" s="227" t="n"/>
      <c r="BH81" s="227" t="n"/>
      <c r="BI81" s="227" t="n"/>
      <c r="BJ81" s="227" t="n"/>
      <c r="BK81" s="227" t="n"/>
      <c r="BL81" s="227" t="n"/>
      <c r="BM81" s="227" t="n"/>
      <c r="BN81" s="227" t="n"/>
      <c r="BO81" s="227" t="n"/>
      <c r="BP81" s="227" t="n"/>
      <c r="BQ81" s="227" t="n"/>
      <c r="BR81" s="227" t="n"/>
      <c r="BS81" s="227" t="n"/>
      <c r="BT81" s="227" t="n"/>
      <c r="BU81" s="227" t="n"/>
      <c r="BV81" s="227" t="n"/>
      <c r="BW81" s="227" t="n"/>
      <c r="BX81" s="227" t="n"/>
      <c r="BY81" s="227" t="n"/>
      <c r="BZ81" s="227" t="n"/>
      <c r="CA81" s="227" t="n"/>
      <c r="CB81" s="227" t="n"/>
      <c r="CC81" s="227" t="n"/>
      <c r="CD81" s="227" t="n"/>
      <c r="CE81" s="227" t="n"/>
      <c r="CF81" s="227" t="n"/>
      <c r="CG81" s="227" t="n"/>
      <c r="CH81" s="227" t="n"/>
      <c r="CI81" s="227" t="n"/>
      <c r="CJ81" s="227" t="n"/>
      <c r="CK81" s="227" t="n"/>
      <c r="CL81" s="227" t="n"/>
      <c r="CM81" s="227" t="n"/>
      <c r="CN81" s="227" t="n"/>
      <c r="CO81" s="227" t="n"/>
      <c r="CP81" s="227" t="n"/>
      <c r="CQ81" s="227" t="n"/>
      <c r="CR81" s="227" t="n"/>
      <c r="CS81" s="227" t="n"/>
      <c r="CT81" s="227" t="n"/>
      <c r="CU81" s="227" t="n"/>
      <c r="CV81" s="227" t="n"/>
      <c r="CW81" s="227" t="n"/>
      <c r="CX81" s="227" t="n"/>
      <c r="CY81" s="227" t="n"/>
      <c r="CZ81" s="227" t="n"/>
      <c r="DA81" s="227" t="n"/>
      <c r="DB81" s="227" t="n"/>
      <c r="DC81" s="227" t="n"/>
      <c r="DD81" s="227" t="n"/>
      <c r="DE81" s="227" t="n"/>
      <c r="DF81" s="227" t="n"/>
      <c r="DG81" s="227" t="n"/>
      <c r="DH81" s="227" t="n"/>
      <c r="DI81" s="227" t="n"/>
      <c r="DJ81" s="227" t="n"/>
      <c r="DK81" s="227" t="n"/>
      <c r="DL81" s="227" t="n"/>
      <c r="DM81" s="227" t="n"/>
      <c r="DN81" s="227" t="n"/>
      <c r="DO81" s="227" t="n"/>
      <c r="DP81" s="227" t="n"/>
      <c r="DQ81" s="227" t="n"/>
      <c r="DR81" s="227" t="n"/>
      <c r="DS81" s="227" t="n"/>
      <c r="DT81" s="227" t="n"/>
      <c r="DU81" s="227" t="n"/>
      <c r="DV81" s="227" t="n"/>
      <c r="DW81" s="227" t="n"/>
      <c r="DX81" s="227" t="n"/>
      <c r="DY81" s="227" t="n"/>
      <c r="DZ81" s="227" t="n"/>
      <c r="EA81" s="227" t="n"/>
      <c r="EB81" s="227" t="n"/>
      <c r="EC81" s="227" t="n"/>
      <c r="ED81" s="227" t="n"/>
      <c r="EE81" s="227" t="n"/>
      <c r="EF81" s="227" t="n"/>
      <c r="EG81" s="227" t="n"/>
      <c r="EH81" s="227" t="n"/>
      <c r="EI81" s="227" t="n"/>
      <c r="EJ81" s="227" t="n"/>
      <c r="EK81" s="227" t="n"/>
      <c r="EL81" s="227" t="n"/>
      <c r="EM81" s="227" t="n"/>
      <c r="EN81" s="227" t="n"/>
      <c r="EO81" s="227" t="n"/>
      <c r="EP81" s="227" t="n"/>
      <c r="EQ81" s="227" t="n"/>
      <c r="ER81" s="227" t="n"/>
      <c r="ES81" s="227" t="n"/>
      <c r="ET81" s="227" t="n"/>
      <c r="EU81" s="227" t="n"/>
      <c r="EV81" s="227" t="n"/>
      <c r="EW81" s="227" t="n"/>
      <c r="EX81" s="227" t="n"/>
      <c r="EY81" s="227" t="n"/>
      <c r="EZ81" s="227" t="n"/>
      <c r="FA81" s="227" t="n"/>
      <c r="FB81" s="227" t="n"/>
      <c r="FC81" s="227" t="n"/>
      <c r="FD81" s="227" t="n"/>
      <c r="FE81" s="227" t="n"/>
      <c r="FF81" s="227" t="n"/>
      <c r="FG81" s="227" t="n"/>
      <c r="FH81" s="227" t="n"/>
      <c r="FI81" s="227" t="n"/>
      <c r="FJ81" s="227" t="n"/>
      <c r="FK81" s="227" t="n"/>
      <c r="FL81" s="227" t="n"/>
      <c r="FM81" s="227" t="n"/>
      <c r="FN81" s="227" t="n"/>
      <c r="FO81" s="227" t="n"/>
      <c r="FP81" s="227" t="n"/>
      <c r="FQ81" s="227" t="n"/>
      <c r="FR81" s="227" t="n"/>
      <c r="FS81" s="227" t="n"/>
      <c r="FT81" s="227" t="n"/>
      <c r="FU81" s="227" t="n"/>
      <c r="FV81" s="227" t="n"/>
      <c r="FW81" s="227" t="n"/>
      <c r="FX81" s="227" t="n"/>
      <c r="FY81" s="227" t="n"/>
      <c r="FZ81" s="227" t="n"/>
      <c r="GA81" s="227" t="n"/>
      <c r="GB81" s="227" t="n"/>
      <c r="GC81" s="227" t="n"/>
      <c r="GD81" s="227" t="n"/>
      <c r="GE81" s="227" t="n"/>
      <c r="GF81" s="227" t="n"/>
      <c r="GG81" s="227" t="n"/>
      <c r="GH81" s="227" t="n"/>
      <c r="GI81" s="227" t="n"/>
      <c r="GJ81" s="227" t="n"/>
      <c r="GK81" s="227" t="n"/>
      <c r="GL81" s="227" t="n"/>
      <c r="GM81" s="227" t="n"/>
      <c r="GN81" s="227" t="n"/>
      <c r="GO81" s="227" t="n"/>
      <c r="GP81" s="227" t="n"/>
      <c r="GQ81" s="227" t="n"/>
      <c r="GR81" s="227" t="n"/>
      <c r="GS81" s="227" t="n"/>
      <c r="GT81" s="227" t="n"/>
      <c r="GU81" s="227" t="n"/>
      <c r="GV81" s="227" t="n"/>
      <c r="GW81" s="227" t="n"/>
      <c r="GX81" s="227" t="n"/>
      <c r="GY81" s="227" t="n"/>
      <c r="GZ81" s="227" t="n"/>
      <c r="HA81" s="227" t="n"/>
      <c r="HB81" s="227" t="n"/>
      <c r="HC81" s="227" t="n"/>
      <c r="HD81" s="227" t="n"/>
      <c r="HE81" s="227" t="n"/>
      <c r="HF81" s="227" t="n"/>
      <c r="HG81" s="227" t="n"/>
      <c r="HH81" s="227" t="n"/>
      <c r="HI81" s="227" t="n"/>
      <c r="HJ81" s="227" t="n"/>
      <c r="HK81" s="227" t="n"/>
      <c r="HL81" s="227" t="n"/>
      <c r="HM81" s="227" t="n"/>
      <c r="HN81" s="227" t="n"/>
      <c r="HO81" s="227" t="n"/>
      <c r="HP81" s="227" t="n"/>
      <c r="HQ81" s="227" t="n"/>
      <c r="HR81" s="227" t="n"/>
      <c r="HS81" s="227" t="n"/>
      <c r="HT81" s="227" t="n"/>
      <c r="HU81" s="227" t="n"/>
      <c r="HV81" s="227" t="n"/>
      <c r="HW81" s="227" t="n"/>
      <c r="HX81" s="227" t="n"/>
      <c r="HY81" s="227" t="n"/>
      <c r="HZ81" s="227" t="n"/>
      <c r="IA81" s="227" t="n"/>
      <c r="IB81" s="227" t="n"/>
      <c r="IC81" s="227" t="n"/>
      <c r="ID81" s="227" t="n"/>
      <c r="IE81" s="227" t="n"/>
      <c r="IF81" s="227" t="n"/>
      <c r="IG81" s="227" t="n"/>
      <c r="IH81" s="227" t="n"/>
      <c r="II81" s="227" t="n"/>
      <c r="IJ81" s="227" t="n"/>
      <c r="IK81" s="227" t="n"/>
      <c r="IL81" s="227" t="n"/>
      <c r="IM81" s="227" t="n"/>
      <c r="IN81" s="227" t="n"/>
      <c r="IO81" s="227" t="n"/>
      <c r="IP81" s="227" t="n"/>
      <c r="IQ81" s="227" t="n"/>
      <c r="IR81" s="227" t="n"/>
      <c r="IS81" s="227" t="n"/>
      <c r="IT81" s="227" t="n"/>
      <c r="IU81" s="227" t="n"/>
      <c r="IV81" s="227" t="n"/>
      <c r="IW81" s="227" t="n"/>
      <c r="IX81" s="227" t="n"/>
      <c r="IY81" s="227" t="n"/>
      <c r="IZ81" s="227" t="n"/>
      <c r="JA81" s="227" t="n"/>
      <c r="JB81" s="227" t="n"/>
      <c r="JC81" s="227" t="n"/>
      <c r="JD81" s="227" t="n"/>
      <c r="JE81" s="227" t="n"/>
      <c r="JF81" s="227" t="n"/>
      <c r="JG81" s="227" t="n"/>
      <c r="JH81" s="227" t="n"/>
      <c r="JI81" s="227" t="n"/>
      <c r="JJ81" s="227" t="n"/>
      <c r="JK81" s="227" t="n"/>
      <c r="JL81" s="227" t="n"/>
      <c r="JM81" s="227" t="n"/>
      <c r="JN81" s="227" t="n"/>
      <c r="JO81" s="227" t="n"/>
      <c r="JP81" s="227" t="n"/>
      <c r="JQ81" s="227" t="n"/>
      <c r="JR81" s="227" t="n"/>
      <c r="JS81" s="227" t="n"/>
      <c r="JT81" s="227" t="n"/>
      <c r="JU81" s="227" t="n"/>
      <c r="JV81" s="227" t="n"/>
      <c r="JW81" s="227" t="n"/>
      <c r="JX81" s="227" t="n"/>
      <c r="JY81" s="227" t="n"/>
      <c r="JZ81" s="227" t="n"/>
      <c r="KA81" s="227" t="n"/>
      <c r="KB81" s="227" t="n"/>
      <c r="KC81" s="227" t="n"/>
      <c r="KD81" s="227" t="n"/>
      <c r="KE81" s="227" t="n"/>
      <c r="KF81" s="227" t="n"/>
      <c r="KG81" s="227" t="n"/>
      <c r="KH81" s="227" t="n"/>
      <c r="KI81" s="227" t="n"/>
      <c r="KJ81" s="227" t="n"/>
      <c r="KK81" s="227" t="n"/>
      <c r="KL81" s="227" t="n"/>
      <c r="KM81" s="227" t="n"/>
      <c r="KN81" s="227" t="n"/>
      <c r="KO81" s="227" t="n"/>
      <c r="KP81" s="227" t="n"/>
      <c r="KQ81" s="227" t="n"/>
      <c r="KR81" s="227" t="n"/>
      <c r="KS81" s="227" t="n"/>
      <c r="KT81" s="227" t="n"/>
      <c r="KU81" s="227" t="n"/>
      <c r="KV81" s="227" t="n"/>
      <c r="KW81" s="227" t="n"/>
      <c r="KX81" s="227" t="n"/>
      <c r="KY81" s="227" t="n"/>
      <c r="KZ81" s="227" t="n"/>
      <c r="LA81" s="227" t="n"/>
      <c r="LB81" s="227" t="n"/>
      <c r="LC81" s="227" t="n"/>
      <c r="LD81" s="227" t="n"/>
      <c r="LE81" s="227" t="n"/>
      <c r="LF81" s="227" t="n"/>
      <c r="LG81" s="227" t="n"/>
      <c r="LH81" s="227" t="n"/>
      <c r="LI81" s="227" t="n"/>
      <c r="LJ81" s="227" t="n"/>
      <c r="LK81" s="227" t="n"/>
      <c r="LL81" s="227" t="n"/>
      <c r="LM81" s="227" t="n"/>
      <c r="LN81" s="227" t="n"/>
      <c r="LO81" s="227" t="n"/>
      <c r="LP81" s="227" t="n"/>
      <c r="LQ81" s="227" t="n"/>
      <c r="LR81" s="227" t="n"/>
      <c r="LS81" s="227" t="n"/>
      <c r="LT81" s="227" t="n"/>
      <c r="LU81" s="227" t="n"/>
      <c r="LV81" s="227" t="n"/>
      <c r="LW81" s="227" t="n"/>
      <c r="LX81" s="227" t="n"/>
      <c r="LY81" s="227" t="n"/>
      <c r="LZ81" s="227" t="n"/>
      <c r="MA81" s="227" t="n"/>
      <c r="MB81" s="227" t="n"/>
      <c r="MC81" s="227" t="n"/>
      <c r="MD81" s="227" t="n"/>
      <c r="ME81" s="227" t="n"/>
      <c r="MF81" s="227" t="n"/>
      <c r="MG81" s="227" t="n"/>
      <c r="MH81" s="227" t="n"/>
      <c r="MI81" s="227" t="n"/>
      <c r="MJ81" s="227" t="n"/>
      <c r="MK81" s="227" t="n"/>
      <c r="ML81" s="227" t="n"/>
      <c r="MM81" s="227" t="n"/>
      <c r="MN81" s="227" t="n"/>
      <c r="MO81" s="227" t="n"/>
      <c r="MP81" s="227" t="n"/>
      <c r="MQ81" s="227" t="n"/>
      <c r="MR81" s="227" t="n"/>
      <c r="MS81" s="227" t="n"/>
      <c r="MT81" s="227" t="n"/>
      <c r="MU81" s="227" t="n"/>
      <c r="MV81" s="227" t="n"/>
      <c r="MW81" s="227" t="n"/>
      <c r="MX81" s="227" t="n"/>
      <c r="MY81" s="227" t="n"/>
      <c r="MZ81" s="227" t="n"/>
      <c r="NA81" s="227" t="n"/>
      <c r="NB81" s="227" t="n"/>
      <c r="NC81" s="228">
        <f>SUM(B81:NB81)</f>
        <v/>
      </c>
    </row>
    <row r="82" ht="14.25" customHeight="1" s="166">
      <c r="A82" s="214" t="inlineStr">
        <is>
          <t>BTU-60-03-02</t>
        </is>
      </c>
      <c r="B82" s="227" t="n"/>
      <c r="C82" s="227" t="n"/>
      <c r="D82" s="227" t="n"/>
      <c r="E82" s="227" t="n"/>
      <c r="F82" s="227" t="n"/>
      <c r="G82" s="227" t="n"/>
      <c r="H82" s="227" t="n"/>
      <c r="I82" s="227" t="n"/>
      <c r="J82" s="227" t="n"/>
      <c r="K82" s="227" t="n"/>
      <c r="L82" s="227" t="n"/>
      <c r="M82" s="227" t="n"/>
      <c r="N82" s="227" t="n"/>
      <c r="O82" s="227" t="n"/>
      <c r="P82" s="227" t="n"/>
      <c r="Q82" s="227" t="n"/>
      <c r="R82" s="227" t="n"/>
      <c r="S82" s="227" t="n"/>
      <c r="T82" s="227" t="n"/>
      <c r="U82" s="227" t="n"/>
      <c r="V82" s="227" t="n"/>
      <c r="W82" s="227" t="n"/>
      <c r="X82" s="227" t="n"/>
      <c r="Y82" s="227" t="n"/>
      <c r="Z82" s="227" t="n"/>
      <c r="AA82" s="227" t="n"/>
      <c r="AB82" s="227" t="n"/>
      <c r="AC82" s="227" t="n"/>
      <c r="AD82" s="227" t="n"/>
      <c r="AE82" s="227" t="n"/>
      <c r="AF82" s="227" t="n"/>
      <c r="AG82" s="227" t="n"/>
      <c r="AH82" s="227" t="n"/>
      <c r="AI82" s="227" t="n"/>
      <c r="AJ82" s="227" t="n"/>
      <c r="AK82" s="227" t="n"/>
      <c r="AL82" s="227" t="n"/>
      <c r="AM82" s="227" t="n"/>
      <c r="AN82" s="227" t="n"/>
      <c r="AO82" s="227" t="n"/>
      <c r="AP82" s="227" t="n"/>
      <c r="AQ82" s="227" t="n"/>
      <c r="AR82" s="227" t="n"/>
      <c r="AS82" s="227" t="n"/>
      <c r="AT82" s="227" t="n"/>
      <c r="AU82" s="227" t="n"/>
      <c r="AV82" s="227" t="n"/>
      <c r="AW82" s="227" t="n"/>
      <c r="AX82" s="227" t="n"/>
      <c r="AY82" s="227" t="n"/>
      <c r="AZ82" s="227" t="n"/>
      <c r="BA82" s="227" t="n"/>
      <c r="BB82" s="227" t="n"/>
      <c r="BC82" s="227" t="n"/>
      <c r="BD82" s="227" t="n"/>
      <c r="BE82" s="227" t="n"/>
      <c r="BF82" s="227" t="n"/>
      <c r="BG82" s="227" t="n"/>
      <c r="BH82" s="227" t="n"/>
      <c r="BI82" s="227" t="n"/>
      <c r="BJ82" s="227" t="n"/>
      <c r="BK82" s="227" t="n"/>
      <c r="BL82" s="227" t="n"/>
      <c r="BM82" s="227" t="n"/>
      <c r="BN82" s="227" t="n"/>
      <c r="BO82" s="227" t="n"/>
      <c r="BP82" s="227" t="n"/>
      <c r="BQ82" s="227" t="n"/>
      <c r="BR82" s="227" t="n"/>
      <c r="BS82" s="227" t="n"/>
      <c r="BT82" s="227" t="n"/>
      <c r="BU82" s="227" t="n"/>
      <c r="BV82" s="227" t="n"/>
      <c r="BW82" s="227" t="n"/>
      <c r="BX82" s="227" t="n"/>
      <c r="BY82" s="227" t="n"/>
      <c r="BZ82" s="227" t="n"/>
      <c r="CA82" s="227" t="n"/>
      <c r="CB82" s="227" t="n"/>
      <c r="CC82" s="227" t="n"/>
      <c r="CD82" s="227" t="n"/>
      <c r="CE82" s="227" t="n"/>
      <c r="CF82" s="227" t="n"/>
      <c r="CG82" s="227" t="n"/>
      <c r="CH82" s="227" t="n"/>
      <c r="CI82" s="227" t="n"/>
      <c r="CJ82" s="227" t="n"/>
      <c r="CK82" s="227" t="n"/>
      <c r="CL82" s="227" t="n"/>
      <c r="CM82" s="227" t="n"/>
      <c r="CN82" s="227" t="n"/>
      <c r="CO82" s="227" t="n"/>
      <c r="CP82" s="227" t="n"/>
      <c r="CQ82" s="227" t="n"/>
      <c r="CR82" s="227" t="n"/>
      <c r="CS82" s="227" t="n"/>
      <c r="CT82" s="227" t="n"/>
      <c r="CU82" s="227" t="n"/>
      <c r="CV82" s="227" t="n"/>
      <c r="CW82" s="227" t="n"/>
      <c r="CX82" s="227" t="n"/>
      <c r="CY82" s="227" t="n"/>
      <c r="CZ82" s="227" t="n"/>
      <c r="DA82" s="227" t="n"/>
      <c r="DB82" s="227" t="n"/>
      <c r="DC82" s="227" t="n"/>
      <c r="DD82" s="227" t="n"/>
      <c r="DE82" s="227" t="n"/>
      <c r="DF82" s="227" t="n"/>
      <c r="DG82" s="227" t="n"/>
      <c r="DH82" s="227" t="n"/>
      <c r="DI82" s="227" t="n"/>
      <c r="DJ82" s="227" t="n"/>
      <c r="DK82" s="227" t="n"/>
      <c r="DL82" s="227" t="n"/>
      <c r="DM82" s="227" t="n"/>
      <c r="DN82" s="227" t="n"/>
      <c r="DO82" s="227" t="n"/>
      <c r="DP82" s="227" t="n"/>
      <c r="DQ82" s="227" t="n"/>
      <c r="DR82" s="227" t="n"/>
      <c r="DS82" s="227" t="n"/>
      <c r="DT82" s="227" t="n"/>
      <c r="DU82" s="227" t="n"/>
      <c r="DV82" s="227" t="n"/>
      <c r="DW82" s="227" t="n"/>
      <c r="DX82" s="227" t="n"/>
      <c r="DY82" s="227" t="n"/>
      <c r="DZ82" s="227" t="n"/>
      <c r="EA82" s="227" t="n"/>
      <c r="EB82" s="227" t="n"/>
      <c r="EC82" s="227" t="n"/>
      <c r="ED82" s="227" t="n"/>
      <c r="EE82" s="227" t="n"/>
      <c r="EF82" s="227" t="n"/>
      <c r="EG82" s="227" t="n"/>
      <c r="EH82" s="227" t="n"/>
      <c r="EI82" s="227" t="n"/>
      <c r="EJ82" s="227" t="n"/>
      <c r="EK82" s="227" t="n"/>
      <c r="EL82" s="227" t="n"/>
      <c r="EM82" s="227" t="n"/>
      <c r="EN82" s="227" t="n"/>
      <c r="EO82" s="227" t="n"/>
      <c r="EP82" s="227" t="n"/>
      <c r="EQ82" s="227" t="n"/>
      <c r="ER82" s="227" t="n"/>
      <c r="ES82" s="227" t="n"/>
      <c r="ET82" s="227" t="n"/>
      <c r="EU82" s="227" t="n"/>
      <c r="EV82" s="227" t="n"/>
      <c r="EW82" s="227" t="n"/>
      <c r="EX82" s="227" t="n"/>
      <c r="EY82" s="227" t="n"/>
      <c r="EZ82" s="227" t="n"/>
      <c r="FA82" s="227" t="n"/>
      <c r="FB82" s="227" t="n"/>
      <c r="FC82" s="227" t="n"/>
      <c r="FD82" s="227" t="n"/>
      <c r="FE82" s="227" t="n"/>
      <c r="FF82" s="227" t="n"/>
      <c r="FG82" s="227" t="n"/>
      <c r="FH82" s="227" t="n"/>
      <c r="FI82" s="227" t="n"/>
      <c r="FJ82" s="227" t="n"/>
      <c r="FK82" s="227" t="n"/>
      <c r="FL82" s="227" t="n"/>
      <c r="FM82" s="227" t="n"/>
      <c r="FN82" s="227" t="n"/>
      <c r="FO82" s="227" t="n"/>
      <c r="FP82" s="227" t="n"/>
      <c r="FQ82" s="227" t="n"/>
      <c r="FR82" s="227" t="n"/>
      <c r="FS82" s="227" t="n"/>
      <c r="FT82" s="227" t="n"/>
      <c r="FU82" s="227" t="n"/>
      <c r="FV82" s="227" t="n"/>
      <c r="FW82" s="227" t="n"/>
      <c r="FX82" s="227" t="n"/>
      <c r="FY82" s="227" t="n"/>
      <c r="FZ82" s="227" t="n"/>
      <c r="GA82" s="227" t="n"/>
      <c r="GB82" s="227" t="n"/>
      <c r="GC82" s="227" t="n"/>
      <c r="GD82" s="227" t="n"/>
      <c r="GE82" s="227" t="n"/>
      <c r="GF82" s="227" t="n"/>
      <c r="GG82" s="227" t="n"/>
      <c r="GH82" s="227" t="n"/>
      <c r="GI82" s="227" t="n"/>
      <c r="GJ82" s="227" t="n"/>
      <c r="GK82" s="227" t="n"/>
      <c r="GL82" s="227" t="n"/>
      <c r="GM82" s="227" t="n"/>
      <c r="GN82" s="227" t="n"/>
      <c r="GO82" s="227" t="n"/>
      <c r="GP82" s="227" t="n"/>
      <c r="GQ82" s="227" t="n"/>
      <c r="GR82" s="227" t="n"/>
      <c r="GS82" s="227" t="n"/>
      <c r="GT82" s="227" t="n"/>
      <c r="GU82" s="227" t="n"/>
      <c r="GV82" s="227" t="n"/>
      <c r="GW82" s="227" t="n"/>
      <c r="GX82" s="227" t="n"/>
      <c r="GY82" s="227" t="n"/>
      <c r="GZ82" s="227" t="n"/>
      <c r="HA82" s="227" t="n"/>
      <c r="HB82" s="227" t="n"/>
      <c r="HC82" s="227" t="n"/>
      <c r="HD82" s="227" t="n"/>
      <c r="HE82" s="227" t="n"/>
      <c r="HF82" s="227" t="n"/>
      <c r="HG82" s="227" t="n"/>
      <c r="HH82" s="227" t="n"/>
      <c r="HI82" s="227" t="n"/>
      <c r="HJ82" s="227" t="n"/>
      <c r="HK82" s="227" t="n"/>
      <c r="HL82" s="227" t="n"/>
      <c r="HM82" s="227" t="n"/>
      <c r="HN82" s="227" t="n"/>
      <c r="HO82" s="227" t="n"/>
      <c r="HP82" s="227" t="n"/>
      <c r="HQ82" s="227" t="n"/>
      <c r="HR82" s="227" t="n"/>
      <c r="HS82" s="227" t="n"/>
      <c r="HT82" s="227" t="n"/>
      <c r="HU82" s="227" t="n"/>
      <c r="HV82" s="227" t="n"/>
      <c r="HW82" s="227" t="n"/>
      <c r="HX82" s="227" t="n"/>
      <c r="HY82" s="227" t="n"/>
      <c r="HZ82" s="227" t="n"/>
      <c r="IA82" s="227" t="n"/>
      <c r="IB82" s="227" t="n"/>
      <c r="IC82" s="227" t="n"/>
      <c r="ID82" s="227" t="n"/>
      <c r="IE82" s="227" t="n"/>
      <c r="IF82" s="227" t="n"/>
      <c r="IG82" s="227" t="n"/>
      <c r="IH82" s="227" t="n"/>
      <c r="II82" s="227" t="n"/>
      <c r="IJ82" s="227" t="n"/>
      <c r="IK82" s="227" t="n"/>
      <c r="IL82" s="227" t="n"/>
      <c r="IM82" s="227" t="n"/>
      <c r="IN82" s="227" t="n"/>
      <c r="IO82" s="227" t="n"/>
      <c r="IP82" s="227" t="n"/>
      <c r="IQ82" s="227" t="n"/>
      <c r="IR82" s="227" t="n"/>
      <c r="IS82" s="227" t="n"/>
      <c r="IT82" s="227" t="n"/>
      <c r="IU82" s="227" t="n"/>
      <c r="IV82" s="227" t="n"/>
      <c r="IW82" s="227" t="n"/>
      <c r="IX82" s="227" t="n"/>
      <c r="IY82" s="227" t="n"/>
      <c r="IZ82" s="227" t="n"/>
      <c r="JA82" s="227" t="n"/>
      <c r="JB82" s="227" t="n"/>
      <c r="JC82" s="227" t="n"/>
      <c r="JD82" s="227" t="n"/>
      <c r="JE82" s="227" t="n"/>
      <c r="JF82" s="227" t="n"/>
      <c r="JG82" s="227" t="n"/>
      <c r="JH82" s="227" t="n"/>
      <c r="JI82" s="227" t="n"/>
      <c r="JJ82" s="227" t="n"/>
      <c r="JK82" s="227" t="n"/>
      <c r="JL82" s="227" t="n"/>
      <c r="JM82" s="227" t="n"/>
      <c r="JN82" s="227" t="n"/>
      <c r="JO82" s="227" t="n"/>
      <c r="JP82" s="227" t="n"/>
      <c r="JQ82" s="227" t="n"/>
      <c r="JR82" s="227" t="n"/>
      <c r="JS82" s="227" t="n"/>
      <c r="JT82" s="227" t="n"/>
      <c r="JU82" s="227" t="n"/>
      <c r="JV82" s="227" t="n"/>
      <c r="JW82" s="227" t="n"/>
      <c r="JX82" s="227" t="n"/>
      <c r="JY82" s="227" t="n"/>
      <c r="JZ82" s="227" t="n"/>
      <c r="KA82" s="227" t="n"/>
      <c r="KB82" s="227" t="n"/>
      <c r="KC82" s="227" t="n"/>
      <c r="KD82" s="227" t="n"/>
      <c r="KE82" s="227" t="n"/>
      <c r="KF82" s="227" t="n"/>
      <c r="KG82" s="227" t="n"/>
      <c r="KH82" s="227" t="n"/>
      <c r="KI82" s="227" t="n"/>
      <c r="KJ82" s="227" t="n"/>
      <c r="KK82" s="227" t="n"/>
      <c r="KL82" s="227" t="n"/>
      <c r="KM82" s="227" t="n"/>
      <c r="KN82" s="227" t="n"/>
      <c r="KO82" s="227" t="n"/>
      <c r="KP82" s="227" t="n"/>
      <c r="KQ82" s="227" t="n"/>
      <c r="KR82" s="227" t="n"/>
      <c r="KS82" s="227" t="n"/>
      <c r="KT82" s="227" t="n"/>
      <c r="KU82" s="227" t="n"/>
      <c r="KV82" s="227" t="n"/>
      <c r="KW82" s="227" t="n"/>
      <c r="KX82" s="227" t="n"/>
      <c r="KY82" s="227" t="n"/>
      <c r="KZ82" s="227" t="n"/>
      <c r="LA82" s="227" t="n"/>
      <c r="LB82" s="227" t="n"/>
      <c r="LC82" s="227" t="n"/>
      <c r="LD82" s="227" t="n"/>
      <c r="LE82" s="227" t="n"/>
      <c r="LF82" s="227" t="n"/>
      <c r="LG82" s="227" t="n"/>
      <c r="LH82" s="227" t="n"/>
      <c r="LI82" s="227" t="n"/>
      <c r="LJ82" s="227" t="n"/>
      <c r="LK82" s="227" t="n"/>
      <c r="LL82" s="227" t="n"/>
      <c r="LM82" s="227" t="n"/>
      <c r="LN82" s="227" t="n"/>
      <c r="LO82" s="227" t="n"/>
      <c r="LP82" s="227" t="n"/>
      <c r="LQ82" s="227" t="n"/>
      <c r="LR82" s="227" t="n"/>
      <c r="LS82" s="227" t="n"/>
      <c r="LT82" s="227" t="n"/>
      <c r="LU82" s="227" t="n"/>
      <c r="LV82" s="227" t="n"/>
      <c r="LW82" s="227" t="n"/>
      <c r="LX82" s="227" t="n"/>
      <c r="LY82" s="227" t="n"/>
      <c r="LZ82" s="227" t="n"/>
      <c r="MA82" s="227" t="n"/>
      <c r="MB82" s="227" t="n"/>
      <c r="MC82" s="227" t="n"/>
      <c r="MD82" s="227" t="n"/>
      <c r="ME82" s="227" t="n"/>
      <c r="MF82" s="227" t="n"/>
      <c r="MG82" s="227" t="n"/>
      <c r="MH82" s="227" t="n"/>
      <c r="MI82" s="227" t="n"/>
      <c r="MJ82" s="227" t="n"/>
      <c r="MK82" s="227" t="n"/>
      <c r="ML82" s="227" t="n"/>
      <c r="MM82" s="227" t="n"/>
      <c r="MN82" s="227" t="n"/>
      <c r="MO82" s="227" t="n"/>
      <c r="MP82" s="227" t="n"/>
      <c r="MQ82" s="227" t="n"/>
      <c r="MR82" s="227" t="n"/>
      <c r="MS82" s="227" t="n"/>
      <c r="MT82" s="227" t="n"/>
      <c r="MU82" s="227" t="n"/>
      <c r="MV82" s="227" t="n"/>
      <c r="MW82" s="227" t="n"/>
      <c r="MX82" s="227" t="n"/>
      <c r="MY82" s="227" t="n"/>
      <c r="MZ82" s="227" t="n"/>
      <c r="NA82" s="227" t="n"/>
      <c r="NB82" s="227" t="n"/>
      <c r="NC82" s="228">
        <f>SUM(B82:NB82)</f>
        <v/>
      </c>
    </row>
    <row r="83" ht="14.25" customHeight="1" s="166">
      <c r="A83" s="214" t="inlineStr">
        <is>
          <t>BTU-60-RDE-04-01</t>
        </is>
      </c>
      <c r="B83" s="227" t="n"/>
      <c r="C83" s="227" t="n"/>
      <c r="D83" s="227" t="n"/>
      <c r="E83" s="227" t="n"/>
      <c r="F83" s="227" t="n"/>
      <c r="G83" s="227" t="n"/>
      <c r="H83" s="227" t="n"/>
      <c r="I83" s="227" t="n"/>
      <c r="J83" s="227" t="n"/>
      <c r="K83" s="227" t="n"/>
      <c r="L83" s="227" t="n"/>
      <c r="M83" s="227" t="n"/>
      <c r="N83" s="227" t="n"/>
      <c r="O83" s="227" t="n"/>
      <c r="P83" s="227" t="n"/>
      <c r="Q83" s="227" t="n"/>
      <c r="R83" s="227" t="n"/>
      <c r="S83" s="227" t="n"/>
      <c r="T83" s="227" t="n"/>
      <c r="U83" s="227" t="n"/>
      <c r="V83" s="227" t="n"/>
      <c r="W83" s="227" t="n"/>
      <c r="X83" s="227" t="n"/>
      <c r="Y83" s="227" t="n"/>
      <c r="Z83" s="227" t="n"/>
      <c r="AA83" s="227" t="n"/>
      <c r="AB83" s="227" t="n"/>
      <c r="AC83" s="227" t="n"/>
      <c r="AD83" s="227" t="n"/>
      <c r="AE83" s="227" t="n"/>
      <c r="AF83" s="227" t="n"/>
      <c r="AG83" s="227" t="n"/>
      <c r="AH83" s="227" t="n"/>
      <c r="AI83" s="227" t="n"/>
      <c r="AJ83" s="227" t="n"/>
      <c r="AK83" s="227" t="n"/>
      <c r="AL83" s="227" t="n"/>
      <c r="AM83" s="227" t="n"/>
      <c r="AN83" s="227" t="n"/>
      <c r="AO83" s="227" t="n"/>
      <c r="AP83" s="227" t="n"/>
      <c r="AQ83" s="227" t="n"/>
      <c r="AR83" s="227" t="n"/>
      <c r="AS83" s="227" t="n"/>
      <c r="AT83" s="227" t="n"/>
      <c r="AU83" s="227" t="n"/>
      <c r="AV83" s="227" t="n"/>
      <c r="AW83" s="227" t="n"/>
      <c r="AX83" s="227" t="n"/>
      <c r="AY83" s="227" t="n"/>
      <c r="AZ83" s="227" t="n"/>
      <c r="BA83" s="227" t="n"/>
      <c r="BB83" s="227" t="n"/>
      <c r="BC83" s="227" t="n"/>
      <c r="BD83" s="227" t="n"/>
      <c r="BE83" s="227" t="n"/>
      <c r="BF83" s="227" t="n"/>
      <c r="BG83" s="227" t="n"/>
      <c r="BH83" s="227" t="n"/>
      <c r="BI83" s="227" t="n"/>
      <c r="BJ83" s="227" t="n"/>
      <c r="BK83" s="227" t="n"/>
      <c r="BL83" s="227" t="n"/>
      <c r="BM83" s="227" t="n"/>
      <c r="BN83" s="227" t="n"/>
      <c r="BO83" s="227" t="n"/>
      <c r="BP83" s="227" t="n"/>
      <c r="BQ83" s="227" t="n"/>
      <c r="BR83" s="227" t="n"/>
      <c r="BS83" s="227" t="n"/>
      <c r="BT83" s="227" t="n"/>
      <c r="BU83" s="227" t="n"/>
      <c r="BV83" s="227" t="n"/>
      <c r="BW83" s="227" t="n"/>
      <c r="BX83" s="227" t="n"/>
      <c r="BY83" s="227" t="n"/>
      <c r="BZ83" s="227" t="n"/>
      <c r="CA83" s="227" t="n"/>
      <c r="CB83" s="227" t="n"/>
      <c r="CC83" s="227" t="n"/>
      <c r="CD83" s="227" t="n"/>
      <c r="CE83" s="227" t="n"/>
      <c r="CF83" s="227" t="n"/>
      <c r="CG83" s="227" t="n"/>
      <c r="CH83" s="227" t="n"/>
      <c r="CI83" s="227" t="n"/>
      <c r="CJ83" s="227" t="n"/>
      <c r="CK83" s="227" t="n"/>
      <c r="CL83" s="227" t="n"/>
      <c r="CM83" s="227" t="n"/>
      <c r="CN83" s="227" t="n"/>
      <c r="CO83" s="227" t="n"/>
      <c r="CP83" s="227" t="n"/>
      <c r="CQ83" s="227" t="n"/>
      <c r="CR83" s="227" t="n"/>
      <c r="CS83" s="227" t="n"/>
      <c r="CT83" s="227" t="n"/>
      <c r="CU83" s="227" t="n"/>
      <c r="CV83" s="227" t="n"/>
      <c r="CW83" s="227" t="n"/>
      <c r="CX83" s="227" t="n"/>
      <c r="CY83" s="227" t="n"/>
      <c r="CZ83" s="227" t="n"/>
      <c r="DA83" s="227" t="n"/>
      <c r="DB83" s="227" t="n"/>
      <c r="DC83" s="227" t="n"/>
      <c r="DD83" s="227" t="n"/>
      <c r="DE83" s="227" t="n"/>
      <c r="DF83" s="227" t="n"/>
      <c r="DG83" s="227" t="n"/>
      <c r="DH83" s="227" t="n"/>
      <c r="DI83" s="227" t="n"/>
      <c r="DJ83" s="227" t="n"/>
      <c r="DK83" s="227" t="n"/>
      <c r="DL83" s="227" t="n"/>
      <c r="DM83" s="227" t="n"/>
      <c r="DN83" s="227" t="n"/>
      <c r="DO83" s="227" t="n"/>
      <c r="DP83" s="227" t="n"/>
      <c r="DQ83" s="227" t="n"/>
      <c r="DR83" s="227" t="n"/>
      <c r="DS83" s="227" t="n"/>
      <c r="DT83" s="227" t="n"/>
      <c r="DU83" s="227" t="n"/>
      <c r="DV83" s="227" t="n"/>
      <c r="DW83" s="227" t="n"/>
      <c r="DX83" s="227" t="n"/>
      <c r="DY83" s="227" t="n"/>
      <c r="DZ83" s="227" t="n"/>
      <c r="EA83" s="227" t="n"/>
      <c r="EB83" s="227" t="n"/>
      <c r="EC83" s="227" t="n"/>
      <c r="ED83" s="227" t="n"/>
      <c r="EE83" s="227" t="n"/>
      <c r="EF83" s="227" t="n"/>
      <c r="EG83" s="227" t="n"/>
      <c r="EH83" s="227" t="n"/>
      <c r="EI83" s="227" t="n"/>
      <c r="EJ83" s="227" t="n"/>
      <c r="EK83" s="227" t="n"/>
      <c r="EL83" s="227" t="n"/>
      <c r="EM83" s="227" t="n"/>
      <c r="EN83" s="227" t="n"/>
      <c r="EO83" s="227" t="n"/>
      <c r="EP83" s="227" t="n"/>
      <c r="EQ83" s="227" t="n"/>
      <c r="ER83" s="227" t="n"/>
      <c r="ES83" s="227" t="n"/>
      <c r="ET83" s="227" t="n"/>
      <c r="EU83" s="227" t="n"/>
      <c r="EV83" s="227" t="n"/>
      <c r="EW83" s="227" t="n"/>
      <c r="EX83" s="227" t="n"/>
      <c r="EY83" s="227" t="n"/>
      <c r="EZ83" s="227" t="n"/>
      <c r="FA83" s="227" t="n"/>
      <c r="FB83" s="227" t="n"/>
      <c r="FC83" s="227" t="n"/>
      <c r="FD83" s="227" t="n"/>
      <c r="FE83" s="227" t="n"/>
      <c r="FF83" s="227" t="n"/>
      <c r="FG83" s="227" t="n"/>
      <c r="FH83" s="227" t="n"/>
      <c r="FI83" s="227" t="n"/>
      <c r="FJ83" s="227" t="n"/>
      <c r="FK83" s="227" t="n"/>
      <c r="FL83" s="227" t="n"/>
      <c r="FM83" s="227" t="n"/>
      <c r="FN83" s="227" t="n"/>
      <c r="FO83" s="227" t="n"/>
      <c r="FP83" s="227" t="n"/>
      <c r="FQ83" s="227" t="n"/>
      <c r="FR83" s="227" t="n"/>
      <c r="FS83" s="227" t="n"/>
      <c r="FT83" s="227" t="n"/>
      <c r="FU83" s="227" t="n"/>
      <c r="FV83" s="227" t="n"/>
      <c r="FW83" s="227" t="n"/>
      <c r="FX83" s="227" t="n"/>
      <c r="FY83" s="227" t="n"/>
      <c r="FZ83" s="227" t="n"/>
      <c r="GA83" s="227" t="n"/>
      <c r="GB83" s="227" t="n"/>
      <c r="GC83" s="227" t="n"/>
      <c r="GD83" s="227" t="n"/>
      <c r="GE83" s="227" t="n"/>
      <c r="GF83" s="227" t="n"/>
      <c r="GG83" s="227" t="n"/>
      <c r="GH83" s="227" t="n"/>
      <c r="GI83" s="227" t="n"/>
      <c r="GJ83" s="227" t="n"/>
      <c r="GK83" s="227" t="n"/>
      <c r="GL83" s="227" t="n"/>
      <c r="GM83" s="227" t="n"/>
      <c r="GN83" s="227" t="n"/>
      <c r="GO83" s="227" t="n"/>
      <c r="GP83" s="227" t="n"/>
      <c r="GQ83" s="227" t="n"/>
      <c r="GR83" s="227" t="n"/>
      <c r="GS83" s="227" t="n"/>
      <c r="GT83" s="227" t="n"/>
      <c r="GU83" s="227" t="n"/>
      <c r="GV83" s="227" t="n"/>
      <c r="GW83" s="227" t="n"/>
      <c r="GX83" s="227" t="n"/>
      <c r="GY83" s="227" t="n"/>
      <c r="GZ83" s="227" t="n"/>
      <c r="HA83" s="227" t="n"/>
      <c r="HB83" s="227" t="n"/>
      <c r="HC83" s="227" t="n"/>
      <c r="HD83" s="227" t="n"/>
      <c r="HE83" s="227" t="n"/>
      <c r="HF83" s="227" t="n"/>
      <c r="HG83" s="227" t="n"/>
      <c r="HH83" s="227" t="n"/>
      <c r="HI83" s="227" t="n"/>
      <c r="HJ83" s="227" t="n"/>
      <c r="HK83" s="227" t="n"/>
      <c r="HL83" s="227" t="n"/>
      <c r="HM83" s="227" t="n"/>
      <c r="HN83" s="227" t="n"/>
      <c r="HO83" s="227" t="n"/>
      <c r="HP83" s="227" t="n"/>
      <c r="HQ83" s="227" t="n"/>
      <c r="HR83" s="227" t="n"/>
      <c r="HS83" s="227" t="n"/>
      <c r="HT83" s="227" t="n"/>
      <c r="HU83" s="227" t="n"/>
      <c r="HV83" s="227" t="n"/>
      <c r="HW83" s="227" t="n"/>
      <c r="HX83" s="227" t="n"/>
      <c r="HY83" s="227" t="n"/>
      <c r="HZ83" s="227" t="n"/>
      <c r="IA83" s="227" t="n"/>
      <c r="IB83" s="227" t="n"/>
      <c r="IC83" s="227" t="n"/>
      <c r="ID83" s="227" t="n"/>
      <c r="IE83" s="227" t="n"/>
      <c r="IF83" s="227" t="n"/>
      <c r="IG83" s="227" t="n"/>
      <c r="IH83" s="227" t="n"/>
      <c r="II83" s="227" t="n"/>
      <c r="IJ83" s="227" t="n"/>
      <c r="IK83" s="227" t="n"/>
      <c r="IL83" s="227" t="n"/>
      <c r="IM83" s="227" t="n"/>
      <c r="IN83" s="227" t="n"/>
      <c r="IO83" s="227" t="n"/>
      <c r="IP83" s="227" t="n"/>
      <c r="IQ83" s="227" t="n"/>
      <c r="IR83" s="227" t="n"/>
      <c r="IS83" s="227" t="n"/>
      <c r="IT83" s="227" t="n"/>
      <c r="IU83" s="227" t="n"/>
      <c r="IV83" s="227" t="n"/>
      <c r="IW83" s="227" t="n"/>
      <c r="IX83" s="227" t="n"/>
      <c r="IY83" s="227" t="n"/>
      <c r="IZ83" s="227" t="n"/>
      <c r="JA83" s="227" t="n"/>
      <c r="JB83" s="227" t="n"/>
      <c r="JC83" s="227" t="n"/>
      <c r="JD83" s="227" t="n"/>
      <c r="JE83" s="227" t="n"/>
      <c r="JF83" s="227" t="n"/>
      <c r="JG83" s="227" t="n"/>
      <c r="JH83" s="227" t="n"/>
      <c r="JI83" s="227" t="n"/>
      <c r="JJ83" s="227" t="n"/>
      <c r="JK83" s="227" t="n"/>
      <c r="JL83" s="227" t="n"/>
      <c r="JM83" s="227" t="n"/>
      <c r="JN83" s="227" t="n"/>
      <c r="JO83" s="227" t="n"/>
      <c r="JP83" s="227" t="n"/>
      <c r="JQ83" s="227" t="n"/>
      <c r="JR83" s="227" t="n"/>
      <c r="JS83" s="227" t="n"/>
      <c r="JT83" s="227" t="n"/>
      <c r="JU83" s="227" t="n"/>
      <c r="JV83" s="227" t="n"/>
      <c r="JW83" s="227" t="n"/>
      <c r="JX83" s="227" t="n"/>
      <c r="JY83" s="227" t="n"/>
      <c r="JZ83" s="227" t="n"/>
      <c r="KA83" s="227" t="n"/>
      <c r="KB83" s="227" t="n"/>
      <c r="KC83" s="227" t="n"/>
      <c r="KD83" s="227" t="n"/>
      <c r="KE83" s="227" t="n"/>
      <c r="KF83" s="227" t="n"/>
      <c r="KG83" s="227" t="n"/>
      <c r="KH83" s="227" t="n"/>
      <c r="KI83" s="227" t="n"/>
      <c r="KJ83" s="227" t="n"/>
      <c r="KK83" s="227" t="n"/>
      <c r="KL83" s="227" t="n"/>
      <c r="KM83" s="227" t="n"/>
      <c r="KN83" s="227" t="n"/>
      <c r="KO83" s="227" t="n"/>
      <c r="KP83" s="227" t="n"/>
      <c r="KQ83" s="227" t="n"/>
      <c r="KR83" s="227" t="n"/>
      <c r="KS83" s="227" t="n"/>
      <c r="KT83" s="227" t="n"/>
      <c r="KU83" s="227" t="n"/>
      <c r="KV83" s="227" t="n"/>
      <c r="KW83" s="227" t="n"/>
      <c r="KX83" s="227" t="n"/>
      <c r="KY83" s="227" t="n"/>
      <c r="KZ83" s="227" t="n"/>
      <c r="LA83" s="227" t="n"/>
      <c r="LB83" s="227" t="n"/>
      <c r="LC83" s="227" t="n"/>
      <c r="LD83" s="227" t="n"/>
      <c r="LE83" s="227" t="n"/>
      <c r="LF83" s="227" t="n"/>
      <c r="LG83" s="227" t="n"/>
      <c r="LH83" s="227" t="n"/>
      <c r="LI83" s="227" t="n"/>
      <c r="LJ83" s="227" t="n"/>
      <c r="LK83" s="227" t="n"/>
      <c r="LL83" s="227" t="n"/>
      <c r="LM83" s="227" t="n"/>
      <c r="LN83" s="227" t="n"/>
      <c r="LO83" s="227" t="n"/>
      <c r="LP83" s="227" t="n"/>
      <c r="LQ83" s="227" t="n"/>
      <c r="LR83" s="227" t="n"/>
      <c r="LS83" s="227" t="n"/>
      <c r="LT83" s="227" t="n"/>
      <c r="LU83" s="227" t="n"/>
      <c r="LV83" s="227" t="n"/>
      <c r="LW83" s="227" t="n"/>
      <c r="LX83" s="227" t="n"/>
      <c r="LY83" s="227" t="n"/>
      <c r="LZ83" s="227" t="n"/>
      <c r="MA83" s="227" t="n"/>
      <c r="MB83" s="227" t="n"/>
      <c r="MC83" s="227" t="n"/>
      <c r="MD83" s="227" t="n"/>
      <c r="ME83" s="227" t="n"/>
      <c r="MF83" s="227" t="n"/>
      <c r="MG83" s="227" t="n"/>
      <c r="MH83" s="227" t="n"/>
      <c r="MI83" s="227" t="n"/>
      <c r="MJ83" s="227" t="n"/>
      <c r="MK83" s="227" t="n"/>
      <c r="ML83" s="227" t="n"/>
      <c r="MM83" s="227" t="n"/>
      <c r="MN83" s="227" t="n"/>
      <c r="MO83" s="227" t="n"/>
      <c r="MP83" s="227" t="n"/>
      <c r="MQ83" s="227" t="n"/>
      <c r="MR83" s="227" t="n"/>
      <c r="MS83" s="227" t="n"/>
      <c r="MT83" s="227" t="n"/>
      <c r="MU83" s="227" t="n"/>
      <c r="MV83" s="227" t="n"/>
      <c r="MW83" s="227" t="n"/>
      <c r="MX83" s="227" t="n"/>
      <c r="MY83" s="227" t="n"/>
      <c r="MZ83" s="227" t="n"/>
      <c r="NA83" s="227" t="n"/>
      <c r="NB83" s="227" t="n"/>
      <c r="NC83" s="228">
        <f>SUM(B83:NB83)</f>
        <v/>
      </c>
    </row>
    <row r="84" ht="14.25" customHeight="1" s="166">
      <c r="A84" s="214" t="inlineStr">
        <is>
          <t>BTU-60-RDE-04-02</t>
        </is>
      </c>
      <c r="B84" s="227" t="n"/>
      <c r="C84" s="227" t="n"/>
      <c r="D84" s="227" t="n"/>
      <c r="E84" s="227" t="n"/>
      <c r="F84" s="227" t="n"/>
      <c r="G84" s="227" t="n"/>
      <c r="H84" s="227" t="n"/>
      <c r="I84" s="227" t="n"/>
      <c r="J84" s="227" t="n"/>
      <c r="K84" s="227" t="n"/>
      <c r="L84" s="227" t="n"/>
      <c r="M84" s="227" t="n"/>
      <c r="N84" s="227" t="n"/>
      <c r="O84" s="227" t="n"/>
      <c r="P84" s="227" t="n"/>
      <c r="Q84" s="227" t="n"/>
      <c r="R84" s="227" t="n"/>
      <c r="S84" s="227" t="n"/>
      <c r="T84" s="227" t="n"/>
      <c r="U84" s="227" t="n"/>
      <c r="V84" s="227" t="n"/>
      <c r="W84" s="227" t="n"/>
      <c r="X84" s="227" t="n"/>
      <c r="Y84" s="227" t="n"/>
      <c r="Z84" s="227" t="n"/>
      <c r="AA84" s="227" t="n"/>
      <c r="AB84" s="227" t="n"/>
      <c r="AC84" s="227" t="n"/>
      <c r="AD84" s="227" t="n"/>
      <c r="AE84" s="227" t="n"/>
      <c r="AF84" s="227" t="n"/>
      <c r="AG84" s="227" t="n"/>
      <c r="AH84" s="227" t="n"/>
      <c r="AI84" s="227" t="n"/>
      <c r="AJ84" s="227" t="n"/>
      <c r="AK84" s="227" t="n"/>
      <c r="AL84" s="227" t="n"/>
      <c r="AM84" s="227" t="n"/>
      <c r="AN84" s="227" t="n"/>
      <c r="AO84" s="227" t="n"/>
      <c r="AP84" s="227" t="n"/>
      <c r="AQ84" s="227" t="n"/>
      <c r="AR84" s="227" t="n"/>
      <c r="AS84" s="227" t="n"/>
      <c r="AT84" s="227" t="n"/>
      <c r="AU84" s="227" t="n"/>
      <c r="AV84" s="227" t="n"/>
      <c r="AW84" s="227" t="n"/>
      <c r="AX84" s="227" t="n"/>
      <c r="AY84" s="227" t="n"/>
      <c r="AZ84" s="227" t="n"/>
      <c r="BA84" s="227" t="n"/>
      <c r="BB84" s="227" t="n"/>
      <c r="BC84" s="227" t="n"/>
      <c r="BD84" s="227" t="n"/>
      <c r="BE84" s="227" t="n"/>
      <c r="BF84" s="227" t="n"/>
      <c r="BG84" s="227" t="n"/>
      <c r="BH84" s="227" t="n"/>
      <c r="BI84" s="227" t="n"/>
      <c r="BJ84" s="227" t="n"/>
      <c r="BK84" s="227" t="n"/>
      <c r="BL84" s="227" t="n"/>
      <c r="BM84" s="227" t="n"/>
      <c r="BN84" s="227" t="n"/>
      <c r="BO84" s="227" t="n"/>
      <c r="BP84" s="227" t="n"/>
      <c r="BQ84" s="227" t="n"/>
      <c r="BR84" s="227" t="n"/>
      <c r="BS84" s="227" t="n"/>
      <c r="BT84" s="227" t="n"/>
      <c r="BU84" s="227" t="n"/>
      <c r="BV84" s="227" t="n"/>
      <c r="BW84" s="227" t="n"/>
      <c r="BX84" s="227" t="n"/>
      <c r="BY84" s="227" t="n"/>
      <c r="BZ84" s="227" t="n"/>
      <c r="CA84" s="227" t="n"/>
      <c r="CB84" s="227" t="n"/>
      <c r="CC84" s="227" t="n"/>
      <c r="CD84" s="227" t="n"/>
      <c r="CE84" s="227" t="n"/>
      <c r="CF84" s="227" t="n"/>
      <c r="CG84" s="227" t="n"/>
      <c r="CH84" s="227" t="n"/>
      <c r="CI84" s="227" t="n"/>
      <c r="CJ84" s="227" t="n"/>
      <c r="CK84" s="227" t="n"/>
      <c r="CL84" s="227" t="n"/>
      <c r="CM84" s="227" t="n"/>
      <c r="CN84" s="227" t="n"/>
      <c r="CO84" s="227" t="n"/>
      <c r="CP84" s="227" t="n"/>
      <c r="CQ84" s="227" t="n"/>
      <c r="CR84" s="227" t="n"/>
      <c r="CS84" s="227" t="n"/>
      <c r="CT84" s="227" t="n"/>
      <c r="CU84" s="227" t="n"/>
      <c r="CV84" s="227" t="n"/>
      <c r="CW84" s="227" t="n"/>
      <c r="CX84" s="227" t="n"/>
      <c r="CY84" s="227" t="n"/>
      <c r="CZ84" s="227" t="n"/>
      <c r="DA84" s="227" t="n"/>
      <c r="DB84" s="227" t="n"/>
      <c r="DC84" s="227" t="n"/>
      <c r="DD84" s="227" t="n"/>
      <c r="DE84" s="227" t="n"/>
      <c r="DF84" s="227" t="n"/>
      <c r="DG84" s="227" t="n"/>
      <c r="DH84" s="227" t="n"/>
      <c r="DI84" s="227" t="n"/>
      <c r="DJ84" s="227" t="n"/>
      <c r="DK84" s="227" t="n"/>
      <c r="DL84" s="227" t="n"/>
      <c r="DM84" s="227" t="n"/>
      <c r="DN84" s="227" t="n"/>
      <c r="DO84" s="227" t="n"/>
      <c r="DP84" s="227" t="n"/>
      <c r="DQ84" s="227" t="n"/>
      <c r="DR84" s="227" t="n"/>
      <c r="DS84" s="227" t="n"/>
      <c r="DT84" s="227" t="n"/>
      <c r="DU84" s="227" t="n"/>
      <c r="DV84" s="227" t="n"/>
      <c r="DW84" s="227" t="n"/>
      <c r="DX84" s="227" t="n"/>
      <c r="DY84" s="227" t="n"/>
      <c r="DZ84" s="227" t="n"/>
      <c r="EA84" s="227" t="n"/>
      <c r="EB84" s="227" t="n"/>
      <c r="EC84" s="227" t="n"/>
      <c r="ED84" s="227" t="n"/>
      <c r="EE84" s="227" t="n"/>
      <c r="EF84" s="227" t="n"/>
      <c r="EG84" s="227" t="n"/>
      <c r="EH84" s="227" t="n"/>
      <c r="EI84" s="227" t="n"/>
      <c r="EJ84" s="227" t="n"/>
      <c r="EK84" s="227" t="n"/>
      <c r="EL84" s="227" t="n"/>
      <c r="EM84" s="227" t="n"/>
      <c r="EN84" s="227" t="n"/>
      <c r="EO84" s="227" t="n"/>
      <c r="EP84" s="227" t="n"/>
      <c r="EQ84" s="227" t="n"/>
      <c r="ER84" s="227" t="n"/>
      <c r="ES84" s="227" t="n"/>
      <c r="ET84" s="227" t="n"/>
      <c r="EU84" s="227" t="n"/>
      <c r="EV84" s="227" t="n"/>
      <c r="EW84" s="227" t="n"/>
      <c r="EX84" s="227" t="n"/>
      <c r="EY84" s="227" t="n"/>
      <c r="EZ84" s="227" t="n"/>
      <c r="FA84" s="227" t="n"/>
      <c r="FB84" s="227" t="n"/>
      <c r="FC84" s="227" t="n"/>
      <c r="FD84" s="227" t="n"/>
      <c r="FE84" s="227" t="n"/>
      <c r="FF84" s="227" t="n"/>
      <c r="FG84" s="227" t="n"/>
      <c r="FH84" s="227" t="n"/>
      <c r="FI84" s="227" t="n"/>
      <c r="FJ84" s="227" t="n"/>
      <c r="FK84" s="227" t="n"/>
      <c r="FL84" s="227" t="n"/>
      <c r="FM84" s="227" t="n"/>
      <c r="FN84" s="227" t="n"/>
      <c r="FO84" s="227" t="n"/>
      <c r="FP84" s="227" t="n"/>
      <c r="FQ84" s="227" t="n"/>
      <c r="FR84" s="227" t="n"/>
      <c r="FS84" s="227" t="n"/>
      <c r="FT84" s="227" t="n"/>
      <c r="FU84" s="227" t="n"/>
      <c r="FV84" s="227" t="n"/>
      <c r="FW84" s="227" t="n"/>
      <c r="FX84" s="227" t="n"/>
      <c r="FY84" s="227" t="n"/>
      <c r="FZ84" s="227" t="n"/>
      <c r="GA84" s="227" t="n"/>
      <c r="GB84" s="227" t="n"/>
      <c r="GC84" s="227" t="n"/>
      <c r="GD84" s="227" t="n"/>
      <c r="GE84" s="227" t="n"/>
      <c r="GF84" s="227" t="n"/>
      <c r="GG84" s="227" t="n"/>
      <c r="GH84" s="227" t="n"/>
      <c r="GI84" s="227" t="n"/>
      <c r="GJ84" s="227" t="n"/>
      <c r="GK84" s="227" t="n"/>
      <c r="GL84" s="227" t="n"/>
      <c r="GM84" s="227" t="n"/>
      <c r="GN84" s="227" t="n"/>
      <c r="GO84" s="227" t="n"/>
      <c r="GP84" s="227" t="n"/>
      <c r="GQ84" s="227" t="n"/>
      <c r="GR84" s="227" t="n"/>
      <c r="GS84" s="227" t="n"/>
      <c r="GT84" s="227" t="n"/>
      <c r="GU84" s="227" t="n"/>
      <c r="GV84" s="227" t="n"/>
      <c r="GW84" s="227" t="n"/>
      <c r="GX84" s="227" t="n"/>
      <c r="GY84" s="227" t="n"/>
      <c r="GZ84" s="227" t="n"/>
      <c r="HA84" s="227" t="n"/>
      <c r="HB84" s="227" t="n"/>
      <c r="HC84" s="227" t="n"/>
      <c r="HD84" s="227" t="n"/>
      <c r="HE84" s="227" t="n"/>
      <c r="HF84" s="227" t="n"/>
      <c r="HG84" s="227" t="n"/>
      <c r="HH84" s="227" t="n"/>
      <c r="HI84" s="227" t="n"/>
      <c r="HJ84" s="227" t="n"/>
      <c r="HK84" s="227" t="n"/>
      <c r="HL84" s="227" t="n"/>
      <c r="HM84" s="227" t="n"/>
      <c r="HN84" s="227" t="n"/>
      <c r="HO84" s="227" t="n"/>
      <c r="HP84" s="227" t="n"/>
      <c r="HQ84" s="227" t="n"/>
      <c r="HR84" s="227" t="n"/>
      <c r="HS84" s="227" t="n"/>
      <c r="HT84" s="227" t="n"/>
      <c r="HU84" s="227" t="n"/>
      <c r="HV84" s="227" t="n"/>
      <c r="HW84" s="227" t="n"/>
      <c r="HX84" s="227" t="n"/>
      <c r="HY84" s="227" t="n"/>
      <c r="HZ84" s="227" t="n"/>
      <c r="IA84" s="227" t="n"/>
      <c r="IB84" s="227" t="n"/>
      <c r="IC84" s="227" t="n"/>
      <c r="ID84" s="227" t="n"/>
      <c r="IE84" s="227" t="n"/>
      <c r="IF84" s="227" t="n"/>
      <c r="IG84" s="227" t="n"/>
      <c r="IH84" s="227" t="n"/>
      <c r="II84" s="227" t="n"/>
      <c r="IJ84" s="227" t="n"/>
      <c r="IK84" s="227" t="n"/>
      <c r="IL84" s="227" t="n"/>
      <c r="IM84" s="227" t="n"/>
      <c r="IN84" s="227" t="n"/>
      <c r="IO84" s="227" t="n"/>
      <c r="IP84" s="227" t="n"/>
      <c r="IQ84" s="227" t="n"/>
      <c r="IR84" s="227" t="n"/>
      <c r="IS84" s="227" t="n"/>
      <c r="IT84" s="227" t="n"/>
      <c r="IU84" s="227" t="n"/>
      <c r="IV84" s="227" t="n"/>
      <c r="IW84" s="227" t="n"/>
      <c r="IX84" s="227" t="n"/>
      <c r="IY84" s="227" t="n"/>
      <c r="IZ84" s="227" t="n"/>
      <c r="JA84" s="227" t="n"/>
      <c r="JB84" s="227" t="n"/>
      <c r="JC84" s="227" t="n"/>
      <c r="JD84" s="227" t="n"/>
      <c r="JE84" s="227" t="n"/>
      <c r="JF84" s="227" t="n"/>
      <c r="JG84" s="227" t="n"/>
      <c r="JH84" s="227" t="n"/>
      <c r="JI84" s="227" t="n"/>
      <c r="JJ84" s="227" t="n"/>
      <c r="JK84" s="227" t="n"/>
      <c r="JL84" s="227" t="n"/>
      <c r="JM84" s="227" t="n"/>
      <c r="JN84" s="227" t="n"/>
      <c r="JO84" s="227" t="n"/>
      <c r="JP84" s="227" t="n"/>
      <c r="JQ84" s="227" t="n"/>
      <c r="JR84" s="227" t="n"/>
      <c r="JS84" s="227" t="n"/>
      <c r="JT84" s="227" t="n"/>
      <c r="JU84" s="227" t="n"/>
      <c r="JV84" s="227" t="n"/>
      <c r="JW84" s="227" t="n"/>
      <c r="JX84" s="227" t="n"/>
      <c r="JY84" s="227" t="n"/>
      <c r="JZ84" s="227" t="n"/>
      <c r="KA84" s="227" t="n"/>
      <c r="KB84" s="227" t="n"/>
      <c r="KC84" s="227" t="n"/>
      <c r="KD84" s="227" t="n"/>
      <c r="KE84" s="227" t="n"/>
      <c r="KF84" s="227" t="n"/>
      <c r="KG84" s="227" t="n"/>
      <c r="KH84" s="227" t="n"/>
      <c r="KI84" s="227" t="n"/>
      <c r="KJ84" s="227" t="n"/>
      <c r="KK84" s="227" t="n"/>
      <c r="KL84" s="227" t="n"/>
      <c r="KM84" s="227" t="n"/>
      <c r="KN84" s="227" t="n"/>
      <c r="KO84" s="227" t="n"/>
      <c r="KP84" s="227" t="n"/>
      <c r="KQ84" s="227" t="n"/>
      <c r="KR84" s="227" t="n"/>
      <c r="KS84" s="227" t="n"/>
      <c r="KT84" s="227" t="n"/>
      <c r="KU84" s="227" t="n"/>
      <c r="KV84" s="227" t="n"/>
      <c r="KW84" s="227" t="n"/>
      <c r="KX84" s="227" t="n"/>
      <c r="KY84" s="227" t="n"/>
      <c r="KZ84" s="227" t="n"/>
      <c r="LA84" s="227" t="n"/>
      <c r="LB84" s="227" t="n"/>
      <c r="LC84" s="227" t="n"/>
      <c r="LD84" s="227" t="n"/>
      <c r="LE84" s="227" t="n"/>
      <c r="LF84" s="227" t="n"/>
      <c r="LG84" s="227" t="n"/>
      <c r="LH84" s="227" t="n"/>
      <c r="LI84" s="227" t="n"/>
      <c r="LJ84" s="227" t="n"/>
      <c r="LK84" s="227" t="n"/>
      <c r="LL84" s="227" t="n"/>
      <c r="LM84" s="227" t="n"/>
      <c r="LN84" s="227" t="n"/>
      <c r="LO84" s="227" t="n"/>
      <c r="LP84" s="227" t="n"/>
      <c r="LQ84" s="227" t="n"/>
      <c r="LR84" s="227" t="n"/>
      <c r="LS84" s="227" t="n"/>
      <c r="LT84" s="227" t="n"/>
      <c r="LU84" s="227" t="n"/>
      <c r="LV84" s="227" t="n"/>
      <c r="LW84" s="227" t="n"/>
      <c r="LX84" s="227" t="n"/>
      <c r="LY84" s="227" t="n"/>
      <c r="LZ84" s="227" t="n"/>
      <c r="MA84" s="227" t="n"/>
      <c r="MB84" s="227" t="n"/>
      <c r="MC84" s="227" t="n"/>
      <c r="MD84" s="227" t="n"/>
      <c r="ME84" s="227" t="n"/>
      <c r="MF84" s="227" t="n"/>
      <c r="MG84" s="227" t="n"/>
      <c r="MH84" s="227" t="n"/>
      <c r="MI84" s="227" t="n"/>
      <c r="MJ84" s="227" t="n"/>
      <c r="MK84" s="227" t="n"/>
      <c r="ML84" s="227" t="n"/>
      <c r="MM84" s="227" t="n"/>
      <c r="MN84" s="227" t="n"/>
      <c r="MO84" s="227" t="n"/>
      <c r="MP84" s="227" t="n"/>
      <c r="MQ84" s="227" t="n"/>
      <c r="MR84" s="227" t="n"/>
      <c r="MS84" s="227" t="n"/>
      <c r="MT84" s="227" t="n"/>
      <c r="MU84" s="227" t="n"/>
      <c r="MV84" s="227" t="n"/>
      <c r="MW84" s="227" t="n"/>
      <c r="MX84" s="227" t="n"/>
      <c r="MY84" s="227" t="n"/>
      <c r="MZ84" s="227" t="n"/>
      <c r="NA84" s="227" t="n"/>
      <c r="NB84" s="227" t="n"/>
      <c r="NC84" s="228">
        <f>SUM(B84:NB84)</f>
        <v/>
      </c>
    </row>
    <row r="85" ht="14.25" customHeight="1" s="166">
      <c r="A85" s="214" t="inlineStr">
        <is>
          <t>BTU-60-RDE-04-03</t>
        </is>
      </c>
      <c r="B85" s="227" t="n"/>
      <c r="C85" s="227" t="n"/>
      <c r="D85" s="227" t="n"/>
      <c r="E85" s="227" t="n"/>
      <c r="F85" s="227" t="n"/>
      <c r="G85" s="227" t="n"/>
      <c r="H85" s="227" t="n"/>
      <c r="I85" s="227" t="n"/>
      <c r="J85" s="227" t="n"/>
      <c r="K85" s="227" t="n"/>
      <c r="L85" s="227" t="n"/>
      <c r="M85" s="227" t="n"/>
      <c r="N85" s="227" t="n"/>
      <c r="O85" s="227" t="n"/>
      <c r="P85" s="227" t="n"/>
      <c r="Q85" s="227" t="n"/>
      <c r="R85" s="227" t="n"/>
      <c r="S85" s="227" t="n"/>
      <c r="T85" s="227" t="n"/>
      <c r="U85" s="227" t="n"/>
      <c r="V85" s="227" t="n"/>
      <c r="W85" s="227" t="n"/>
      <c r="X85" s="227" t="n"/>
      <c r="Y85" s="227" t="n"/>
      <c r="Z85" s="227" t="n"/>
      <c r="AA85" s="227" t="n"/>
      <c r="AB85" s="227" t="n"/>
      <c r="AC85" s="227" t="n"/>
      <c r="AD85" s="227" t="n"/>
      <c r="AE85" s="227" t="n"/>
      <c r="AF85" s="227" t="n"/>
      <c r="AG85" s="227" t="n"/>
      <c r="AH85" s="227" t="n"/>
      <c r="AI85" s="227" t="n"/>
      <c r="AJ85" s="227" t="n"/>
      <c r="AK85" s="227" t="n"/>
      <c r="AL85" s="227" t="n"/>
      <c r="AM85" s="227" t="n"/>
      <c r="AN85" s="227" t="n"/>
      <c r="AO85" s="227" t="n"/>
      <c r="AP85" s="227" t="n"/>
      <c r="AQ85" s="227" t="n"/>
      <c r="AR85" s="227" t="n"/>
      <c r="AS85" s="227" t="n"/>
      <c r="AT85" s="227" t="n"/>
      <c r="AU85" s="227" t="n"/>
      <c r="AV85" s="227" t="n"/>
      <c r="AW85" s="227" t="n"/>
      <c r="AX85" s="227" t="n"/>
      <c r="AY85" s="227" t="n"/>
      <c r="AZ85" s="227" t="n"/>
      <c r="BA85" s="227" t="n"/>
      <c r="BB85" s="227" t="n"/>
      <c r="BC85" s="227" t="n"/>
      <c r="BD85" s="227" t="n"/>
      <c r="BE85" s="227" t="n"/>
      <c r="BF85" s="227" t="n"/>
      <c r="BG85" s="227" t="n"/>
      <c r="BH85" s="227" t="n"/>
      <c r="BI85" s="227" t="n"/>
      <c r="BJ85" s="227" t="n"/>
      <c r="BK85" s="227" t="n"/>
      <c r="BL85" s="227" t="n"/>
      <c r="BM85" s="227" t="n"/>
      <c r="BN85" s="227" t="n"/>
      <c r="BO85" s="227" t="n"/>
      <c r="BP85" s="227" t="n"/>
      <c r="BQ85" s="227" t="n"/>
      <c r="BR85" s="227" t="n"/>
      <c r="BS85" s="227" t="n"/>
      <c r="BT85" s="227" t="n"/>
      <c r="BU85" s="227" t="n"/>
      <c r="BV85" s="227" t="n"/>
      <c r="BW85" s="227" t="n"/>
      <c r="BX85" s="227" t="n"/>
      <c r="BY85" s="227" t="n"/>
      <c r="BZ85" s="227" t="n"/>
      <c r="CA85" s="227" t="n"/>
      <c r="CB85" s="227" t="n"/>
      <c r="CC85" s="227" t="n"/>
      <c r="CD85" s="227" t="n"/>
      <c r="CE85" s="227" t="n"/>
      <c r="CF85" s="227" t="n"/>
      <c r="CG85" s="227" t="n"/>
      <c r="CH85" s="227" t="n"/>
      <c r="CI85" s="227" t="n"/>
      <c r="CJ85" s="227" t="n"/>
      <c r="CK85" s="227" t="n"/>
      <c r="CL85" s="227" t="n"/>
      <c r="CM85" s="227" t="n"/>
      <c r="CN85" s="227" t="n"/>
      <c r="CO85" s="227" t="n"/>
      <c r="CP85" s="227" t="n"/>
      <c r="CQ85" s="227" t="n"/>
      <c r="CR85" s="227" t="n"/>
      <c r="CS85" s="227" t="n"/>
      <c r="CT85" s="227" t="n"/>
      <c r="CU85" s="227" t="n"/>
      <c r="CV85" s="227" t="n"/>
      <c r="CW85" s="227" t="n"/>
      <c r="CX85" s="227" t="n"/>
      <c r="CY85" s="227" t="n"/>
      <c r="CZ85" s="227" t="n"/>
      <c r="DA85" s="227" t="n"/>
      <c r="DB85" s="227" t="n"/>
      <c r="DC85" s="227" t="n"/>
      <c r="DD85" s="227" t="n"/>
      <c r="DE85" s="227" t="n"/>
      <c r="DF85" s="227" t="n"/>
      <c r="DG85" s="227" t="n"/>
      <c r="DH85" s="227" t="n"/>
      <c r="DI85" s="227" t="n"/>
      <c r="DJ85" s="227" t="n"/>
      <c r="DK85" s="227" t="n"/>
      <c r="DL85" s="227" t="n"/>
      <c r="DM85" s="227" t="n"/>
      <c r="DN85" s="227" t="n"/>
      <c r="DO85" s="227" t="n"/>
      <c r="DP85" s="227" t="n"/>
      <c r="DQ85" s="227" t="n"/>
      <c r="DR85" s="227" t="n"/>
      <c r="DS85" s="227" t="n"/>
      <c r="DT85" s="227" t="n"/>
      <c r="DU85" s="227" t="n"/>
      <c r="DV85" s="227" t="n"/>
      <c r="DW85" s="227" t="n"/>
      <c r="DX85" s="227" t="n"/>
      <c r="DY85" s="227" t="n"/>
      <c r="DZ85" s="227" t="n"/>
      <c r="EA85" s="227" t="n"/>
      <c r="EB85" s="227" t="n"/>
      <c r="EC85" s="227" t="n"/>
      <c r="ED85" s="227" t="n"/>
      <c r="EE85" s="227" t="n"/>
      <c r="EF85" s="227" t="n"/>
      <c r="EG85" s="227" t="n"/>
      <c r="EH85" s="227" t="n"/>
      <c r="EI85" s="227" t="n"/>
      <c r="EJ85" s="227" t="n"/>
      <c r="EK85" s="227" t="n"/>
      <c r="EL85" s="227" t="n"/>
      <c r="EM85" s="227" t="n"/>
      <c r="EN85" s="227" t="n"/>
      <c r="EO85" s="227" t="n"/>
      <c r="EP85" s="227" t="n"/>
      <c r="EQ85" s="227" t="n"/>
      <c r="ER85" s="227" t="n"/>
      <c r="ES85" s="227" t="n"/>
      <c r="ET85" s="227" t="n"/>
      <c r="EU85" s="227" t="n"/>
      <c r="EV85" s="227" t="n"/>
      <c r="EW85" s="227" t="n"/>
      <c r="EX85" s="227" t="n"/>
      <c r="EY85" s="227" t="n"/>
      <c r="EZ85" s="227" t="n"/>
      <c r="FA85" s="227" t="n"/>
      <c r="FB85" s="227" t="n"/>
      <c r="FC85" s="227" t="n"/>
      <c r="FD85" s="227" t="n"/>
      <c r="FE85" s="227" t="n"/>
      <c r="FF85" s="227" t="n"/>
      <c r="FG85" s="227" t="n"/>
      <c r="FH85" s="227" t="n"/>
      <c r="FI85" s="227" t="n"/>
      <c r="FJ85" s="227" t="n"/>
      <c r="FK85" s="227" t="n"/>
      <c r="FL85" s="227" t="n"/>
      <c r="FM85" s="227" t="n"/>
      <c r="FN85" s="227" t="n"/>
      <c r="FO85" s="227" t="n"/>
      <c r="FP85" s="227" t="n"/>
      <c r="FQ85" s="227" t="n"/>
      <c r="FR85" s="227" t="n"/>
      <c r="FS85" s="227" t="n"/>
      <c r="FT85" s="227" t="n"/>
      <c r="FU85" s="227" t="n"/>
      <c r="FV85" s="227" t="n"/>
      <c r="FW85" s="227" t="n"/>
      <c r="FX85" s="227" t="n"/>
      <c r="FY85" s="227" t="n"/>
      <c r="FZ85" s="227" t="n"/>
      <c r="GA85" s="227" t="n"/>
      <c r="GB85" s="227" t="n"/>
      <c r="GC85" s="227" t="n"/>
      <c r="GD85" s="227" t="n"/>
      <c r="GE85" s="227" t="n"/>
      <c r="GF85" s="227" t="n"/>
      <c r="GG85" s="227" t="n"/>
      <c r="GH85" s="227" t="n"/>
      <c r="GI85" s="227" t="n"/>
      <c r="GJ85" s="227" t="n"/>
      <c r="GK85" s="227" t="n"/>
      <c r="GL85" s="227" t="n"/>
      <c r="GM85" s="227" t="n"/>
      <c r="GN85" s="227" t="n"/>
      <c r="GO85" s="227" t="n"/>
      <c r="GP85" s="227" t="n"/>
      <c r="GQ85" s="227" t="n"/>
      <c r="GR85" s="227" t="n"/>
      <c r="GS85" s="227" t="n"/>
      <c r="GT85" s="227" t="n"/>
      <c r="GU85" s="227" t="n"/>
      <c r="GV85" s="227" t="n"/>
      <c r="GW85" s="227" t="n"/>
      <c r="GX85" s="227" t="n"/>
      <c r="GY85" s="227" t="n"/>
      <c r="GZ85" s="227" t="n"/>
      <c r="HA85" s="227" t="n"/>
      <c r="HB85" s="227" t="n"/>
      <c r="HC85" s="227" t="n"/>
      <c r="HD85" s="227" t="n"/>
      <c r="HE85" s="227" t="n"/>
      <c r="HF85" s="227" t="n"/>
      <c r="HG85" s="227" t="n"/>
      <c r="HH85" s="227" t="n"/>
      <c r="HI85" s="227" t="n"/>
      <c r="HJ85" s="227" t="n"/>
      <c r="HK85" s="227" t="n"/>
      <c r="HL85" s="227" t="n"/>
      <c r="HM85" s="227" t="n"/>
      <c r="HN85" s="227" t="n"/>
      <c r="HO85" s="227" t="n"/>
      <c r="HP85" s="227" t="n"/>
      <c r="HQ85" s="227" t="n"/>
      <c r="HR85" s="227" t="n"/>
      <c r="HS85" s="227" t="n"/>
      <c r="HT85" s="227" t="n"/>
      <c r="HU85" s="227" t="n"/>
      <c r="HV85" s="227" t="n"/>
      <c r="HW85" s="227" t="n"/>
      <c r="HX85" s="227" t="n"/>
      <c r="HY85" s="227" t="n"/>
      <c r="HZ85" s="227" t="n"/>
      <c r="IA85" s="227" t="n"/>
      <c r="IB85" s="227" t="n"/>
      <c r="IC85" s="227" t="n"/>
      <c r="ID85" s="227" t="n"/>
      <c r="IE85" s="227" t="n"/>
      <c r="IF85" s="227" t="n"/>
      <c r="IG85" s="227" t="n"/>
      <c r="IH85" s="227" t="n"/>
      <c r="II85" s="227" t="n"/>
      <c r="IJ85" s="227" t="n"/>
      <c r="IK85" s="227" t="n"/>
      <c r="IL85" s="227" t="n"/>
      <c r="IM85" s="227" t="n"/>
      <c r="IN85" s="227" t="n"/>
      <c r="IO85" s="227" t="n"/>
      <c r="IP85" s="227" t="n"/>
      <c r="IQ85" s="227" t="n"/>
      <c r="IR85" s="227" t="n"/>
      <c r="IS85" s="227" t="n"/>
      <c r="IT85" s="227" t="n"/>
      <c r="IU85" s="227" t="n"/>
      <c r="IV85" s="227" t="n"/>
      <c r="IW85" s="227" t="n"/>
      <c r="IX85" s="227" t="n"/>
      <c r="IY85" s="227" t="n"/>
      <c r="IZ85" s="227" t="n"/>
      <c r="JA85" s="227" t="n"/>
      <c r="JB85" s="227" t="n"/>
      <c r="JC85" s="227" t="n"/>
      <c r="JD85" s="227" t="n"/>
      <c r="JE85" s="227" t="n"/>
      <c r="JF85" s="227" t="n"/>
      <c r="JG85" s="227" t="n"/>
      <c r="JH85" s="227" t="n"/>
      <c r="JI85" s="227" t="n"/>
      <c r="JJ85" s="227" t="n"/>
      <c r="JK85" s="227" t="n"/>
      <c r="JL85" s="227" t="n"/>
      <c r="JM85" s="227" t="n"/>
      <c r="JN85" s="227" t="n"/>
      <c r="JO85" s="227" t="n"/>
      <c r="JP85" s="227" t="n"/>
      <c r="JQ85" s="227" t="n"/>
      <c r="JR85" s="227" t="n"/>
      <c r="JS85" s="227" t="n"/>
      <c r="JT85" s="227" t="n"/>
      <c r="JU85" s="227" t="n"/>
      <c r="JV85" s="227" t="n"/>
      <c r="JW85" s="227" t="n"/>
      <c r="JX85" s="227" t="n"/>
      <c r="JY85" s="227" t="n"/>
      <c r="JZ85" s="227" t="n"/>
      <c r="KA85" s="227" t="n"/>
      <c r="KB85" s="227" t="n"/>
      <c r="KC85" s="227" t="n"/>
      <c r="KD85" s="227" t="n"/>
      <c r="KE85" s="227" t="n"/>
      <c r="KF85" s="227" t="n"/>
      <c r="KG85" s="227" t="n"/>
      <c r="KH85" s="227" t="n"/>
      <c r="KI85" s="227" t="n"/>
      <c r="KJ85" s="227" t="n"/>
      <c r="KK85" s="227" t="n"/>
      <c r="KL85" s="227" t="n"/>
      <c r="KM85" s="227" t="n"/>
      <c r="KN85" s="227" t="n"/>
      <c r="KO85" s="227" t="n"/>
      <c r="KP85" s="227" t="n"/>
      <c r="KQ85" s="227" t="n"/>
      <c r="KR85" s="227" t="n"/>
      <c r="KS85" s="227" t="n"/>
      <c r="KT85" s="227" t="n"/>
      <c r="KU85" s="227" t="n"/>
      <c r="KV85" s="227" t="n"/>
      <c r="KW85" s="227" t="n"/>
      <c r="KX85" s="227" t="n"/>
      <c r="KY85" s="227" t="n"/>
      <c r="KZ85" s="227" t="n"/>
      <c r="LA85" s="227" t="n"/>
      <c r="LB85" s="227" t="n"/>
      <c r="LC85" s="227" t="n"/>
      <c r="LD85" s="227" t="n"/>
      <c r="LE85" s="227" t="n"/>
      <c r="LF85" s="227" t="n"/>
      <c r="LG85" s="227" t="n"/>
      <c r="LH85" s="227" t="n"/>
      <c r="LI85" s="227" t="n"/>
      <c r="LJ85" s="227" t="n"/>
      <c r="LK85" s="227" t="n"/>
      <c r="LL85" s="227" t="n"/>
      <c r="LM85" s="227" t="n"/>
      <c r="LN85" s="227" t="n"/>
      <c r="LO85" s="227" t="n"/>
      <c r="LP85" s="227" t="n"/>
      <c r="LQ85" s="227" t="n"/>
      <c r="LR85" s="227" t="n"/>
      <c r="LS85" s="227" t="n"/>
      <c r="LT85" s="227" t="n"/>
      <c r="LU85" s="227" t="n"/>
      <c r="LV85" s="227" t="n"/>
      <c r="LW85" s="227" t="n"/>
      <c r="LX85" s="227" t="n"/>
      <c r="LY85" s="227" t="n"/>
      <c r="LZ85" s="227" t="n"/>
      <c r="MA85" s="227" t="n"/>
      <c r="MB85" s="227" t="n"/>
      <c r="MC85" s="227" t="n"/>
      <c r="MD85" s="227" t="n"/>
      <c r="ME85" s="227" t="n"/>
      <c r="MF85" s="227" t="n"/>
      <c r="MG85" s="227" t="n"/>
      <c r="MH85" s="227" t="n"/>
      <c r="MI85" s="227" t="n"/>
      <c r="MJ85" s="227" t="n"/>
      <c r="MK85" s="227" t="n"/>
      <c r="ML85" s="227" t="n"/>
      <c r="MM85" s="227" t="n"/>
      <c r="MN85" s="227" t="n"/>
      <c r="MO85" s="227" t="n"/>
      <c r="MP85" s="227" t="n"/>
      <c r="MQ85" s="227" t="n"/>
      <c r="MR85" s="227" t="n"/>
      <c r="MS85" s="227" t="n"/>
      <c r="MT85" s="227" t="n"/>
      <c r="MU85" s="227" t="n"/>
      <c r="MV85" s="227" t="n"/>
      <c r="MW85" s="227" t="n"/>
      <c r="MX85" s="227" t="n"/>
      <c r="MY85" s="227" t="n"/>
      <c r="MZ85" s="227" t="n"/>
      <c r="NA85" s="227" t="n"/>
      <c r="NB85" s="227" t="n"/>
      <c r="NC85" s="228">
        <f>SUM(B85:NB85)</f>
        <v/>
      </c>
    </row>
    <row r="86" ht="14.25" customHeight="1" s="166">
      <c r="A86" s="214" t="inlineStr">
        <is>
          <t>BTU-60-RDE-04-04</t>
        </is>
      </c>
      <c r="B86" s="227" t="n"/>
      <c r="C86" s="227" t="n"/>
      <c r="D86" s="227" t="n"/>
      <c r="E86" s="227" t="n"/>
      <c r="F86" s="227" t="n"/>
      <c r="G86" s="227" t="n"/>
      <c r="H86" s="227" t="n"/>
      <c r="I86" s="227" t="n"/>
      <c r="J86" s="227" t="n"/>
      <c r="K86" s="227" t="n"/>
      <c r="L86" s="227" t="n"/>
      <c r="M86" s="227" t="n"/>
      <c r="N86" s="227" t="n"/>
      <c r="O86" s="227" t="n"/>
      <c r="P86" s="227" t="n"/>
      <c r="Q86" s="227" t="n"/>
      <c r="R86" s="227" t="n"/>
      <c r="S86" s="227" t="n"/>
      <c r="T86" s="227" t="n"/>
      <c r="U86" s="227" t="n"/>
      <c r="V86" s="227" t="n"/>
      <c r="W86" s="227" t="n"/>
      <c r="X86" s="227" t="n"/>
      <c r="Y86" s="227" t="n"/>
      <c r="Z86" s="227" t="n"/>
      <c r="AA86" s="227" t="n"/>
      <c r="AB86" s="227" t="n"/>
      <c r="AC86" s="227" t="n"/>
      <c r="AD86" s="227" t="n"/>
      <c r="AE86" s="227" t="n"/>
      <c r="AF86" s="227" t="n"/>
      <c r="AG86" s="227" t="n"/>
      <c r="AH86" s="227" t="n"/>
      <c r="AI86" s="227" t="n"/>
      <c r="AJ86" s="227" t="n"/>
      <c r="AK86" s="227" t="n"/>
      <c r="AL86" s="227" t="n"/>
      <c r="AM86" s="227" t="n"/>
      <c r="AN86" s="227" t="n"/>
      <c r="AO86" s="227" t="n"/>
      <c r="AP86" s="227" t="n"/>
      <c r="AQ86" s="227" t="n"/>
      <c r="AR86" s="227" t="n"/>
      <c r="AS86" s="227" t="n"/>
      <c r="AT86" s="227" t="n"/>
      <c r="AU86" s="227" t="n"/>
      <c r="AV86" s="227" t="n"/>
      <c r="AW86" s="227" t="n"/>
      <c r="AX86" s="227" t="n"/>
      <c r="AY86" s="227" t="n"/>
      <c r="AZ86" s="227" t="n"/>
      <c r="BA86" s="227" t="n"/>
      <c r="BB86" s="227" t="n"/>
      <c r="BC86" s="227" t="n"/>
      <c r="BD86" s="227" t="n"/>
      <c r="BE86" s="227" t="n"/>
      <c r="BF86" s="227" t="n"/>
      <c r="BG86" s="227" t="n"/>
      <c r="BH86" s="227" t="n"/>
      <c r="BI86" s="227" t="n"/>
      <c r="BJ86" s="227" t="n"/>
      <c r="BK86" s="227" t="n"/>
      <c r="BL86" s="227" t="n"/>
      <c r="BM86" s="227" t="n"/>
      <c r="BN86" s="227" t="n"/>
      <c r="BO86" s="227" t="n"/>
      <c r="BP86" s="227" t="n"/>
      <c r="BQ86" s="227" t="n"/>
      <c r="BR86" s="227" t="n"/>
      <c r="BS86" s="227" t="n"/>
      <c r="BT86" s="227" t="n"/>
      <c r="BU86" s="227" t="n"/>
      <c r="BV86" s="227" t="n"/>
      <c r="BW86" s="227" t="n"/>
      <c r="BX86" s="227" t="n"/>
      <c r="BY86" s="227" t="n"/>
      <c r="BZ86" s="227" t="n"/>
      <c r="CA86" s="227" t="n"/>
      <c r="CB86" s="227" t="n"/>
      <c r="CC86" s="227" t="n"/>
      <c r="CD86" s="227" t="n"/>
      <c r="CE86" s="227" t="n"/>
      <c r="CF86" s="227" t="n"/>
      <c r="CG86" s="227" t="n"/>
      <c r="CH86" s="227" t="n"/>
      <c r="CI86" s="227" t="n"/>
      <c r="CJ86" s="227" t="n"/>
      <c r="CK86" s="227" t="n"/>
      <c r="CL86" s="227" t="n"/>
      <c r="CM86" s="227" t="n"/>
      <c r="CN86" s="227" t="n"/>
      <c r="CO86" s="227" t="n"/>
      <c r="CP86" s="227" t="n"/>
      <c r="CQ86" s="227" t="n"/>
      <c r="CR86" s="227" t="n"/>
      <c r="CS86" s="227" t="n"/>
      <c r="CT86" s="227" t="n"/>
      <c r="CU86" s="227" t="n"/>
      <c r="CV86" s="227" t="n"/>
      <c r="CW86" s="227" t="n"/>
      <c r="CX86" s="227" t="n"/>
      <c r="CY86" s="227" t="n"/>
      <c r="CZ86" s="227" t="n"/>
      <c r="DA86" s="227" t="n"/>
      <c r="DB86" s="227" t="n"/>
      <c r="DC86" s="227" t="n"/>
      <c r="DD86" s="227" t="n"/>
      <c r="DE86" s="227" t="n"/>
      <c r="DF86" s="227" t="n"/>
      <c r="DG86" s="227" t="n"/>
      <c r="DH86" s="227" t="n"/>
      <c r="DI86" s="227" t="n"/>
      <c r="DJ86" s="227" t="n"/>
      <c r="DK86" s="227" t="n"/>
      <c r="DL86" s="227" t="n"/>
      <c r="DM86" s="227" t="n"/>
      <c r="DN86" s="227" t="n"/>
      <c r="DO86" s="227" t="n"/>
      <c r="DP86" s="227" t="n"/>
      <c r="DQ86" s="227" t="n"/>
      <c r="DR86" s="227" t="n"/>
      <c r="DS86" s="227" t="n"/>
      <c r="DT86" s="227" t="n"/>
      <c r="DU86" s="227" t="n"/>
      <c r="DV86" s="227" t="n"/>
      <c r="DW86" s="227" t="n"/>
      <c r="DX86" s="227" t="n"/>
      <c r="DY86" s="227" t="n"/>
      <c r="DZ86" s="227" t="n"/>
      <c r="EA86" s="227" t="n"/>
      <c r="EB86" s="227" t="n"/>
      <c r="EC86" s="227" t="n"/>
      <c r="ED86" s="227" t="n"/>
      <c r="EE86" s="227" t="n"/>
      <c r="EF86" s="227" t="n"/>
      <c r="EG86" s="227" t="n"/>
      <c r="EH86" s="227" t="n"/>
      <c r="EI86" s="227" t="n"/>
      <c r="EJ86" s="227" t="n"/>
      <c r="EK86" s="227" t="n"/>
      <c r="EL86" s="227" t="n"/>
      <c r="EM86" s="227" t="n"/>
      <c r="EN86" s="227" t="n"/>
      <c r="EO86" s="227" t="n"/>
      <c r="EP86" s="227" t="n"/>
      <c r="EQ86" s="227" t="n"/>
      <c r="ER86" s="227" t="n"/>
      <c r="ES86" s="227" t="n"/>
      <c r="ET86" s="227" t="n"/>
      <c r="EU86" s="227" t="n"/>
      <c r="EV86" s="227" t="n"/>
      <c r="EW86" s="227" t="n"/>
      <c r="EX86" s="227" t="n"/>
      <c r="EY86" s="227" t="n"/>
      <c r="EZ86" s="227" t="n"/>
      <c r="FA86" s="227" t="n"/>
      <c r="FB86" s="227" t="n"/>
      <c r="FC86" s="227" t="n"/>
      <c r="FD86" s="227" t="n"/>
      <c r="FE86" s="227" t="n"/>
      <c r="FF86" s="227" t="n"/>
      <c r="FG86" s="227" t="n"/>
      <c r="FH86" s="227" t="n"/>
      <c r="FI86" s="227" t="n"/>
      <c r="FJ86" s="227" t="n"/>
      <c r="FK86" s="227" t="n"/>
      <c r="FL86" s="227" t="n"/>
      <c r="FM86" s="227" t="n"/>
      <c r="FN86" s="227" t="n"/>
      <c r="FO86" s="227" t="n"/>
      <c r="FP86" s="227" t="n"/>
      <c r="FQ86" s="227" t="n"/>
      <c r="FR86" s="227" t="n"/>
      <c r="FS86" s="227" t="n"/>
      <c r="FT86" s="227" t="n"/>
      <c r="FU86" s="227" t="n"/>
      <c r="FV86" s="227" t="n"/>
      <c r="FW86" s="227" t="n"/>
      <c r="FX86" s="227" t="n"/>
      <c r="FY86" s="227" t="n"/>
      <c r="FZ86" s="227" t="n"/>
      <c r="GA86" s="227" t="n"/>
      <c r="GB86" s="227" t="n"/>
      <c r="GC86" s="227" t="n"/>
      <c r="GD86" s="227" t="n"/>
      <c r="GE86" s="227" t="n"/>
      <c r="GF86" s="227" t="n"/>
      <c r="GG86" s="227" t="n"/>
      <c r="GH86" s="227" t="n"/>
      <c r="GI86" s="227" t="n"/>
      <c r="GJ86" s="227" t="n"/>
      <c r="GK86" s="227" t="n"/>
      <c r="GL86" s="227" t="n"/>
      <c r="GM86" s="227" t="n"/>
      <c r="GN86" s="227" t="n"/>
      <c r="GO86" s="227" t="n"/>
      <c r="GP86" s="227" t="n"/>
      <c r="GQ86" s="227" t="n"/>
      <c r="GR86" s="227" t="n"/>
      <c r="GS86" s="227" t="n"/>
      <c r="GT86" s="227" t="n"/>
      <c r="GU86" s="227" t="n"/>
      <c r="GV86" s="227" t="n"/>
      <c r="GW86" s="227" t="n"/>
      <c r="GX86" s="227" t="n"/>
      <c r="GY86" s="227" t="n"/>
      <c r="GZ86" s="227" t="n"/>
      <c r="HA86" s="227" t="n"/>
      <c r="HB86" s="227" t="n"/>
      <c r="HC86" s="227" t="n"/>
      <c r="HD86" s="227" t="n"/>
      <c r="HE86" s="227" t="n"/>
      <c r="HF86" s="227" t="n"/>
      <c r="HG86" s="227" t="n"/>
      <c r="HH86" s="227" t="n"/>
      <c r="HI86" s="227" t="n"/>
      <c r="HJ86" s="227" t="n"/>
      <c r="HK86" s="227" t="n"/>
      <c r="HL86" s="227" t="n"/>
      <c r="HM86" s="227" t="n"/>
      <c r="HN86" s="227" t="n"/>
      <c r="HO86" s="227" t="n"/>
      <c r="HP86" s="227" t="n"/>
      <c r="HQ86" s="227" t="n"/>
      <c r="HR86" s="227" t="n"/>
      <c r="HS86" s="227" t="n"/>
      <c r="HT86" s="227" t="n"/>
      <c r="HU86" s="227" t="n"/>
      <c r="HV86" s="227" t="n"/>
      <c r="HW86" s="227" t="n"/>
      <c r="HX86" s="227" t="n"/>
      <c r="HY86" s="227" t="n"/>
      <c r="HZ86" s="227" t="n"/>
      <c r="IA86" s="227" t="n"/>
      <c r="IB86" s="227" t="n"/>
      <c r="IC86" s="227" t="n"/>
      <c r="ID86" s="227" t="n"/>
      <c r="IE86" s="227" t="n"/>
      <c r="IF86" s="227" t="n"/>
      <c r="IG86" s="227" t="n"/>
      <c r="IH86" s="227" t="n"/>
      <c r="II86" s="227" t="n"/>
      <c r="IJ86" s="227" t="n"/>
      <c r="IK86" s="227" t="n"/>
      <c r="IL86" s="227" t="n"/>
      <c r="IM86" s="227" t="n"/>
      <c r="IN86" s="227" t="n"/>
      <c r="IO86" s="227" t="n"/>
      <c r="IP86" s="227" t="n"/>
      <c r="IQ86" s="227" t="n"/>
      <c r="IR86" s="227" t="n"/>
      <c r="IS86" s="227" t="n"/>
      <c r="IT86" s="227" t="n"/>
      <c r="IU86" s="227" t="n"/>
      <c r="IV86" s="227" t="n"/>
      <c r="IW86" s="227" t="n"/>
      <c r="IX86" s="227" t="n"/>
      <c r="IY86" s="227" t="n"/>
      <c r="IZ86" s="227" t="n"/>
      <c r="JA86" s="227" t="n"/>
      <c r="JB86" s="227" t="n"/>
      <c r="JC86" s="227" t="n"/>
      <c r="JD86" s="227" t="n"/>
      <c r="JE86" s="227" t="n"/>
      <c r="JF86" s="227" t="n"/>
      <c r="JG86" s="227" t="n"/>
      <c r="JH86" s="227" t="n"/>
      <c r="JI86" s="227" t="n"/>
      <c r="JJ86" s="227" t="n"/>
      <c r="JK86" s="227" t="n"/>
      <c r="JL86" s="227" t="n"/>
      <c r="JM86" s="227" t="n"/>
      <c r="JN86" s="227" t="n"/>
      <c r="JO86" s="227" t="n"/>
      <c r="JP86" s="227" t="n"/>
      <c r="JQ86" s="227" t="n"/>
      <c r="JR86" s="227" t="n"/>
      <c r="JS86" s="227" t="n"/>
      <c r="JT86" s="227" t="n"/>
      <c r="JU86" s="227" t="n"/>
      <c r="JV86" s="227" t="n"/>
      <c r="JW86" s="227" t="n"/>
      <c r="JX86" s="227" t="n"/>
      <c r="JY86" s="227" t="n"/>
      <c r="JZ86" s="227" t="n"/>
      <c r="KA86" s="227" t="n"/>
      <c r="KB86" s="227" t="n"/>
      <c r="KC86" s="227" t="n"/>
      <c r="KD86" s="227" t="n"/>
      <c r="KE86" s="227" t="n"/>
      <c r="KF86" s="227" t="n"/>
      <c r="KG86" s="227" t="n"/>
      <c r="KH86" s="227" t="n"/>
      <c r="KI86" s="227" t="n"/>
      <c r="KJ86" s="227" t="n"/>
      <c r="KK86" s="227" t="n"/>
      <c r="KL86" s="227" t="n"/>
      <c r="KM86" s="227" t="n"/>
      <c r="KN86" s="227" t="n"/>
      <c r="KO86" s="227" t="n"/>
      <c r="KP86" s="227" t="n"/>
      <c r="KQ86" s="227" t="n"/>
      <c r="KR86" s="227" t="n"/>
      <c r="KS86" s="227" t="n"/>
      <c r="KT86" s="227" t="n"/>
      <c r="KU86" s="227" t="n"/>
      <c r="KV86" s="227" t="n"/>
      <c r="KW86" s="227" t="n"/>
      <c r="KX86" s="227" t="n"/>
      <c r="KY86" s="227" t="n"/>
      <c r="KZ86" s="227" t="n"/>
      <c r="LA86" s="227" t="n"/>
      <c r="LB86" s="227" t="n"/>
      <c r="LC86" s="227" t="n"/>
      <c r="LD86" s="227" t="n"/>
      <c r="LE86" s="227" t="n"/>
      <c r="LF86" s="227" t="n"/>
      <c r="LG86" s="227" t="n"/>
      <c r="LH86" s="227" t="n"/>
      <c r="LI86" s="227" t="n"/>
      <c r="LJ86" s="227" t="n"/>
      <c r="LK86" s="227" t="n"/>
      <c r="LL86" s="227" t="n"/>
      <c r="LM86" s="227" t="n"/>
      <c r="LN86" s="227" t="n"/>
      <c r="LO86" s="227" t="n"/>
      <c r="LP86" s="227" t="n"/>
      <c r="LQ86" s="227" t="n"/>
      <c r="LR86" s="227" t="n"/>
      <c r="LS86" s="227" t="n"/>
      <c r="LT86" s="227" t="n"/>
      <c r="LU86" s="227" t="n"/>
      <c r="LV86" s="227" t="n"/>
      <c r="LW86" s="227" t="n"/>
      <c r="LX86" s="227" t="n"/>
      <c r="LY86" s="227" t="n"/>
      <c r="LZ86" s="227" t="n"/>
      <c r="MA86" s="227" t="n"/>
      <c r="MB86" s="227" t="n"/>
      <c r="MC86" s="227" t="n"/>
      <c r="MD86" s="227" t="n"/>
      <c r="ME86" s="227" t="n"/>
      <c r="MF86" s="227" t="n"/>
      <c r="MG86" s="227" t="n"/>
      <c r="MH86" s="227" t="n"/>
      <c r="MI86" s="227" t="n"/>
      <c r="MJ86" s="227" t="n"/>
      <c r="MK86" s="227" t="n"/>
      <c r="ML86" s="227" t="n"/>
      <c r="MM86" s="227" t="n"/>
      <c r="MN86" s="227" t="n"/>
      <c r="MO86" s="227" t="n"/>
      <c r="MP86" s="227" t="n"/>
      <c r="MQ86" s="227" t="n"/>
      <c r="MR86" s="227" t="n"/>
      <c r="MS86" s="227" t="n"/>
      <c r="MT86" s="227" t="n"/>
      <c r="MU86" s="227" t="n"/>
      <c r="MV86" s="227" t="n"/>
      <c r="MW86" s="227" t="n"/>
      <c r="MX86" s="227" t="n"/>
      <c r="MY86" s="227" t="n"/>
      <c r="MZ86" s="227" t="n"/>
      <c r="NA86" s="227" t="n"/>
      <c r="NB86" s="227" t="n"/>
      <c r="NC86" s="228">
        <f>SUM(B86:NB86)</f>
        <v/>
      </c>
    </row>
    <row r="87" ht="14.25" customHeight="1" s="166">
      <c r="A87" s="214" t="inlineStr">
        <is>
          <t>BTU-60-04-01</t>
        </is>
      </c>
      <c r="B87" s="227" t="n"/>
      <c r="C87" s="227" t="n"/>
      <c r="D87" s="227" t="n"/>
      <c r="E87" s="227" t="n"/>
      <c r="F87" s="227" t="n"/>
      <c r="G87" s="227" t="n"/>
      <c r="H87" s="227" t="n"/>
      <c r="I87" s="227" t="n"/>
      <c r="J87" s="227" t="n"/>
      <c r="K87" s="227" t="n"/>
      <c r="L87" s="227" t="n"/>
      <c r="M87" s="227" t="n"/>
      <c r="N87" s="227" t="n"/>
      <c r="O87" s="227" t="n"/>
      <c r="P87" s="227" t="n"/>
      <c r="Q87" s="227" t="n"/>
      <c r="R87" s="227" t="n"/>
      <c r="S87" s="227" t="n"/>
      <c r="T87" s="227" t="n"/>
      <c r="U87" s="227" t="n"/>
      <c r="V87" s="227" t="n"/>
      <c r="W87" s="227" t="n"/>
      <c r="X87" s="227" t="n"/>
      <c r="Y87" s="227" t="n"/>
      <c r="Z87" s="227" t="n"/>
      <c r="AA87" s="227" t="n"/>
      <c r="AB87" s="227" t="n"/>
      <c r="AC87" s="227" t="n"/>
      <c r="AD87" s="227" t="n"/>
      <c r="AE87" s="227" t="n"/>
      <c r="AF87" s="227" t="n"/>
      <c r="AG87" s="227" t="n"/>
      <c r="AH87" s="227" t="n"/>
      <c r="AI87" s="227" t="n"/>
      <c r="AJ87" s="227" t="n"/>
      <c r="AK87" s="227" t="n"/>
      <c r="AL87" s="227" t="n"/>
      <c r="AM87" s="227" t="n"/>
      <c r="AN87" s="227" t="n"/>
      <c r="AO87" s="227" t="n"/>
      <c r="AP87" s="227" t="n"/>
      <c r="AQ87" s="227" t="n"/>
      <c r="AR87" s="227" t="n"/>
      <c r="AS87" s="227" t="n"/>
      <c r="AT87" s="227" t="n"/>
      <c r="AU87" s="227" t="n"/>
      <c r="AV87" s="227" t="n"/>
      <c r="AW87" s="227" t="n"/>
      <c r="AX87" s="227" t="n"/>
      <c r="AY87" s="227" t="n"/>
      <c r="AZ87" s="227" t="n"/>
      <c r="BA87" s="227" t="n"/>
      <c r="BB87" s="227" t="n"/>
      <c r="BC87" s="227" t="n"/>
      <c r="BD87" s="227" t="n"/>
      <c r="BE87" s="227" t="n"/>
      <c r="BF87" s="227" t="n"/>
      <c r="BG87" s="227" t="n"/>
      <c r="BH87" s="227" t="n"/>
      <c r="BI87" s="227" t="n"/>
      <c r="BJ87" s="227" t="n"/>
      <c r="BK87" s="227" t="n"/>
      <c r="BL87" s="227" t="n"/>
      <c r="BM87" s="227" t="n"/>
      <c r="BN87" s="227" t="n"/>
      <c r="BO87" s="227" t="n"/>
      <c r="BP87" s="227" t="n"/>
      <c r="BQ87" s="227" t="n"/>
      <c r="BR87" s="227" t="n"/>
      <c r="BS87" s="227" t="n"/>
      <c r="BT87" s="227" t="n"/>
      <c r="BU87" s="227" t="n"/>
      <c r="BV87" s="227" t="n"/>
      <c r="BW87" s="227" t="n"/>
      <c r="BX87" s="227" t="n"/>
      <c r="BY87" s="227" t="n"/>
      <c r="BZ87" s="227" t="n"/>
      <c r="CA87" s="227" t="n"/>
      <c r="CB87" s="227" t="n"/>
      <c r="CC87" s="227" t="n"/>
      <c r="CD87" s="227" t="n"/>
      <c r="CE87" s="227" t="n"/>
      <c r="CF87" s="227" t="n"/>
      <c r="CG87" s="227" t="n"/>
      <c r="CH87" s="227" t="n"/>
      <c r="CI87" s="227" t="n"/>
      <c r="CJ87" s="227" t="n"/>
      <c r="CK87" s="227" t="n"/>
      <c r="CL87" s="227" t="n"/>
      <c r="CM87" s="227" t="n"/>
      <c r="CN87" s="227" t="n"/>
      <c r="CO87" s="227" t="n"/>
      <c r="CP87" s="227" t="n"/>
      <c r="CQ87" s="227" t="n"/>
      <c r="CR87" s="227" t="n"/>
      <c r="CS87" s="227" t="n"/>
      <c r="CT87" s="227" t="n"/>
      <c r="CU87" s="227" t="n"/>
      <c r="CV87" s="227" t="n"/>
      <c r="CW87" s="227" t="n"/>
      <c r="CX87" s="227" t="n"/>
      <c r="CY87" s="227" t="n"/>
      <c r="CZ87" s="227" t="n"/>
      <c r="DA87" s="227" t="n"/>
      <c r="DB87" s="227" t="n"/>
      <c r="DC87" s="227" t="n"/>
      <c r="DD87" s="227" t="n"/>
      <c r="DE87" s="227" t="n"/>
      <c r="DF87" s="227" t="n"/>
      <c r="DG87" s="227" t="n"/>
      <c r="DH87" s="227" t="n"/>
      <c r="DI87" s="227" t="n"/>
      <c r="DJ87" s="227" t="n"/>
      <c r="DK87" s="227" t="n"/>
      <c r="DL87" s="227" t="n"/>
      <c r="DM87" s="227" t="n"/>
      <c r="DN87" s="227" t="n"/>
      <c r="DO87" s="227" t="n"/>
      <c r="DP87" s="227" t="n"/>
      <c r="DQ87" s="227" t="n"/>
      <c r="DR87" s="227" t="n"/>
      <c r="DS87" s="227" t="n"/>
      <c r="DT87" s="227" t="n"/>
      <c r="DU87" s="227" t="n"/>
      <c r="DV87" s="227" t="n"/>
      <c r="DW87" s="227" t="n"/>
      <c r="DX87" s="227" t="n"/>
      <c r="DY87" s="227" t="n"/>
      <c r="DZ87" s="227" t="n"/>
      <c r="EA87" s="227" t="n"/>
      <c r="EB87" s="227" t="n"/>
      <c r="EC87" s="227" t="n"/>
      <c r="ED87" s="227" t="n"/>
      <c r="EE87" s="227" t="n"/>
      <c r="EF87" s="227" t="n"/>
      <c r="EG87" s="227" t="n"/>
      <c r="EH87" s="227" t="n"/>
      <c r="EI87" s="227" t="n"/>
      <c r="EJ87" s="227" t="n"/>
      <c r="EK87" s="227" t="n"/>
      <c r="EL87" s="227" t="n"/>
      <c r="EM87" s="227" t="n"/>
      <c r="EN87" s="227" t="n"/>
      <c r="EO87" s="227" t="n"/>
      <c r="EP87" s="227" t="n"/>
      <c r="EQ87" s="227" t="n"/>
      <c r="ER87" s="227" t="n"/>
      <c r="ES87" s="227" t="n"/>
      <c r="ET87" s="227" t="n"/>
      <c r="EU87" s="227" t="n"/>
      <c r="EV87" s="227" t="n"/>
      <c r="EW87" s="227" t="n"/>
      <c r="EX87" s="227" t="n"/>
      <c r="EY87" s="227" t="n"/>
      <c r="EZ87" s="227" t="n"/>
      <c r="FA87" s="227" t="n"/>
      <c r="FB87" s="227" t="n"/>
      <c r="FC87" s="227" t="n"/>
      <c r="FD87" s="227" t="n"/>
      <c r="FE87" s="227" t="n"/>
      <c r="FF87" s="227" t="n"/>
      <c r="FG87" s="227" t="n"/>
      <c r="FH87" s="227" t="n"/>
      <c r="FI87" s="227" t="n"/>
      <c r="FJ87" s="227" t="n"/>
      <c r="FK87" s="227" t="n"/>
      <c r="FL87" s="227" t="n"/>
      <c r="FM87" s="227" t="n"/>
      <c r="FN87" s="227" t="n"/>
      <c r="FO87" s="227" t="n"/>
      <c r="FP87" s="227" t="n"/>
      <c r="FQ87" s="227" t="n"/>
      <c r="FR87" s="227" t="n"/>
      <c r="FS87" s="227" t="n"/>
      <c r="FT87" s="227" t="n"/>
      <c r="FU87" s="227" t="n"/>
      <c r="FV87" s="227" t="n"/>
      <c r="FW87" s="227" t="n"/>
      <c r="FX87" s="227" t="n"/>
      <c r="FY87" s="227" t="n"/>
      <c r="FZ87" s="227" t="n"/>
      <c r="GA87" s="227" t="n"/>
      <c r="GB87" s="227" t="n"/>
      <c r="GC87" s="227" t="n"/>
      <c r="GD87" s="227" t="n"/>
      <c r="GE87" s="227" t="n"/>
      <c r="GF87" s="227" t="n"/>
      <c r="GG87" s="227" t="n"/>
      <c r="GH87" s="227" t="n"/>
      <c r="GI87" s="227" t="n"/>
      <c r="GJ87" s="227" t="n"/>
      <c r="GK87" s="227" t="n"/>
      <c r="GL87" s="227" t="n"/>
      <c r="GM87" s="227" t="n"/>
      <c r="GN87" s="227" t="n"/>
      <c r="GO87" s="227" t="n"/>
      <c r="GP87" s="227" t="n"/>
      <c r="GQ87" s="227" t="n"/>
      <c r="GR87" s="227" t="n"/>
      <c r="GS87" s="227" t="n"/>
      <c r="GT87" s="227" t="n"/>
      <c r="GU87" s="227" t="n"/>
      <c r="GV87" s="227" t="n"/>
      <c r="GW87" s="227" t="n"/>
      <c r="GX87" s="227" t="n"/>
      <c r="GY87" s="227" t="n"/>
      <c r="GZ87" s="227" t="n"/>
      <c r="HA87" s="227" t="n"/>
      <c r="HB87" s="227" t="n"/>
      <c r="HC87" s="227" t="n"/>
      <c r="HD87" s="227" t="n"/>
      <c r="HE87" s="227" t="n"/>
      <c r="HF87" s="227" t="n"/>
      <c r="HG87" s="227" t="n"/>
      <c r="HH87" s="227" t="n"/>
      <c r="HI87" s="227" t="n"/>
      <c r="HJ87" s="227" t="n"/>
      <c r="HK87" s="227" t="n"/>
      <c r="HL87" s="227" t="n"/>
      <c r="HM87" s="227" t="n"/>
      <c r="HN87" s="227" t="n"/>
      <c r="HO87" s="227" t="n"/>
      <c r="HP87" s="227" t="n"/>
      <c r="HQ87" s="227" t="n"/>
      <c r="HR87" s="227" t="n"/>
      <c r="HS87" s="227" t="n"/>
      <c r="HT87" s="227" t="n"/>
      <c r="HU87" s="227" t="n"/>
      <c r="HV87" s="227" t="n"/>
      <c r="HW87" s="227" t="n"/>
      <c r="HX87" s="227" t="n"/>
      <c r="HY87" s="227" t="n"/>
      <c r="HZ87" s="227" t="n"/>
      <c r="IA87" s="227" t="n"/>
      <c r="IB87" s="227" t="n"/>
      <c r="IC87" s="227" t="n"/>
      <c r="ID87" s="227" t="n"/>
      <c r="IE87" s="227" t="n"/>
      <c r="IF87" s="227" t="n"/>
      <c r="IG87" s="227" t="n"/>
      <c r="IH87" s="227" t="n"/>
      <c r="II87" s="227" t="n"/>
      <c r="IJ87" s="227" t="n"/>
      <c r="IK87" s="227" t="n"/>
      <c r="IL87" s="227" t="n"/>
      <c r="IM87" s="227" t="n"/>
      <c r="IN87" s="227" t="n"/>
      <c r="IO87" s="227" t="n"/>
      <c r="IP87" s="227" t="n"/>
      <c r="IQ87" s="227" t="n"/>
      <c r="IR87" s="227" t="n"/>
      <c r="IS87" s="227" t="n"/>
      <c r="IT87" s="227" t="n"/>
      <c r="IU87" s="227" t="n"/>
      <c r="IV87" s="227" t="n"/>
      <c r="IW87" s="227" t="n"/>
      <c r="IX87" s="227" t="n"/>
      <c r="IY87" s="227" t="n"/>
      <c r="IZ87" s="227" t="n"/>
      <c r="JA87" s="227" t="n"/>
      <c r="JB87" s="227" t="n"/>
      <c r="JC87" s="227" t="n"/>
      <c r="JD87" s="227" t="n"/>
      <c r="JE87" s="227" t="n"/>
      <c r="JF87" s="227" t="n"/>
      <c r="JG87" s="227" t="n"/>
      <c r="JH87" s="227" t="n"/>
      <c r="JI87" s="227" t="n"/>
      <c r="JJ87" s="227" t="n"/>
      <c r="JK87" s="227" t="n"/>
      <c r="JL87" s="227" t="n"/>
      <c r="JM87" s="227" t="n"/>
      <c r="JN87" s="227" t="n"/>
      <c r="JO87" s="227" t="n"/>
      <c r="JP87" s="227" t="n"/>
      <c r="JQ87" s="227" t="n"/>
      <c r="JR87" s="227" t="n"/>
      <c r="JS87" s="227" t="n"/>
      <c r="JT87" s="227" t="n"/>
      <c r="JU87" s="227" t="n"/>
      <c r="JV87" s="227" t="n"/>
      <c r="JW87" s="227" t="n"/>
      <c r="JX87" s="227" t="n"/>
      <c r="JY87" s="227" t="n"/>
      <c r="JZ87" s="227" t="n"/>
      <c r="KA87" s="227" t="n"/>
      <c r="KB87" s="227" t="n"/>
      <c r="KC87" s="227" t="n"/>
      <c r="KD87" s="227" t="n"/>
      <c r="KE87" s="227" t="n"/>
      <c r="KF87" s="227" t="n"/>
      <c r="KG87" s="227" t="n"/>
      <c r="KH87" s="227" t="n"/>
      <c r="KI87" s="227" t="n"/>
      <c r="KJ87" s="227" t="n"/>
      <c r="KK87" s="227" t="n"/>
      <c r="KL87" s="227" t="n"/>
      <c r="KM87" s="227" t="n"/>
      <c r="KN87" s="227" t="n"/>
      <c r="KO87" s="227" t="n"/>
      <c r="KP87" s="227" t="n"/>
      <c r="KQ87" s="227" t="n"/>
      <c r="KR87" s="227" t="n"/>
      <c r="KS87" s="227" t="n"/>
      <c r="KT87" s="227" t="n"/>
      <c r="KU87" s="227" t="n"/>
      <c r="KV87" s="227" t="n"/>
      <c r="KW87" s="227" t="n"/>
      <c r="KX87" s="227" t="n"/>
      <c r="KY87" s="227" t="n"/>
      <c r="KZ87" s="227" t="n"/>
      <c r="LA87" s="227" t="n"/>
      <c r="LB87" s="227" t="n"/>
      <c r="LC87" s="227" t="n"/>
      <c r="LD87" s="227" t="n"/>
      <c r="LE87" s="227" t="n"/>
      <c r="LF87" s="227" t="n"/>
      <c r="LG87" s="227" t="n"/>
      <c r="LH87" s="227" t="n"/>
      <c r="LI87" s="227" t="n"/>
      <c r="LJ87" s="227" t="n"/>
      <c r="LK87" s="227" t="n"/>
      <c r="LL87" s="227" t="n"/>
      <c r="LM87" s="227" t="n"/>
      <c r="LN87" s="227" t="n"/>
      <c r="LO87" s="227" t="n"/>
      <c r="LP87" s="227" t="n"/>
      <c r="LQ87" s="227" t="n"/>
      <c r="LR87" s="227" t="n"/>
      <c r="LS87" s="227" t="n"/>
      <c r="LT87" s="227" t="n"/>
      <c r="LU87" s="227" t="n"/>
      <c r="LV87" s="227" t="n"/>
      <c r="LW87" s="227" t="n"/>
      <c r="LX87" s="227" t="n"/>
      <c r="LY87" s="227" t="n"/>
      <c r="LZ87" s="227" t="n"/>
      <c r="MA87" s="227" t="n"/>
      <c r="MB87" s="227" t="n"/>
      <c r="MC87" s="227" t="n"/>
      <c r="MD87" s="227" t="n"/>
      <c r="ME87" s="227" t="n"/>
      <c r="MF87" s="227" t="n"/>
      <c r="MG87" s="227" t="n"/>
      <c r="MH87" s="227" t="n"/>
      <c r="MI87" s="227" t="n"/>
      <c r="MJ87" s="227" t="n"/>
      <c r="MK87" s="227" t="n"/>
      <c r="ML87" s="227" t="n"/>
      <c r="MM87" s="227" t="n"/>
      <c r="MN87" s="227" t="n"/>
      <c r="MO87" s="227" t="n"/>
      <c r="MP87" s="227" t="n"/>
      <c r="MQ87" s="227" t="n"/>
      <c r="MR87" s="227" t="n"/>
      <c r="MS87" s="227" t="n"/>
      <c r="MT87" s="227" t="n"/>
      <c r="MU87" s="227" t="n"/>
      <c r="MV87" s="227" t="n"/>
      <c r="MW87" s="227" t="n"/>
      <c r="MX87" s="227" t="n"/>
      <c r="MY87" s="227" t="n"/>
      <c r="MZ87" s="227" t="n"/>
      <c r="NA87" s="227" t="n"/>
      <c r="NB87" s="227" t="n"/>
      <c r="NC87" s="228">
        <f>SUM(B87:NB87)</f>
        <v/>
      </c>
    </row>
    <row r="88" ht="14.25" customHeight="1" s="166">
      <c r="A88" s="214" t="inlineStr">
        <is>
          <t>BTU-60-04-02</t>
        </is>
      </c>
      <c r="B88" s="227" t="n"/>
      <c r="C88" s="227" t="n"/>
      <c r="D88" s="227" t="n"/>
      <c r="E88" s="227" t="n"/>
      <c r="F88" s="227" t="n"/>
      <c r="G88" s="227" t="n"/>
      <c r="H88" s="227" t="n"/>
      <c r="I88" s="227" t="n"/>
      <c r="J88" s="227" t="n"/>
      <c r="K88" s="227" t="n"/>
      <c r="L88" s="227" t="n"/>
      <c r="M88" s="227" t="n"/>
      <c r="N88" s="227" t="n"/>
      <c r="O88" s="227" t="n"/>
      <c r="P88" s="227" t="n"/>
      <c r="Q88" s="227" t="n"/>
      <c r="R88" s="227" t="n"/>
      <c r="S88" s="227" t="n"/>
      <c r="T88" s="227" t="n"/>
      <c r="U88" s="227" t="n"/>
      <c r="V88" s="227" t="n"/>
      <c r="W88" s="227" t="n"/>
      <c r="X88" s="227" t="n"/>
      <c r="Y88" s="227" t="n"/>
      <c r="Z88" s="227" t="n"/>
      <c r="AA88" s="227" t="n"/>
      <c r="AB88" s="227" t="n"/>
      <c r="AC88" s="227" t="n"/>
      <c r="AD88" s="227" t="n"/>
      <c r="AE88" s="227" t="n"/>
      <c r="AF88" s="227" t="n"/>
      <c r="AG88" s="227" t="n"/>
      <c r="AH88" s="227" t="n"/>
      <c r="AI88" s="227" t="n"/>
      <c r="AJ88" s="227" t="n"/>
      <c r="AK88" s="227" t="n"/>
      <c r="AL88" s="227" t="n"/>
      <c r="AM88" s="227" t="n"/>
      <c r="AN88" s="227" t="n"/>
      <c r="AO88" s="227" t="n"/>
      <c r="AP88" s="227" t="n"/>
      <c r="AQ88" s="227" t="n"/>
      <c r="AR88" s="227" t="n"/>
      <c r="AS88" s="227" t="n"/>
      <c r="AT88" s="227" t="n"/>
      <c r="AU88" s="227" t="n"/>
      <c r="AV88" s="227" t="n"/>
      <c r="AW88" s="227" t="n"/>
      <c r="AX88" s="227" t="n"/>
      <c r="AY88" s="227" t="n"/>
      <c r="AZ88" s="227" t="n"/>
      <c r="BA88" s="227" t="n"/>
      <c r="BB88" s="227" t="n"/>
      <c r="BC88" s="227" t="n"/>
      <c r="BD88" s="227" t="n"/>
      <c r="BE88" s="227" t="n"/>
      <c r="BF88" s="227" t="n"/>
      <c r="BG88" s="227" t="n"/>
      <c r="BH88" s="227" t="n"/>
      <c r="BI88" s="227" t="n"/>
      <c r="BJ88" s="227" t="n"/>
      <c r="BK88" s="227" t="n"/>
      <c r="BL88" s="227" t="n"/>
      <c r="BM88" s="227" t="n"/>
      <c r="BN88" s="227" t="n"/>
      <c r="BO88" s="227" t="n"/>
      <c r="BP88" s="227" t="n"/>
      <c r="BQ88" s="227" t="n"/>
      <c r="BR88" s="227" t="n"/>
      <c r="BS88" s="227" t="n"/>
      <c r="BT88" s="227" t="n"/>
      <c r="BU88" s="227" t="n"/>
      <c r="BV88" s="227" t="n"/>
      <c r="BW88" s="227" t="n"/>
      <c r="BX88" s="227" t="n"/>
      <c r="BY88" s="227" t="n"/>
      <c r="BZ88" s="227" t="n"/>
      <c r="CA88" s="227" t="n"/>
      <c r="CB88" s="227" t="n"/>
      <c r="CC88" s="227" t="n"/>
      <c r="CD88" s="227" t="n"/>
      <c r="CE88" s="227" t="n"/>
      <c r="CF88" s="227" t="n"/>
      <c r="CG88" s="227" t="n"/>
      <c r="CH88" s="227" t="n"/>
      <c r="CI88" s="227" t="n"/>
      <c r="CJ88" s="227" t="n"/>
      <c r="CK88" s="227" t="n"/>
      <c r="CL88" s="227" t="n"/>
      <c r="CM88" s="227" t="n"/>
      <c r="CN88" s="227" t="n"/>
      <c r="CO88" s="227" t="n"/>
      <c r="CP88" s="227" t="n"/>
      <c r="CQ88" s="227" t="n"/>
      <c r="CR88" s="227" t="n"/>
      <c r="CS88" s="227" t="n"/>
      <c r="CT88" s="227" t="n"/>
      <c r="CU88" s="227" t="n"/>
      <c r="CV88" s="227" t="n"/>
      <c r="CW88" s="227" t="n"/>
      <c r="CX88" s="227" t="n"/>
      <c r="CY88" s="227" t="n"/>
      <c r="CZ88" s="227" t="n"/>
      <c r="DA88" s="227" t="n"/>
      <c r="DB88" s="227" t="n"/>
      <c r="DC88" s="227" t="n"/>
      <c r="DD88" s="227" t="n"/>
      <c r="DE88" s="227" t="n"/>
      <c r="DF88" s="227" t="n"/>
      <c r="DG88" s="227" t="n"/>
      <c r="DH88" s="227" t="n"/>
      <c r="DI88" s="227" t="n"/>
      <c r="DJ88" s="227" t="n"/>
      <c r="DK88" s="227" t="n"/>
      <c r="DL88" s="227" t="n"/>
      <c r="DM88" s="227" t="n"/>
      <c r="DN88" s="227" t="n"/>
      <c r="DO88" s="227" t="n"/>
      <c r="DP88" s="227" t="n"/>
      <c r="DQ88" s="227" t="n"/>
      <c r="DR88" s="227" t="n"/>
      <c r="DS88" s="227" t="n"/>
      <c r="DT88" s="227" t="n"/>
      <c r="DU88" s="227" t="n"/>
      <c r="DV88" s="227" t="n"/>
      <c r="DW88" s="227" t="n"/>
      <c r="DX88" s="227" t="n"/>
      <c r="DY88" s="227" t="n"/>
      <c r="DZ88" s="227" t="n"/>
      <c r="EA88" s="227" t="n"/>
      <c r="EB88" s="227" t="n"/>
      <c r="EC88" s="227" t="n"/>
      <c r="ED88" s="227" t="n"/>
      <c r="EE88" s="227" t="n"/>
      <c r="EF88" s="227" t="n"/>
      <c r="EG88" s="227" t="n"/>
      <c r="EH88" s="227" t="n"/>
      <c r="EI88" s="227" t="n"/>
      <c r="EJ88" s="227" t="n"/>
      <c r="EK88" s="227" t="n"/>
      <c r="EL88" s="227" t="n"/>
      <c r="EM88" s="227" t="n"/>
      <c r="EN88" s="227" t="n"/>
      <c r="EO88" s="227" t="n"/>
      <c r="EP88" s="227" t="n"/>
      <c r="EQ88" s="227" t="n"/>
      <c r="ER88" s="227" t="n"/>
      <c r="ES88" s="227" t="n"/>
      <c r="ET88" s="227" t="n"/>
      <c r="EU88" s="227" t="n"/>
      <c r="EV88" s="227" t="n"/>
      <c r="EW88" s="227" t="n"/>
      <c r="EX88" s="227" t="n"/>
      <c r="EY88" s="227" t="n"/>
      <c r="EZ88" s="227" t="n"/>
      <c r="FA88" s="227" t="n"/>
      <c r="FB88" s="227" t="n"/>
      <c r="FC88" s="227" t="n"/>
      <c r="FD88" s="227" t="n"/>
      <c r="FE88" s="227" t="n"/>
      <c r="FF88" s="227" t="n"/>
      <c r="FG88" s="227" t="n"/>
      <c r="FH88" s="227" t="n"/>
      <c r="FI88" s="227" t="n"/>
      <c r="FJ88" s="227" t="n"/>
      <c r="FK88" s="227" t="n"/>
      <c r="FL88" s="227" t="n"/>
      <c r="FM88" s="227" t="n"/>
      <c r="FN88" s="227" t="n"/>
      <c r="FO88" s="227" t="n"/>
      <c r="FP88" s="227" t="n"/>
      <c r="FQ88" s="227" t="n"/>
      <c r="FR88" s="227" t="n"/>
      <c r="FS88" s="227" t="n"/>
      <c r="FT88" s="227" t="n"/>
      <c r="FU88" s="227" t="n"/>
      <c r="FV88" s="227" t="n"/>
      <c r="FW88" s="227" t="n"/>
      <c r="FX88" s="227" t="n"/>
      <c r="FY88" s="227" t="n"/>
      <c r="FZ88" s="227" t="n"/>
      <c r="GA88" s="227" t="n"/>
      <c r="GB88" s="227" t="n"/>
      <c r="GC88" s="227" t="n"/>
      <c r="GD88" s="227" t="n"/>
      <c r="GE88" s="227" t="n"/>
      <c r="GF88" s="227" t="n"/>
      <c r="GG88" s="227" t="n"/>
      <c r="GH88" s="227" t="n"/>
      <c r="GI88" s="227" t="n"/>
      <c r="GJ88" s="227" t="n"/>
      <c r="GK88" s="227" t="n"/>
      <c r="GL88" s="227" t="n"/>
      <c r="GM88" s="227" t="n"/>
      <c r="GN88" s="227" t="n"/>
      <c r="GO88" s="227" t="n"/>
      <c r="GP88" s="227" t="n"/>
      <c r="GQ88" s="227" t="n"/>
      <c r="GR88" s="227" t="n"/>
      <c r="GS88" s="227" t="n"/>
      <c r="GT88" s="227" t="n"/>
      <c r="GU88" s="227" t="n"/>
      <c r="GV88" s="227" t="n"/>
      <c r="GW88" s="227" t="n"/>
      <c r="GX88" s="227" t="n"/>
      <c r="GY88" s="227" t="n"/>
      <c r="GZ88" s="227" t="n"/>
      <c r="HA88" s="227" t="n"/>
      <c r="HB88" s="227" t="n"/>
      <c r="HC88" s="227" t="n"/>
      <c r="HD88" s="227" t="n"/>
      <c r="HE88" s="227" t="n"/>
      <c r="HF88" s="227" t="n"/>
      <c r="HG88" s="227" t="n"/>
      <c r="HH88" s="227" t="n"/>
      <c r="HI88" s="227" t="n"/>
      <c r="HJ88" s="227" t="n"/>
      <c r="HK88" s="227" t="n"/>
      <c r="HL88" s="227" t="n"/>
      <c r="HM88" s="227" t="n"/>
      <c r="HN88" s="227" t="n"/>
      <c r="HO88" s="227" t="n"/>
      <c r="HP88" s="227" t="n"/>
      <c r="HQ88" s="227" t="n"/>
      <c r="HR88" s="227" t="n"/>
      <c r="HS88" s="227" t="n"/>
      <c r="HT88" s="227" t="n"/>
      <c r="HU88" s="227" t="n"/>
      <c r="HV88" s="227" t="n"/>
      <c r="HW88" s="227" t="n"/>
      <c r="HX88" s="227" t="n"/>
      <c r="HY88" s="227" t="n"/>
      <c r="HZ88" s="227" t="n"/>
      <c r="IA88" s="227" t="n"/>
      <c r="IB88" s="227" t="n"/>
      <c r="IC88" s="227" t="n"/>
      <c r="ID88" s="227" t="n"/>
      <c r="IE88" s="227" t="n"/>
      <c r="IF88" s="227" t="n"/>
      <c r="IG88" s="227" t="n"/>
      <c r="IH88" s="227" t="n"/>
      <c r="II88" s="227" t="n"/>
      <c r="IJ88" s="227" t="n"/>
      <c r="IK88" s="227" t="n"/>
      <c r="IL88" s="227" t="n"/>
      <c r="IM88" s="227" t="n"/>
      <c r="IN88" s="227" t="n"/>
      <c r="IO88" s="227" t="n"/>
      <c r="IP88" s="227" t="n"/>
      <c r="IQ88" s="227" t="n"/>
      <c r="IR88" s="227" t="n"/>
      <c r="IS88" s="227" t="n"/>
      <c r="IT88" s="227" t="n"/>
      <c r="IU88" s="227" t="n"/>
      <c r="IV88" s="227" t="n"/>
      <c r="IW88" s="227" t="n"/>
      <c r="IX88" s="227" t="n"/>
      <c r="IY88" s="227" t="n"/>
      <c r="IZ88" s="227" t="n"/>
      <c r="JA88" s="227" t="n"/>
      <c r="JB88" s="227" t="n"/>
      <c r="JC88" s="227" t="n"/>
      <c r="JD88" s="227" t="n"/>
      <c r="JE88" s="227" t="n"/>
      <c r="JF88" s="227" t="n"/>
      <c r="JG88" s="227" t="n"/>
      <c r="JH88" s="227" t="n"/>
      <c r="JI88" s="227" t="n"/>
      <c r="JJ88" s="227" t="n"/>
      <c r="JK88" s="227" t="n"/>
      <c r="JL88" s="227" t="n"/>
      <c r="JM88" s="227" t="n"/>
      <c r="JN88" s="227" t="n"/>
      <c r="JO88" s="227" t="n"/>
      <c r="JP88" s="227" t="n"/>
      <c r="JQ88" s="227" t="n"/>
      <c r="JR88" s="227" t="n"/>
      <c r="JS88" s="227" t="n"/>
      <c r="JT88" s="227" t="n"/>
      <c r="JU88" s="227" t="n"/>
      <c r="JV88" s="227" t="n"/>
      <c r="JW88" s="227" t="n"/>
      <c r="JX88" s="227" t="n"/>
      <c r="JY88" s="227" t="n"/>
      <c r="JZ88" s="227" t="n"/>
      <c r="KA88" s="227" t="n"/>
      <c r="KB88" s="227" t="n"/>
      <c r="KC88" s="227" t="n"/>
      <c r="KD88" s="227" t="n"/>
      <c r="KE88" s="227" t="n"/>
      <c r="KF88" s="227" t="n"/>
      <c r="KG88" s="227" t="n"/>
      <c r="KH88" s="227" t="n"/>
      <c r="KI88" s="227" t="n"/>
      <c r="KJ88" s="227" t="n"/>
      <c r="KK88" s="227" t="n"/>
      <c r="KL88" s="227" t="n"/>
      <c r="KM88" s="227" t="n"/>
      <c r="KN88" s="227" t="n"/>
      <c r="KO88" s="227" t="n"/>
      <c r="KP88" s="227" t="n"/>
      <c r="KQ88" s="227" t="n"/>
      <c r="KR88" s="227" t="n"/>
      <c r="KS88" s="227" t="n"/>
      <c r="KT88" s="227" t="n"/>
      <c r="KU88" s="227" t="n"/>
      <c r="KV88" s="227" t="n"/>
      <c r="KW88" s="227" t="n"/>
      <c r="KX88" s="227" t="n"/>
      <c r="KY88" s="227" t="n"/>
      <c r="KZ88" s="227" t="n"/>
      <c r="LA88" s="227" t="n"/>
      <c r="LB88" s="227" t="n"/>
      <c r="LC88" s="227" t="n"/>
      <c r="LD88" s="227" t="n"/>
      <c r="LE88" s="227" t="n"/>
      <c r="LF88" s="227" t="n"/>
      <c r="LG88" s="227" t="n"/>
      <c r="LH88" s="227" t="n"/>
      <c r="LI88" s="227" t="n"/>
      <c r="LJ88" s="227" t="n"/>
      <c r="LK88" s="227" t="n"/>
      <c r="LL88" s="227" t="n"/>
      <c r="LM88" s="227" t="n"/>
      <c r="LN88" s="227" t="n"/>
      <c r="LO88" s="227" t="n"/>
      <c r="LP88" s="227" t="n"/>
      <c r="LQ88" s="227" t="n"/>
      <c r="LR88" s="227" t="n"/>
      <c r="LS88" s="227" t="n"/>
      <c r="LT88" s="227" t="n"/>
      <c r="LU88" s="227" t="n"/>
      <c r="LV88" s="227" t="n"/>
      <c r="LW88" s="227" t="n"/>
      <c r="LX88" s="227" t="n"/>
      <c r="LY88" s="227" t="n"/>
      <c r="LZ88" s="227" t="n"/>
      <c r="MA88" s="227" t="n"/>
      <c r="MB88" s="227" t="n"/>
      <c r="MC88" s="227" t="n"/>
      <c r="MD88" s="227" t="n"/>
      <c r="ME88" s="227" t="n"/>
      <c r="MF88" s="227" t="n"/>
      <c r="MG88" s="227" t="n"/>
      <c r="MH88" s="227" t="n"/>
      <c r="MI88" s="227" t="n"/>
      <c r="MJ88" s="227" t="n"/>
      <c r="MK88" s="227" t="n"/>
      <c r="ML88" s="227" t="n"/>
      <c r="MM88" s="227" t="n"/>
      <c r="MN88" s="227" t="n"/>
      <c r="MO88" s="227" t="n"/>
      <c r="MP88" s="227" t="n"/>
      <c r="MQ88" s="227" t="n"/>
      <c r="MR88" s="227" t="n"/>
      <c r="MS88" s="227" t="n"/>
      <c r="MT88" s="227" t="n"/>
      <c r="MU88" s="227" t="n"/>
      <c r="MV88" s="227" t="n"/>
      <c r="MW88" s="227" t="n"/>
      <c r="MX88" s="227" t="n"/>
      <c r="MY88" s="227" t="n"/>
      <c r="MZ88" s="227" t="n"/>
      <c r="NA88" s="227" t="n"/>
      <c r="NB88" s="227" t="n"/>
      <c r="NC88" s="228">
        <f>SUM(B88:NB88)</f>
        <v/>
      </c>
    </row>
    <row r="89" ht="14.25" customHeight="1" s="166">
      <c r="A89" s="214" t="inlineStr">
        <is>
          <t>BTU-13-03-01</t>
        </is>
      </c>
      <c r="B89" s="227" t="n"/>
      <c r="C89" s="227" t="n"/>
      <c r="D89" s="227" t="n"/>
      <c r="E89" s="227" t="n"/>
      <c r="F89" s="227" t="n"/>
      <c r="G89" s="227" t="n"/>
      <c r="H89" s="227" t="n"/>
      <c r="I89" s="227" t="n"/>
      <c r="J89" s="227" t="n"/>
      <c r="K89" s="227" t="n"/>
      <c r="L89" s="227" t="n"/>
      <c r="M89" s="227" t="n"/>
      <c r="N89" s="227" t="n"/>
      <c r="O89" s="227" t="n"/>
      <c r="P89" s="227" t="n"/>
      <c r="Q89" s="227" t="n"/>
      <c r="R89" s="227" t="n"/>
      <c r="S89" s="227" t="n"/>
      <c r="T89" s="227" t="n"/>
      <c r="U89" s="227" t="n"/>
      <c r="V89" s="227" t="n"/>
      <c r="W89" s="227" t="n"/>
      <c r="X89" s="227" t="n"/>
      <c r="Y89" s="227" t="n"/>
      <c r="Z89" s="227" t="n"/>
      <c r="AA89" s="227" t="n"/>
      <c r="AB89" s="227" t="n"/>
      <c r="AC89" s="227" t="n"/>
      <c r="AD89" s="227" t="n"/>
      <c r="AE89" s="227" t="n"/>
      <c r="AF89" s="227" t="n"/>
      <c r="AG89" s="227" t="n"/>
      <c r="AH89" s="227" t="n"/>
      <c r="AI89" s="227" t="n"/>
      <c r="AJ89" s="227" t="n"/>
      <c r="AK89" s="227" t="n"/>
      <c r="AL89" s="227" t="n"/>
      <c r="AM89" s="227" t="n"/>
      <c r="AN89" s="227" t="n"/>
      <c r="AO89" s="227" t="n"/>
      <c r="AP89" s="227" t="n"/>
      <c r="AQ89" s="227" t="n"/>
      <c r="AR89" s="227" t="n"/>
      <c r="AS89" s="227" t="n"/>
      <c r="AT89" s="227" t="n"/>
      <c r="AU89" s="227" t="n"/>
      <c r="AV89" s="227" t="n"/>
      <c r="AW89" s="227" t="n"/>
      <c r="AX89" s="227" t="n"/>
      <c r="AY89" s="227" t="n"/>
      <c r="AZ89" s="227" t="n"/>
      <c r="BA89" s="227" t="n"/>
      <c r="BB89" s="227" t="n"/>
      <c r="BC89" s="227" t="n"/>
      <c r="BD89" s="227" t="n"/>
      <c r="BE89" s="227" t="n"/>
      <c r="BF89" s="227" t="n"/>
      <c r="BG89" s="227" t="n"/>
      <c r="BH89" s="227" t="n"/>
      <c r="BI89" s="227" t="n"/>
      <c r="BJ89" s="227" t="n"/>
      <c r="BK89" s="227" t="n"/>
      <c r="BL89" s="227" t="n"/>
      <c r="BM89" s="227" t="n"/>
      <c r="BN89" s="227" t="n"/>
      <c r="BO89" s="227" t="n"/>
      <c r="BP89" s="227" t="n"/>
      <c r="BQ89" s="227" t="n"/>
      <c r="BR89" s="227" t="n"/>
      <c r="BS89" s="227" t="n"/>
      <c r="BT89" s="227" t="n"/>
      <c r="BU89" s="227" t="n"/>
      <c r="BV89" s="227" t="n"/>
      <c r="BW89" s="227" t="n"/>
      <c r="BX89" s="227" t="n"/>
      <c r="BY89" s="227" t="n"/>
      <c r="BZ89" s="227" t="n"/>
      <c r="CA89" s="227" t="n"/>
      <c r="CB89" s="227" t="n"/>
      <c r="CC89" s="227" t="n"/>
      <c r="CD89" s="227" t="n"/>
      <c r="CE89" s="227" t="n"/>
      <c r="CF89" s="227" t="n"/>
      <c r="CG89" s="227" t="n"/>
      <c r="CH89" s="227" t="n"/>
      <c r="CI89" s="227" t="n"/>
      <c r="CJ89" s="227" t="n"/>
      <c r="CK89" s="227" t="n"/>
      <c r="CL89" s="227" t="n"/>
      <c r="CM89" s="227" t="n"/>
      <c r="CN89" s="227" t="n"/>
      <c r="CO89" s="227" t="n"/>
      <c r="CP89" s="227" t="n"/>
      <c r="CQ89" s="227" t="n"/>
      <c r="CR89" s="227" t="n"/>
      <c r="CS89" s="227" t="n"/>
      <c r="CT89" s="227" t="n"/>
      <c r="CU89" s="227" t="n"/>
      <c r="CV89" s="227" t="n"/>
      <c r="CW89" s="227" t="n"/>
      <c r="CX89" s="227" t="n"/>
      <c r="CY89" s="227" t="n"/>
      <c r="CZ89" s="227" t="n"/>
      <c r="DA89" s="227" t="n"/>
      <c r="DB89" s="227" t="n"/>
      <c r="DC89" s="227" t="n"/>
      <c r="DD89" s="227" t="n"/>
      <c r="DE89" s="227" t="n"/>
      <c r="DF89" s="227" t="n"/>
      <c r="DG89" s="227" t="n"/>
      <c r="DH89" s="227" t="n"/>
      <c r="DI89" s="227" t="n"/>
      <c r="DJ89" s="227" t="n"/>
      <c r="DK89" s="227" t="n"/>
      <c r="DL89" s="227" t="n"/>
      <c r="DM89" s="227" t="n"/>
      <c r="DN89" s="227" t="n"/>
      <c r="DO89" s="227" t="n"/>
      <c r="DP89" s="227" t="n"/>
      <c r="DQ89" s="227" t="n"/>
      <c r="DR89" s="227" t="n"/>
      <c r="DS89" s="227" t="n"/>
      <c r="DT89" s="227" t="n"/>
      <c r="DU89" s="227" t="n"/>
      <c r="DV89" s="227" t="n"/>
      <c r="DW89" s="227" t="n"/>
      <c r="DX89" s="227" t="n"/>
      <c r="DY89" s="227" t="n"/>
      <c r="DZ89" s="227" t="n"/>
      <c r="EA89" s="227" t="n"/>
      <c r="EB89" s="227" t="n"/>
      <c r="EC89" s="227" t="n"/>
      <c r="ED89" s="227" t="n"/>
      <c r="EE89" s="227" t="n"/>
      <c r="EF89" s="227" t="n"/>
      <c r="EG89" s="227" t="n"/>
      <c r="EH89" s="227" t="n"/>
      <c r="EI89" s="227" t="n"/>
      <c r="EJ89" s="227" t="n"/>
      <c r="EK89" s="227" t="n"/>
      <c r="EL89" s="227" t="n"/>
      <c r="EM89" s="227" t="n"/>
      <c r="EN89" s="227" t="n"/>
      <c r="EO89" s="227" t="n"/>
      <c r="EP89" s="227" t="n"/>
      <c r="EQ89" s="227" t="n"/>
      <c r="ER89" s="227" t="n"/>
      <c r="ES89" s="227" t="n"/>
      <c r="ET89" s="227" t="n"/>
      <c r="EU89" s="227" t="n"/>
      <c r="EV89" s="227" t="n"/>
      <c r="EW89" s="227" t="n"/>
      <c r="EX89" s="227" t="n"/>
      <c r="EY89" s="227" t="n"/>
      <c r="EZ89" s="227" t="n"/>
      <c r="FA89" s="227" t="n"/>
      <c r="FB89" s="227" t="n"/>
      <c r="FC89" s="227" t="n"/>
      <c r="FD89" s="227" t="n"/>
      <c r="FE89" s="227" t="n"/>
      <c r="FF89" s="227" t="n"/>
      <c r="FG89" s="227" t="n"/>
      <c r="FH89" s="227" t="n"/>
      <c r="FI89" s="227" t="n"/>
      <c r="FJ89" s="227" t="n"/>
      <c r="FK89" s="227" t="n"/>
      <c r="FL89" s="227" t="n"/>
      <c r="FM89" s="227" t="n"/>
      <c r="FN89" s="227" t="n"/>
      <c r="FO89" s="227" t="n"/>
      <c r="FP89" s="227" t="n"/>
      <c r="FQ89" s="227" t="n"/>
      <c r="FR89" s="227" t="n"/>
      <c r="FS89" s="227" t="n"/>
      <c r="FT89" s="227" t="n"/>
      <c r="FU89" s="227" t="n"/>
      <c r="FV89" s="227" t="n"/>
      <c r="FW89" s="227" t="n"/>
      <c r="FX89" s="227" t="n"/>
      <c r="FY89" s="227" t="n"/>
      <c r="FZ89" s="227" t="n"/>
      <c r="GA89" s="227" t="n"/>
      <c r="GB89" s="227" t="n"/>
      <c r="GC89" s="227" t="n"/>
      <c r="GD89" s="227" t="n"/>
      <c r="GE89" s="227" t="n"/>
      <c r="GF89" s="227" t="n"/>
      <c r="GG89" s="227" t="n"/>
      <c r="GH89" s="227" t="n"/>
      <c r="GI89" s="227" t="n"/>
      <c r="GJ89" s="227" t="n"/>
      <c r="GK89" s="227" t="n"/>
      <c r="GL89" s="227" t="n"/>
      <c r="GM89" s="227" t="n"/>
      <c r="GN89" s="227" t="n"/>
      <c r="GO89" s="227" t="n"/>
      <c r="GP89" s="227" t="n"/>
      <c r="GQ89" s="227" t="n"/>
      <c r="GR89" s="227" t="n"/>
      <c r="GS89" s="227" t="n"/>
      <c r="GT89" s="227" t="n"/>
      <c r="GU89" s="227" t="n"/>
      <c r="GV89" s="227" t="n"/>
      <c r="GW89" s="227" t="n"/>
      <c r="GX89" s="227" t="n"/>
      <c r="GY89" s="227" t="n"/>
      <c r="GZ89" s="227" t="n"/>
      <c r="HA89" s="227" t="n"/>
      <c r="HB89" s="227" t="n"/>
      <c r="HC89" s="227" t="n"/>
      <c r="HD89" s="227" t="n"/>
      <c r="HE89" s="227" t="n"/>
      <c r="HF89" s="227" t="n"/>
      <c r="HG89" s="227" t="n"/>
      <c r="HH89" s="227" t="n"/>
      <c r="HI89" s="227" t="n"/>
      <c r="HJ89" s="227" t="n"/>
      <c r="HK89" s="227" t="n"/>
      <c r="HL89" s="227" t="n"/>
      <c r="HM89" s="227" t="n"/>
      <c r="HN89" s="227" t="n"/>
      <c r="HO89" s="227" t="n"/>
      <c r="HP89" s="227" t="n"/>
      <c r="HQ89" s="227" t="n"/>
      <c r="HR89" s="227" t="n"/>
      <c r="HS89" s="227" t="n"/>
      <c r="HT89" s="227" t="n"/>
      <c r="HU89" s="227" t="n"/>
      <c r="HV89" s="227" t="n"/>
      <c r="HW89" s="227" t="n"/>
      <c r="HX89" s="227" t="n"/>
      <c r="HY89" s="227" t="n"/>
      <c r="HZ89" s="227" t="n"/>
      <c r="IA89" s="227" t="n"/>
      <c r="IB89" s="227" t="n"/>
      <c r="IC89" s="227" t="n"/>
      <c r="ID89" s="227" t="n"/>
      <c r="IE89" s="227" t="n"/>
      <c r="IF89" s="227" t="n"/>
      <c r="IG89" s="227" t="n"/>
      <c r="IH89" s="227" t="n"/>
      <c r="II89" s="227" t="n"/>
      <c r="IJ89" s="227" t="n"/>
      <c r="IK89" s="227" t="n"/>
      <c r="IL89" s="227" t="n"/>
      <c r="IM89" s="227" t="n"/>
      <c r="IN89" s="227" t="n"/>
      <c r="IO89" s="227" t="n"/>
      <c r="IP89" s="227" t="n"/>
      <c r="IQ89" s="227" t="n"/>
      <c r="IR89" s="227" t="n"/>
      <c r="IS89" s="227" t="n"/>
      <c r="IT89" s="227" t="n"/>
      <c r="IU89" s="227" t="n"/>
      <c r="IV89" s="227" t="n"/>
      <c r="IW89" s="227" t="n"/>
      <c r="IX89" s="227" t="n"/>
      <c r="IY89" s="227" t="n"/>
      <c r="IZ89" s="227" t="n"/>
      <c r="JA89" s="227" t="n"/>
      <c r="JB89" s="227" t="n"/>
      <c r="JC89" s="227" t="n"/>
      <c r="JD89" s="227" t="n"/>
      <c r="JE89" s="227" t="n"/>
      <c r="JF89" s="227" t="n"/>
      <c r="JG89" s="227" t="n"/>
      <c r="JH89" s="227" t="n"/>
      <c r="JI89" s="227" t="n"/>
      <c r="JJ89" s="227" t="n"/>
      <c r="JK89" s="227" t="n"/>
      <c r="JL89" s="227" t="n"/>
      <c r="JM89" s="227" t="n"/>
      <c r="JN89" s="227" t="n"/>
      <c r="JO89" s="227" t="n"/>
      <c r="JP89" s="227" t="n"/>
      <c r="JQ89" s="227" t="n"/>
      <c r="JR89" s="227" t="n"/>
      <c r="JS89" s="227" t="n"/>
      <c r="JT89" s="227" t="n"/>
      <c r="JU89" s="227" t="n"/>
      <c r="JV89" s="227" t="n"/>
      <c r="JW89" s="227" t="n"/>
      <c r="JX89" s="227" t="n"/>
      <c r="JY89" s="227" t="n"/>
      <c r="JZ89" s="227" t="n"/>
      <c r="KA89" s="227" t="n"/>
      <c r="KB89" s="227" t="n"/>
      <c r="KC89" s="227" t="n"/>
      <c r="KD89" s="227" t="n"/>
      <c r="KE89" s="227" t="n"/>
      <c r="KF89" s="227" t="n"/>
      <c r="KG89" s="227" t="n"/>
      <c r="KH89" s="227" t="n"/>
      <c r="KI89" s="227" t="n"/>
      <c r="KJ89" s="227" t="n"/>
      <c r="KK89" s="227" t="n"/>
      <c r="KL89" s="227" t="n"/>
      <c r="KM89" s="227" t="n"/>
      <c r="KN89" s="227" t="n"/>
      <c r="KO89" s="227" t="n"/>
      <c r="KP89" s="227" t="n"/>
      <c r="KQ89" s="227" t="n"/>
      <c r="KR89" s="227" t="n"/>
      <c r="KS89" s="227" t="n"/>
      <c r="KT89" s="227" t="n"/>
      <c r="KU89" s="227" t="n"/>
      <c r="KV89" s="227" t="n"/>
      <c r="KW89" s="227" t="n"/>
      <c r="KX89" s="227" t="n"/>
      <c r="KY89" s="227" t="n"/>
      <c r="KZ89" s="227" t="n"/>
      <c r="LA89" s="227" t="n"/>
      <c r="LB89" s="227" t="n"/>
      <c r="LC89" s="227" t="n"/>
      <c r="LD89" s="227" t="n"/>
      <c r="LE89" s="227" t="n"/>
      <c r="LF89" s="227" t="n"/>
      <c r="LG89" s="227" t="n"/>
      <c r="LH89" s="227" t="n"/>
      <c r="LI89" s="227" t="n"/>
      <c r="LJ89" s="227" t="n"/>
      <c r="LK89" s="227" t="n"/>
      <c r="LL89" s="227" t="n"/>
      <c r="LM89" s="227" t="n"/>
      <c r="LN89" s="227" t="n"/>
      <c r="LO89" s="227" t="n"/>
      <c r="LP89" s="227" t="n"/>
      <c r="LQ89" s="227" t="n"/>
      <c r="LR89" s="227" t="n"/>
      <c r="LS89" s="227" t="n"/>
      <c r="LT89" s="227" t="n"/>
      <c r="LU89" s="227" t="n"/>
      <c r="LV89" s="227" t="n"/>
      <c r="LW89" s="227" t="n"/>
      <c r="LX89" s="227" t="n"/>
      <c r="LY89" s="227" t="n"/>
      <c r="LZ89" s="227" t="n"/>
      <c r="MA89" s="227" t="n"/>
      <c r="MB89" s="227" t="n"/>
      <c r="MC89" s="227" t="n"/>
      <c r="MD89" s="227" t="n"/>
      <c r="ME89" s="227" t="n"/>
      <c r="MF89" s="227" t="n"/>
      <c r="MG89" s="227" t="n"/>
      <c r="MH89" s="227" t="n"/>
      <c r="MI89" s="227" t="n"/>
      <c r="MJ89" s="227" t="n"/>
      <c r="MK89" s="227" t="n"/>
      <c r="ML89" s="227" t="n"/>
      <c r="MM89" s="227" t="n"/>
      <c r="MN89" s="227" t="n"/>
      <c r="MO89" s="227" t="n"/>
      <c r="MP89" s="227" t="n"/>
      <c r="MQ89" s="227" t="n"/>
      <c r="MR89" s="227" t="n"/>
      <c r="MS89" s="227" t="n"/>
      <c r="MT89" s="227" t="n"/>
      <c r="MU89" s="227" t="n"/>
      <c r="MV89" s="227" t="n"/>
      <c r="MW89" s="227" t="n"/>
      <c r="MX89" s="227" t="n"/>
      <c r="MY89" s="227" t="n"/>
      <c r="MZ89" s="227" t="n"/>
      <c r="NA89" s="227" t="n"/>
      <c r="NB89" s="227" t="n"/>
      <c r="NC89" s="228">
        <f>SUM(B89:NB89)</f>
        <v/>
      </c>
    </row>
    <row r="90" ht="14.25" customHeight="1" s="166">
      <c r="A90" s="214" t="inlineStr">
        <is>
          <t>BTU-13-03-02</t>
        </is>
      </c>
      <c r="B90" s="227" t="n"/>
      <c r="C90" s="227" t="n"/>
      <c r="D90" s="227" t="n"/>
      <c r="E90" s="227" t="n"/>
      <c r="F90" s="227" t="n"/>
      <c r="G90" s="227" t="n"/>
      <c r="H90" s="227" t="n"/>
      <c r="I90" s="227" t="n"/>
      <c r="J90" s="227" t="n"/>
      <c r="K90" s="227" t="n"/>
      <c r="L90" s="227" t="n"/>
      <c r="M90" s="227" t="n"/>
      <c r="N90" s="227" t="n"/>
      <c r="O90" s="227" t="n"/>
      <c r="P90" s="227" t="n"/>
      <c r="Q90" s="227" t="n"/>
      <c r="R90" s="227" t="n"/>
      <c r="S90" s="227" t="n"/>
      <c r="T90" s="227" t="n"/>
      <c r="U90" s="227" t="n"/>
      <c r="V90" s="227" t="n"/>
      <c r="W90" s="227" t="n"/>
      <c r="X90" s="227" t="n"/>
      <c r="Y90" s="227" t="n"/>
      <c r="Z90" s="227" t="n"/>
      <c r="AA90" s="227" t="n"/>
      <c r="AB90" s="227" t="n"/>
      <c r="AC90" s="227" t="n"/>
      <c r="AD90" s="227" t="n"/>
      <c r="AE90" s="227" t="n"/>
      <c r="AF90" s="227" t="n"/>
      <c r="AG90" s="227" t="n"/>
      <c r="AH90" s="227" t="n"/>
      <c r="AI90" s="227" t="n"/>
      <c r="AJ90" s="227" t="n"/>
      <c r="AK90" s="227" t="n"/>
      <c r="AL90" s="227" t="n"/>
      <c r="AM90" s="227" t="n"/>
      <c r="AN90" s="227" t="n"/>
      <c r="AO90" s="227" t="n"/>
      <c r="AP90" s="227" t="n"/>
      <c r="AQ90" s="227" t="n"/>
      <c r="AR90" s="227" t="n"/>
      <c r="AS90" s="227" t="n"/>
      <c r="AT90" s="227" t="n"/>
      <c r="AU90" s="227" t="n"/>
      <c r="AV90" s="227" t="n"/>
      <c r="AW90" s="227" t="n"/>
      <c r="AX90" s="227" t="n"/>
      <c r="AY90" s="227" t="n"/>
      <c r="AZ90" s="227" t="n"/>
      <c r="BA90" s="227" t="n"/>
      <c r="BB90" s="227" t="n"/>
      <c r="BC90" s="227" t="n"/>
      <c r="BD90" s="227" t="n"/>
      <c r="BE90" s="227" t="n"/>
      <c r="BF90" s="227" t="n"/>
      <c r="BG90" s="227" t="n"/>
      <c r="BH90" s="227" t="n"/>
      <c r="BI90" s="227" t="n"/>
      <c r="BJ90" s="227" t="n"/>
      <c r="BK90" s="227" t="n"/>
      <c r="BL90" s="227" t="n"/>
      <c r="BM90" s="227" t="n"/>
      <c r="BN90" s="227" t="n"/>
      <c r="BO90" s="227" t="n"/>
      <c r="BP90" s="227" t="n"/>
      <c r="BQ90" s="227" t="n"/>
      <c r="BR90" s="227" t="n"/>
      <c r="BS90" s="227" t="n"/>
      <c r="BT90" s="227" t="n"/>
      <c r="BU90" s="227" t="n"/>
      <c r="BV90" s="227" t="n"/>
      <c r="BW90" s="227" t="n"/>
      <c r="BX90" s="227" t="n"/>
      <c r="BY90" s="227" t="n"/>
      <c r="BZ90" s="227" t="n"/>
      <c r="CA90" s="227" t="n"/>
      <c r="CB90" s="227" t="n"/>
      <c r="CC90" s="227" t="n"/>
      <c r="CD90" s="227" t="n"/>
      <c r="CE90" s="227" t="n"/>
      <c r="CF90" s="227" t="n"/>
      <c r="CG90" s="227" t="n"/>
      <c r="CH90" s="227" t="n"/>
      <c r="CI90" s="227" t="n"/>
      <c r="CJ90" s="227" t="n"/>
      <c r="CK90" s="227" t="n"/>
      <c r="CL90" s="227" t="n"/>
      <c r="CM90" s="227" t="n"/>
      <c r="CN90" s="227" t="n"/>
      <c r="CO90" s="227" t="n"/>
      <c r="CP90" s="227" t="n"/>
      <c r="CQ90" s="227" t="n"/>
      <c r="CR90" s="227" t="n"/>
      <c r="CS90" s="227" t="n"/>
      <c r="CT90" s="227" t="n"/>
      <c r="CU90" s="227" t="n"/>
      <c r="CV90" s="227" t="n"/>
      <c r="CW90" s="227" t="n"/>
      <c r="CX90" s="227" t="n"/>
      <c r="CY90" s="227" t="n"/>
      <c r="CZ90" s="227" t="n"/>
      <c r="DA90" s="227" t="n"/>
      <c r="DB90" s="227" t="n"/>
      <c r="DC90" s="227" t="n"/>
      <c r="DD90" s="227" t="n"/>
      <c r="DE90" s="227" t="n"/>
      <c r="DF90" s="227" t="n"/>
      <c r="DG90" s="227" t="n"/>
      <c r="DH90" s="227" t="n"/>
      <c r="DI90" s="227" t="n"/>
      <c r="DJ90" s="227" t="n"/>
      <c r="DK90" s="227" t="n"/>
      <c r="DL90" s="227" t="n"/>
      <c r="DM90" s="227" t="n"/>
      <c r="DN90" s="227" t="n"/>
      <c r="DO90" s="227" t="n"/>
      <c r="DP90" s="227" t="n"/>
      <c r="DQ90" s="227" t="n"/>
      <c r="DR90" s="227" t="n"/>
      <c r="DS90" s="227" t="n"/>
      <c r="DT90" s="227" t="n"/>
      <c r="DU90" s="227" t="n"/>
      <c r="DV90" s="227" t="n"/>
      <c r="DW90" s="227" t="n"/>
      <c r="DX90" s="227" t="n"/>
      <c r="DY90" s="227" t="n"/>
      <c r="DZ90" s="227" t="n"/>
      <c r="EA90" s="227" t="n"/>
      <c r="EB90" s="227" t="n"/>
      <c r="EC90" s="227" t="n"/>
      <c r="ED90" s="227" t="n"/>
      <c r="EE90" s="227" t="n"/>
      <c r="EF90" s="227" t="n"/>
      <c r="EG90" s="227" t="n"/>
      <c r="EH90" s="227" t="n"/>
      <c r="EI90" s="227" t="n"/>
      <c r="EJ90" s="227" t="n"/>
      <c r="EK90" s="227" t="n"/>
      <c r="EL90" s="227" t="n"/>
      <c r="EM90" s="227" t="n"/>
      <c r="EN90" s="227" t="n"/>
      <c r="EO90" s="227" t="n"/>
      <c r="EP90" s="227" t="n"/>
      <c r="EQ90" s="227" t="n"/>
      <c r="ER90" s="227" t="n"/>
      <c r="ES90" s="227" t="n"/>
      <c r="ET90" s="227" t="n"/>
      <c r="EU90" s="227" t="n"/>
      <c r="EV90" s="227" t="n"/>
      <c r="EW90" s="227" t="n"/>
      <c r="EX90" s="227" t="n"/>
      <c r="EY90" s="227" t="n"/>
      <c r="EZ90" s="227" t="n"/>
      <c r="FA90" s="227" t="n"/>
      <c r="FB90" s="227" t="n"/>
      <c r="FC90" s="227" t="n"/>
      <c r="FD90" s="227" t="n"/>
      <c r="FE90" s="227" t="n"/>
      <c r="FF90" s="227" t="n"/>
      <c r="FG90" s="227" t="n"/>
      <c r="FH90" s="227" t="n"/>
      <c r="FI90" s="227" t="n"/>
      <c r="FJ90" s="227" t="n"/>
      <c r="FK90" s="227" t="n"/>
      <c r="FL90" s="227" t="n"/>
      <c r="FM90" s="227" t="n"/>
      <c r="FN90" s="227" t="n"/>
      <c r="FO90" s="227" t="n"/>
      <c r="FP90" s="227" t="n"/>
      <c r="FQ90" s="227" t="n"/>
      <c r="FR90" s="227" t="n"/>
      <c r="FS90" s="227" t="n"/>
      <c r="FT90" s="227" t="n"/>
      <c r="FU90" s="227" t="n"/>
      <c r="FV90" s="227" t="n"/>
      <c r="FW90" s="227" t="n"/>
      <c r="FX90" s="227" t="n"/>
      <c r="FY90" s="227" t="n"/>
      <c r="FZ90" s="227" t="n"/>
      <c r="GA90" s="227" t="n"/>
      <c r="GB90" s="227" t="n"/>
      <c r="GC90" s="227" t="n"/>
      <c r="GD90" s="227" t="n"/>
      <c r="GE90" s="227" t="n"/>
      <c r="GF90" s="227" t="n"/>
      <c r="GG90" s="227" t="n"/>
      <c r="GH90" s="227" t="n"/>
      <c r="GI90" s="227" t="n"/>
      <c r="GJ90" s="227" t="n"/>
      <c r="GK90" s="227" t="n"/>
      <c r="GL90" s="227" t="n"/>
      <c r="GM90" s="227" t="n"/>
      <c r="GN90" s="227" t="n"/>
      <c r="GO90" s="227" t="n"/>
      <c r="GP90" s="227" t="n"/>
      <c r="GQ90" s="227" t="n"/>
      <c r="GR90" s="227" t="n"/>
      <c r="GS90" s="227" t="n"/>
      <c r="GT90" s="227" t="n"/>
      <c r="GU90" s="227" t="n"/>
      <c r="GV90" s="227" t="n"/>
      <c r="GW90" s="227" t="n"/>
      <c r="GX90" s="227" t="n"/>
      <c r="GY90" s="227" t="n"/>
      <c r="GZ90" s="227" t="n"/>
      <c r="HA90" s="227" t="n"/>
      <c r="HB90" s="227" t="n"/>
      <c r="HC90" s="227" t="n"/>
      <c r="HD90" s="227" t="n"/>
      <c r="HE90" s="227" t="n"/>
      <c r="HF90" s="227" t="n"/>
      <c r="HG90" s="227" t="n"/>
      <c r="HH90" s="227" t="n"/>
      <c r="HI90" s="227" t="n"/>
      <c r="HJ90" s="227" t="n"/>
      <c r="HK90" s="227" t="n"/>
      <c r="HL90" s="227" t="n"/>
      <c r="HM90" s="227" t="n"/>
      <c r="HN90" s="227" t="n"/>
      <c r="HO90" s="227" t="n"/>
      <c r="HP90" s="227" t="n"/>
      <c r="HQ90" s="227" t="n"/>
      <c r="HR90" s="227" t="n"/>
      <c r="HS90" s="227" t="n"/>
      <c r="HT90" s="227" t="n"/>
      <c r="HU90" s="227" t="n"/>
      <c r="HV90" s="227" t="n"/>
      <c r="HW90" s="227" t="n"/>
      <c r="HX90" s="227" t="n"/>
      <c r="HY90" s="227" t="n"/>
      <c r="HZ90" s="227" t="n"/>
      <c r="IA90" s="227" t="n"/>
      <c r="IB90" s="227" t="n"/>
      <c r="IC90" s="227" t="n"/>
      <c r="ID90" s="227" t="n"/>
      <c r="IE90" s="227" t="n"/>
      <c r="IF90" s="227" t="n"/>
      <c r="IG90" s="227" t="n"/>
      <c r="IH90" s="227" t="n"/>
      <c r="II90" s="227" t="n"/>
      <c r="IJ90" s="227" t="n"/>
      <c r="IK90" s="227" t="n"/>
      <c r="IL90" s="227" t="n"/>
      <c r="IM90" s="227" t="n"/>
      <c r="IN90" s="227" t="n"/>
      <c r="IO90" s="227" t="n"/>
      <c r="IP90" s="227" t="n"/>
      <c r="IQ90" s="227" t="n"/>
      <c r="IR90" s="227" t="n"/>
      <c r="IS90" s="227" t="n"/>
      <c r="IT90" s="227" t="n"/>
      <c r="IU90" s="227" t="n"/>
      <c r="IV90" s="227" t="n"/>
      <c r="IW90" s="227" t="n"/>
      <c r="IX90" s="227" t="n"/>
      <c r="IY90" s="227" t="n"/>
      <c r="IZ90" s="227" t="n"/>
      <c r="JA90" s="227" t="n"/>
      <c r="JB90" s="227" t="n"/>
      <c r="JC90" s="227" t="n"/>
      <c r="JD90" s="227" t="n"/>
      <c r="JE90" s="227" t="n"/>
      <c r="JF90" s="227" t="n"/>
      <c r="JG90" s="227" t="n"/>
      <c r="JH90" s="227" t="n"/>
      <c r="JI90" s="227" t="n"/>
      <c r="JJ90" s="227" t="n"/>
      <c r="JK90" s="227" t="n"/>
      <c r="JL90" s="227" t="n"/>
      <c r="JM90" s="227" t="n"/>
      <c r="JN90" s="227" t="n"/>
      <c r="JO90" s="227" t="n"/>
      <c r="JP90" s="227" t="n"/>
      <c r="JQ90" s="227" t="n"/>
      <c r="JR90" s="227" t="n"/>
      <c r="JS90" s="227" t="n"/>
      <c r="JT90" s="227" t="n"/>
      <c r="JU90" s="227" t="n"/>
      <c r="JV90" s="227" t="n"/>
      <c r="JW90" s="227" t="n"/>
      <c r="JX90" s="227" t="n"/>
      <c r="JY90" s="227" t="n"/>
      <c r="JZ90" s="227" t="n"/>
      <c r="KA90" s="227" t="n"/>
      <c r="KB90" s="227" t="n"/>
      <c r="KC90" s="227" t="n"/>
      <c r="KD90" s="227" t="n"/>
      <c r="KE90" s="227" t="n"/>
      <c r="KF90" s="227" t="n"/>
      <c r="KG90" s="227" t="n"/>
      <c r="KH90" s="227" t="n"/>
      <c r="KI90" s="227" t="n"/>
      <c r="KJ90" s="227" t="n"/>
      <c r="KK90" s="227" t="n"/>
      <c r="KL90" s="227" t="n"/>
      <c r="KM90" s="227" t="n"/>
      <c r="KN90" s="227" t="n"/>
      <c r="KO90" s="227" t="n"/>
      <c r="KP90" s="227" t="n"/>
      <c r="KQ90" s="227" t="n"/>
      <c r="KR90" s="227" t="n"/>
      <c r="KS90" s="227" t="n"/>
      <c r="KT90" s="227" t="n"/>
      <c r="KU90" s="227" t="n"/>
      <c r="KV90" s="227" t="n"/>
      <c r="KW90" s="227" t="n"/>
      <c r="KX90" s="227" t="n"/>
      <c r="KY90" s="227" t="n"/>
      <c r="KZ90" s="227" t="n"/>
      <c r="LA90" s="227" t="n"/>
      <c r="LB90" s="227" t="n"/>
      <c r="LC90" s="227" t="n"/>
      <c r="LD90" s="227" t="n"/>
      <c r="LE90" s="227" t="n"/>
      <c r="LF90" s="227" t="n"/>
      <c r="LG90" s="227" t="n"/>
      <c r="LH90" s="227" t="n"/>
      <c r="LI90" s="227" t="n"/>
      <c r="LJ90" s="227" t="n"/>
      <c r="LK90" s="227" t="n"/>
      <c r="LL90" s="227" t="n"/>
      <c r="LM90" s="227" t="n"/>
      <c r="LN90" s="227" t="n"/>
      <c r="LO90" s="227" t="n"/>
      <c r="LP90" s="227" t="n"/>
      <c r="LQ90" s="227" t="n"/>
      <c r="LR90" s="227" t="n"/>
      <c r="LS90" s="227" t="n"/>
      <c r="LT90" s="227" t="n"/>
      <c r="LU90" s="227" t="n"/>
      <c r="LV90" s="227" t="n"/>
      <c r="LW90" s="227" t="n"/>
      <c r="LX90" s="227" t="n"/>
      <c r="LY90" s="227" t="n"/>
      <c r="LZ90" s="227" t="n"/>
      <c r="MA90" s="227" t="n"/>
      <c r="MB90" s="227" t="n"/>
      <c r="MC90" s="227" t="n"/>
      <c r="MD90" s="227" t="n"/>
      <c r="ME90" s="227" t="n"/>
      <c r="MF90" s="227" t="n"/>
      <c r="MG90" s="227" t="n"/>
      <c r="MH90" s="227" t="n"/>
      <c r="MI90" s="227" t="n"/>
      <c r="MJ90" s="227" t="n"/>
      <c r="MK90" s="227" t="n"/>
      <c r="ML90" s="227" t="n"/>
      <c r="MM90" s="227" t="n"/>
      <c r="MN90" s="227" t="n"/>
      <c r="MO90" s="227" t="n"/>
      <c r="MP90" s="227" t="n"/>
      <c r="MQ90" s="227" t="n"/>
      <c r="MR90" s="227" t="n"/>
      <c r="MS90" s="227" t="n"/>
      <c r="MT90" s="227" t="n"/>
      <c r="MU90" s="227" t="n"/>
      <c r="MV90" s="227" t="n"/>
      <c r="MW90" s="227" t="n"/>
      <c r="MX90" s="227" t="n"/>
      <c r="MY90" s="227" t="n"/>
      <c r="MZ90" s="227" t="n"/>
      <c r="NA90" s="227" t="n"/>
      <c r="NB90" s="227" t="n"/>
      <c r="NC90" s="228">
        <f>SUM(B90:NB90)</f>
        <v/>
      </c>
    </row>
    <row r="91" ht="14.25" customHeight="1" s="166">
      <c r="A91" s="214" t="inlineStr">
        <is>
          <t>BTU-13-03-03</t>
        </is>
      </c>
      <c r="B91" s="227" t="n"/>
      <c r="C91" s="227" t="n"/>
      <c r="D91" s="227" t="n"/>
      <c r="E91" s="227" t="n"/>
      <c r="F91" s="227" t="n"/>
      <c r="G91" s="227" t="n"/>
      <c r="H91" s="227" t="n"/>
      <c r="I91" s="227" t="n"/>
      <c r="J91" s="227" t="n"/>
      <c r="K91" s="227" t="n"/>
      <c r="L91" s="227" t="n"/>
      <c r="M91" s="227" t="n"/>
      <c r="N91" s="227" t="n"/>
      <c r="O91" s="227" t="n"/>
      <c r="P91" s="227" t="n"/>
      <c r="Q91" s="227" t="n"/>
      <c r="R91" s="227" t="n"/>
      <c r="S91" s="227" t="n"/>
      <c r="T91" s="227" t="n"/>
      <c r="U91" s="227" t="n"/>
      <c r="V91" s="227" t="n"/>
      <c r="W91" s="227" t="n"/>
      <c r="X91" s="227" t="n"/>
      <c r="Y91" s="227" t="n"/>
      <c r="Z91" s="227" t="n"/>
      <c r="AA91" s="227" t="n"/>
      <c r="AB91" s="227" t="n"/>
      <c r="AC91" s="227" t="n"/>
      <c r="AD91" s="227" t="n"/>
      <c r="AE91" s="227" t="n"/>
      <c r="AF91" s="227" t="n"/>
      <c r="AG91" s="227" t="n"/>
      <c r="AH91" s="227" t="n"/>
      <c r="AI91" s="227" t="n"/>
      <c r="AJ91" s="227" t="n"/>
      <c r="AK91" s="227" t="n"/>
      <c r="AL91" s="227" t="n"/>
      <c r="AM91" s="227" t="n"/>
      <c r="AN91" s="227" t="n"/>
      <c r="AO91" s="227" t="n"/>
      <c r="AP91" s="227" t="n"/>
      <c r="AQ91" s="227" t="n"/>
      <c r="AR91" s="227" t="n"/>
      <c r="AS91" s="227" t="n"/>
      <c r="AT91" s="227" t="n"/>
      <c r="AU91" s="227" t="n"/>
      <c r="AV91" s="227" t="n"/>
      <c r="AW91" s="227" t="n"/>
      <c r="AX91" s="227" t="n"/>
      <c r="AY91" s="227" t="n"/>
      <c r="AZ91" s="227" t="n"/>
      <c r="BA91" s="227" t="n"/>
      <c r="BB91" s="227" t="n"/>
      <c r="BC91" s="227" t="n"/>
      <c r="BD91" s="227" t="n"/>
      <c r="BE91" s="227" t="n"/>
      <c r="BF91" s="227" t="n"/>
      <c r="BG91" s="227" t="n"/>
      <c r="BH91" s="227" t="n"/>
      <c r="BI91" s="227" t="n"/>
      <c r="BJ91" s="227" t="n"/>
      <c r="BK91" s="227" t="n"/>
      <c r="BL91" s="227" t="n"/>
      <c r="BM91" s="227" t="n"/>
      <c r="BN91" s="227" t="n"/>
      <c r="BO91" s="227" t="n"/>
      <c r="BP91" s="227" t="n"/>
      <c r="BQ91" s="227" t="n"/>
      <c r="BR91" s="227" t="n"/>
      <c r="BS91" s="227" t="n"/>
      <c r="BT91" s="227" t="n"/>
      <c r="BU91" s="227" t="n"/>
      <c r="BV91" s="227" t="n"/>
      <c r="BW91" s="227" t="n"/>
      <c r="BX91" s="227" t="n"/>
      <c r="BY91" s="227" t="n"/>
      <c r="BZ91" s="227" t="n"/>
      <c r="CA91" s="227" t="n"/>
      <c r="CB91" s="227" t="n"/>
      <c r="CC91" s="227" t="n"/>
      <c r="CD91" s="227" t="n"/>
      <c r="CE91" s="227" t="n"/>
      <c r="CF91" s="227" t="n"/>
      <c r="CG91" s="227" t="n"/>
      <c r="CH91" s="227" t="n"/>
      <c r="CI91" s="227" t="n"/>
      <c r="CJ91" s="227" t="n"/>
      <c r="CK91" s="227" t="n"/>
      <c r="CL91" s="227" t="n"/>
      <c r="CM91" s="227" t="n"/>
      <c r="CN91" s="227" t="n"/>
      <c r="CO91" s="227" t="n"/>
      <c r="CP91" s="227" t="n"/>
      <c r="CQ91" s="227" t="n"/>
      <c r="CR91" s="227" t="n"/>
      <c r="CS91" s="227" t="n"/>
      <c r="CT91" s="227" t="n"/>
      <c r="CU91" s="227" t="n"/>
      <c r="CV91" s="227" t="n"/>
      <c r="CW91" s="227" t="n"/>
      <c r="CX91" s="227" t="n"/>
      <c r="CY91" s="227" t="n"/>
      <c r="CZ91" s="227" t="n"/>
      <c r="DA91" s="227" t="n"/>
      <c r="DB91" s="227" t="n"/>
      <c r="DC91" s="227" t="n"/>
      <c r="DD91" s="227" t="n"/>
      <c r="DE91" s="227" t="n"/>
      <c r="DF91" s="227" t="n"/>
      <c r="DG91" s="227" t="n"/>
      <c r="DH91" s="227" t="n"/>
      <c r="DI91" s="227" t="n"/>
      <c r="DJ91" s="227" t="n"/>
      <c r="DK91" s="227" t="n"/>
      <c r="DL91" s="227" t="n"/>
      <c r="DM91" s="227" t="n"/>
      <c r="DN91" s="227" t="n"/>
      <c r="DO91" s="227" t="n"/>
      <c r="DP91" s="227" t="n"/>
      <c r="DQ91" s="227" t="n"/>
      <c r="DR91" s="227" t="n"/>
      <c r="DS91" s="227" t="n"/>
      <c r="DT91" s="227" t="n"/>
      <c r="DU91" s="227" t="n"/>
      <c r="DV91" s="227" t="n"/>
      <c r="DW91" s="227" t="n"/>
      <c r="DX91" s="227" t="n"/>
      <c r="DY91" s="227" t="n"/>
      <c r="DZ91" s="227" t="n"/>
      <c r="EA91" s="227" t="n"/>
      <c r="EB91" s="227" t="n"/>
      <c r="EC91" s="227" t="n"/>
      <c r="ED91" s="227" t="n"/>
      <c r="EE91" s="227" t="n"/>
      <c r="EF91" s="227" t="n"/>
      <c r="EG91" s="227" t="n"/>
      <c r="EH91" s="227" t="n"/>
      <c r="EI91" s="227" t="n"/>
      <c r="EJ91" s="227" t="n"/>
      <c r="EK91" s="227" t="n"/>
      <c r="EL91" s="227" t="n"/>
      <c r="EM91" s="227" t="n"/>
      <c r="EN91" s="227" t="n"/>
      <c r="EO91" s="227" t="n"/>
      <c r="EP91" s="227" t="n"/>
      <c r="EQ91" s="227" t="n"/>
      <c r="ER91" s="227" t="n"/>
      <c r="ES91" s="227" t="n"/>
      <c r="ET91" s="227" t="n"/>
      <c r="EU91" s="227" t="n"/>
      <c r="EV91" s="227" t="n"/>
      <c r="EW91" s="227" t="n"/>
      <c r="EX91" s="227" t="n"/>
      <c r="EY91" s="227" t="n"/>
      <c r="EZ91" s="227" t="n"/>
      <c r="FA91" s="227" t="n"/>
      <c r="FB91" s="227" t="n"/>
      <c r="FC91" s="227" t="n"/>
      <c r="FD91" s="227" t="n"/>
      <c r="FE91" s="227" t="n"/>
      <c r="FF91" s="227" t="n"/>
      <c r="FG91" s="227" t="n"/>
      <c r="FH91" s="227" t="n"/>
      <c r="FI91" s="227" t="n"/>
      <c r="FJ91" s="227" t="n"/>
      <c r="FK91" s="227" t="n"/>
      <c r="FL91" s="227" t="n"/>
      <c r="FM91" s="227" t="n"/>
      <c r="FN91" s="227" t="n"/>
      <c r="FO91" s="227" t="n"/>
      <c r="FP91" s="227" t="n"/>
      <c r="FQ91" s="227" t="n"/>
      <c r="FR91" s="227" t="n"/>
      <c r="FS91" s="227" t="n"/>
      <c r="FT91" s="227" t="n"/>
      <c r="FU91" s="227" t="n"/>
      <c r="FV91" s="227" t="n"/>
      <c r="FW91" s="227" t="n"/>
      <c r="FX91" s="227" t="n"/>
      <c r="FY91" s="227" t="n"/>
      <c r="FZ91" s="227" t="n"/>
      <c r="GA91" s="227" t="n"/>
      <c r="GB91" s="227" t="n"/>
      <c r="GC91" s="227" t="n"/>
      <c r="GD91" s="227" t="n"/>
      <c r="GE91" s="227" t="n"/>
      <c r="GF91" s="227" t="n"/>
      <c r="GG91" s="227" t="n"/>
      <c r="GH91" s="227" t="n"/>
      <c r="GI91" s="227" t="n"/>
      <c r="GJ91" s="227" t="n"/>
      <c r="GK91" s="227" t="n"/>
      <c r="GL91" s="227" t="n"/>
      <c r="GM91" s="227" t="n"/>
      <c r="GN91" s="227" t="n"/>
      <c r="GO91" s="227" t="n"/>
      <c r="GP91" s="227" t="n"/>
      <c r="GQ91" s="227" t="n"/>
      <c r="GR91" s="227" t="n"/>
      <c r="GS91" s="227" t="n"/>
      <c r="GT91" s="227" t="n"/>
      <c r="GU91" s="227" t="n"/>
      <c r="GV91" s="227" t="n"/>
      <c r="GW91" s="227" t="n"/>
      <c r="GX91" s="227" t="n"/>
      <c r="GY91" s="227" t="n"/>
      <c r="GZ91" s="227" t="n"/>
      <c r="HA91" s="227" t="n"/>
      <c r="HB91" s="227" t="n"/>
      <c r="HC91" s="227" t="n"/>
      <c r="HD91" s="227" t="n"/>
      <c r="HE91" s="227" t="n"/>
      <c r="HF91" s="227" t="n"/>
      <c r="HG91" s="227" t="n"/>
      <c r="HH91" s="227" t="n"/>
      <c r="HI91" s="227" t="n"/>
      <c r="HJ91" s="227" t="n"/>
      <c r="HK91" s="227" t="n"/>
      <c r="HL91" s="227" t="n"/>
      <c r="HM91" s="227" t="n"/>
      <c r="HN91" s="227" t="n"/>
      <c r="HO91" s="227" t="n"/>
      <c r="HP91" s="227" t="n"/>
      <c r="HQ91" s="227" t="n"/>
      <c r="HR91" s="227" t="n"/>
      <c r="HS91" s="227" t="n"/>
      <c r="HT91" s="227" t="n"/>
      <c r="HU91" s="227" t="n"/>
      <c r="HV91" s="227" t="n"/>
      <c r="HW91" s="227" t="n"/>
      <c r="HX91" s="227" t="n"/>
      <c r="HY91" s="227" t="n"/>
      <c r="HZ91" s="227" t="n"/>
      <c r="IA91" s="227" t="n"/>
      <c r="IB91" s="227" t="n"/>
      <c r="IC91" s="227" t="n"/>
      <c r="ID91" s="227" t="n"/>
      <c r="IE91" s="227" t="n"/>
      <c r="IF91" s="227" t="n"/>
      <c r="IG91" s="227" t="n"/>
      <c r="IH91" s="227" t="n"/>
      <c r="II91" s="227" t="n"/>
      <c r="IJ91" s="227" t="n"/>
      <c r="IK91" s="227" t="n"/>
      <c r="IL91" s="227" t="n"/>
      <c r="IM91" s="227" t="n"/>
      <c r="IN91" s="227" t="n"/>
      <c r="IO91" s="227" t="n"/>
      <c r="IP91" s="227" t="n"/>
      <c r="IQ91" s="227" t="n"/>
      <c r="IR91" s="227" t="n"/>
      <c r="IS91" s="227" t="n"/>
      <c r="IT91" s="227" t="n"/>
      <c r="IU91" s="227" t="n"/>
      <c r="IV91" s="227" t="n"/>
      <c r="IW91" s="227" t="n"/>
      <c r="IX91" s="227" t="n"/>
      <c r="IY91" s="227" t="n"/>
      <c r="IZ91" s="227" t="n"/>
      <c r="JA91" s="227" t="n"/>
      <c r="JB91" s="227" t="n"/>
      <c r="JC91" s="227" t="n"/>
      <c r="JD91" s="227" t="n"/>
      <c r="JE91" s="227" t="n"/>
      <c r="JF91" s="227" t="n"/>
      <c r="JG91" s="227" t="n"/>
      <c r="JH91" s="227" t="n"/>
      <c r="JI91" s="227" t="n"/>
      <c r="JJ91" s="227" t="n"/>
      <c r="JK91" s="227" t="n"/>
      <c r="JL91" s="227" t="n"/>
      <c r="JM91" s="227" t="n"/>
      <c r="JN91" s="227" t="n"/>
      <c r="JO91" s="227" t="n"/>
      <c r="JP91" s="227" t="n"/>
      <c r="JQ91" s="227" t="n"/>
      <c r="JR91" s="227" t="n"/>
      <c r="JS91" s="227" t="n"/>
      <c r="JT91" s="227" t="n"/>
      <c r="JU91" s="227" t="n"/>
      <c r="JV91" s="227" t="n"/>
      <c r="JW91" s="227" t="n"/>
      <c r="JX91" s="227" t="n"/>
      <c r="JY91" s="227" t="n"/>
      <c r="JZ91" s="227" t="n"/>
      <c r="KA91" s="227" t="n"/>
      <c r="KB91" s="227" t="n"/>
      <c r="KC91" s="227" t="n"/>
      <c r="KD91" s="227" t="n"/>
      <c r="KE91" s="227" t="n"/>
      <c r="KF91" s="227" t="n"/>
      <c r="KG91" s="227" t="n"/>
      <c r="KH91" s="227" t="n"/>
      <c r="KI91" s="227" t="n"/>
      <c r="KJ91" s="227" t="n"/>
      <c r="KK91" s="227" t="n"/>
      <c r="KL91" s="227" t="n"/>
      <c r="KM91" s="227" t="n"/>
      <c r="KN91" s="227" t="n"/>
      <c r="KO91" s="227" t="n"/>
      <c r="KP91" s="227" t="n"/>
      <c r="KQ91" s="227" t="n"/>
      <c r="KR91" s="227" t="n"/>
      <c r="KS91" s="227" t="n"/>
      <c r="KT91" s="227" t="n"/>
      <c r="KU91" s="227" t="n"/>
      <c r="KV91" s="227" t="n"/>
      <c r="KW91" s="227" t="n"/>
      <c r="KX91" s="227" t="n"/>
      <c r="KY91" s="227" t="n"/>
      <c r="KZ91" s="227" t="n"/>
      <c r="LA91" s="227" t="n"/>
      <c r="LB91" s="227" t="n"/>
      <c r="LC91" s="227" t="n"/>
      <c r="LD91" s="227" t="n"/>
      <c r="LE91" s="227" t="n"/>
      <c r="LF91" s="227" t="n"/>
      <c r="LG91" s="227" t="n"/>
      <c r="LH91" s="227" t="n"/>
      <c r="LI91" s="227" t="n"/>
      <c r="LJ91" s="227" t="n"/>
      <c r="LK91" s="227" t="n"/>
      <c r="LL91" s="227" t="n"/>
      <c r="LM91" s="227" t="n"/>
      <c r="LN91" s="227" t="n"/>
      <c r="LO91" s="227" t="n"/>
      <c r="LP91" s="227" t="n"/>
      <c r="LQ91" s="227" t="n"/>
      <c r="LR91" s="227" t="n"/>
      <c r="LS91" s="227" t="n"/>
      <c r="LT91" s="227" t="n"/>
      <c r="LU91" s="227" t="n"/>
      <c r="LV91" s="227" t="n"/>
      <c r="LW91" s="227" t="n"/>
      <c r="LX91" s="227" t="n"/>
      <c r="LY91" s="227" t="n"/>
      <c r="LZ91" s="227" t="n"/>
      <c r="MA91" s="227" t="n"/>
      <c r="MB91" s="227" t="n"/>
      <c r="MC91" s="227" t="n"/>
      <c r="MD91" s="227" t="n"/>
      <c r="ME91" s="227" t="n"/>
      <c r="MF91" s="227" t="n"/>
      <c r="MG91" s="227" t="n"/>
      <c r="MH91" s="227" t="n"/>
      <c r="MI91" s="227" t="n"/>
      <c r="MJ91" s="227" t="n"/>
      <c r="MK91" s="227" t="n"/>
      <c r="ML91" s="227" t="n"/>
      <c r="MM91" s="227" t="n"/>
      <c r="MN91" s="227" t="n"/>
      <c r="MO91" s="227" t="n"/>
      <c r="MP91" s="227" t="n"/>
      <c r="MQ91" s="227" t="n"/>
      <c r="MR91" s="227" t="n"/>
      <c r="MS91" s="227" t="n"/>
      <c r="MT91" s="227" t="n"/>
      <c r="MU91" s="227" t="n"/>
      <c r="MV91" s="227" t="n"/>
      <c r="MW91" s="227" t="n"/>
      <c r="MX91" s="227" t="n"/>
      <c r="MY91" s="227" t="n"/>
      <c r="MZ91" s="227" t="n"/>
      <c r="NA91" s="227" t="n"/>
      <c r="NB91" s="227" t="n"/>
      <c r="NC91" s="228">
        <f>SUM(B91:NB91)</f>
        <v/>
      </c>
    </row>
    <row r="92" ht="14.25" customHeight="1" s="166">
      <c r="A92" s="214" t="inlineStr">
        <is>
          <t>BTU-13-03-04</t>
        </is>
      </c>
      <c r="B92" s="227" t="n"/>
      <c r="C92" s="227" t="n"/>
      <c r="D92" s="227" t="n"/>
      <c r="E92" s="227" t="n"/>
      <c r="F92" s="227" t="n"/>
      <c r="G92" s="227" t="n"/>
      <c r="H92" s="227" t="n"/>
      <c r="I92" s="227" t="n"/>
      <c r="J92" s="227" t="n"/>
      <c r="K92" s="227" t="n"/>
      <c r="L92" s="227" t="n"/>
      <c r="M92" s="227" t="n"/>
      <c r="N92" s="227" t="n"/>
      <c r="O92" s="227" t="n"/>
      <c r="P92" s="227" t="n"/>
      <c r="Q92" s="227" t="n"/>
      <c r="R92" s="227" t="n"/>
      <c r="S92" s="227" t="n"/>
      <c r="T92" s="227" t="n"/>
      <c r="U92" s="227" t="n"/>
      <c r="V92" s="227" t="n"/>
      <c r="W92" s="227" t="n"/>
      <c r="X92" s="227" t="n"/>
      <c r="Y92" s="227" t="n"/>
      <c r="Z92" s="227" t="n"/>
      <c r="AA92" s="227" t="n"/>
      <c r="AB92" s="227" t="n"/>
      <c r="AC92" s="227" t="n"/>
      <c r="AD92" s="227" t="n"/>
      <c r="AE92" s="227" t="n"/>
      <c r="AF92" s="227" t="n"/>
      <c r="AG92" s="227" t="n"/>
      <c r="AH92" s="227" t="n"/>
      <c r="AI92" s="227" t="n"/>
      <c r="AJ92" s="227" t="n"/>
      <c r="AK92" s="227" t="n"/>
      <c r="AL92" s="227" t="n"/>
      <c r="AM92" s="227" t="n"/>
      <c r="AN92" s="227" t="n"/>
      <c r="AO92" s="227" t="n"/>
      <c r="AP92" s="227" t="n"/>
      <c r="AQ92" s="227" t="n"/>
      <c r="AR92" s="227" t="n"/>
      <c r="AS92" s="227" t="n"/>
      <c r="AT92" s="227" t="n"/>
      <c r="AU92" s="227" t="n"/>
      <c r="AV92" s="227" t="n"/>
      <c r="AW92" s="227" t="n"/>
      <c r="AX92" s="227" t="n"/>
      <c r="AY92" s="227" t="n"/>
      <c r="AZ92" s="227" t="n"/>
      <c r="BA92" s="227" t="n"/>
      <c r="BB92" s="227" t="n"/>
      <c r="BC92" s="227" t="n"/>
      <c r="BD92" s="227" t="n"/>
      <c r="BE92" s="227" t="n"/>
      <c r="BF92" s="227" t="n"/>
      <c r="BG92" s="227" t="n"/>
      <c r="BH92" s="227" t="n"/>
      <c r="BI92" s="227" t="n"/>
      <c r="BJ92" s="227" t="n"/>
      <c r="BK92" s="227" t="n"/>
      <c r="BL92" s="227" t="n"/>
      <c r="BM92" s="227" t="n"/>
      <c r="BN92" s="227" t="n"/>
      <c r="BO92" s="227" t="n"/>
      <c r="BP92" s="227" t="n"/>
      <c r="BQ92" s="227" t="n"/>
      <c r="BR92" s="227" t="n"/>
      <c r="BS92" s="227" t="n"/>
      <c r="BT92" s="227" t="n"/>
      <c r="BU92" s="227" t="n"/>
      <c r="BV92" s="227" t="n"/>
      <c r="BW92" s="227" t="n"/>
      <c r="BX92" s="227" t="n"/>
      <c r="BY92" s="227" t="n"/>
      <c r="BZ92" s="227" t="n"/>
      <c r="CA92" s="227" t="n"/>
      <c r="CB92" s="227" t="n"/>
      <c r="CC92" s="227" t="n"/>
      <c r="CD92" s="227" t="n"/>
      <c r="CE92" s="227" t="n"/>
      <c r="CF92" s="227" t="n"/>
      <c r="CG92" s="227" t="n"/>
      <c r="CH92" s="227" t="n"/>
      <c r="CI92" s="227" t="n"/>
      <c r="CJ92" s="227" t="n"/>
      <c r="CK92" s="227" t="n"/>
      <c r="CL92" s="227" t="n"/>
      <c r="CM92" s="227" t="n"/>
      <c r="CN92" s="227" t="n"/>
      <c r="CO92" s="227" t="n"/>
      <c r="CP92" s="227" t="n"/>
      <c r="CQ92" s="227" t="n"/>
      <c r="CR92" s="227" t="n"/>
      <c r="CS92" s="227" t="n"/>
      <c r="CT92" s="227" t="n"/>
      <c r="CU92" s="227" t="n"/>
      <c r="CV92" s="227" t="n"/>
      <c r="CW92" s="227" t="n"/>
      <c r="CX92" s="227" t="n"/>
      <c r="CY92" s="227" t="n"/>
      <c r="CZ92" s="227" t="n"/>
      <c r="DA92" s="227" t="n"/>
      <c r="DB92" s="227" t="n"/>
      <c r="DC92" s="227" t="n"/>
      <c r="DD92" s="227" t="n"/>
      <c r="DE92" s="227" t="n"/>
      <c r="DF92" s="227" t="n"/>
      <c r="DG92" s="227" t="n"/>
      <c r="DH92" s="227" t="n"/>
      <c r="DI92" s="227" t="n"/>
      <c r="DJ92" s="227" t="n"/>
      <c r="DK92" s="227" t="n"/>
      <c r="DL92" s="227" t="n"/>
      <c r="DM92" s="227" t="n"/>
      <c r="DN92" s="227" t="n"/>
      <c r="DO92" s="227" t="n"/>
      <c r="DP92" s="227" t="n"/>
      <c r="DQ92" s="227" t="n"/>
      <c r="DR92" s="227" t="n"/>
      <c r="DS92" s="227" t="n"/>
      <c r="DT92" s="227" t="n"/>
      <c r="DU92" s="227" t="n"/>
      <c r="DV92" s="227" t="n"/>
      <c r="DW92" s="227" t="n"/>
      <c r="DX92" s="227" t="n"/>
      <c r="DY92" s="227" t="n"/>
      <c r="DZ92" s="227" t="n"/>
      <c r="EA92" s="227" t="n"/>
      <c r="EB92" s="227" t="n"/>
      <c r="EC92" s="227" t="n"/>
      <c r="ED92" s="227" t="n"/>
      <c r="EE92" s="227" t="n"/>
      <c r="EF92" s="227" t="n"/>
      <c r="EG92" s="227" t="n"/>
      <c r="EH92" s="227" t="n"/>
      <c r="EI92" s="227" t="n"/>
      <c r="EJ92" s="227" t="n"/>
      <c r="EK92" s="227" t="n"/>
      <c r="EL92" s="227" t="n"/>
      <c r="EM92" s="227" t="n"/>
      <c r="EN92" s="227" t="n"/>
      <c r="EO92" s="227" t="n"/>
      <c r="EP92" s="227" t="n"/>
      <c r="EQ92" s="227" t="n"/>
      <c r="ER92" s="227" t="n"/>
      <c r="ES92" s="227" t="n"/>
      <c r="ET92" s="227" t="n"/>
      <c r="EU92" s="227" t="n"/>
      <c r="EV92" s="227" t="n"/>
      <c r="EW92" s="227" t="n"/>
      <c r="EX92" s="227" t="n"/>
      <c r="EY92" s="227" t="n"/>
      <c r="EZ92" s="227" t="n"/>
      <c r="FA92" s="227" t="n"/>
      <c r="FB92" s="227" t="n"/>
      <c r="FC92" s="227" t="n"/>
      <c r="FD92" s="227" t="n"/>
      <c r="FE92" s="227" t="n"/>
      <c r="FF92" s="227" t="n"/>
      <c r="FG92" s="227" t="n"/>
      <c r="FH92" s="227" t="n"/>
      <c r="FI92" s="227" t="n"/>
      <c r="FJ92" s="227" t="n"/>
      <c r="FK92" s="227" t="n"/>
      <c r="FL92" s="227" t="n"/>
      <c r="FM92" s="227" t="n"/>
      <c r="FN92" s="227" t="n"/>
      <c r="FO92" s="227" t="n"/>
      <c r="FP92" s="227" t="n"/>
      <c r="FQ92" s="227" t="n"/>
      <c r="FR92" s="227" t="n"/>
      <c r="FS92" s="227" t="n"/>
      <c r="FT92" s="227" t="n"/>
      <c r="FU92" s="227" t="n"/>
      <c r="FV92" s="227" t="n"/>
      <c r="FW92" s="227" t="n"/>
      <c r="FX92" s="227" t="n"/>
      <c r="FY92" s="227" t="n"/>
      <c r="FZ92" s="227" t="n"/>
      <c r="GA92" s="227" t="n"/>
      <c r="GB92" s="227" t="n"/>
      <c r="GC92" s="227" t="n"/>
      <c r="GD92" s="227" t="n"/>
      <c r="GE92" s="227" t="n"/>
      <c r="GF92" s="227" t="n"/>
      <c r="GG92" s="227" t="n"/>
      <c r="GH92" s="227" t="n"/>
      <c r="GI92" s="227" t="n"/>
      <c r="GJ92" s="227" t="n"/>
      <c r="GK92" s="227" t="n"/>
      <c r="GL92" s="227" t="n"/>
      <c r="GM92" s="227" t="n"/>
      <c r="GN92" s="227" t="n"/>
      <c r="GO92" s="227" t="n"/>
      <c r="GP92" s="227" t="n"/>
      <c r="GQ92" s="227" t="n"/>
      <c r="GR92" s="227" t="n"/>
      <c r="GS92" s="227" t="n"/>
      <c r="GT92" s="227" t="n"/>
      <c r="GU92" s="227" t="n"/>
      <c r="GV92" s="227" t="n"/>
      <c r="GW92" s="227" t="n"/>
      <c r="GX92" s="227" t="n"/>
      <c r="GY92" s="227" t="n"/>
      <c r="GZ92" s="227" t="n"/>
      <c r="HA92" s="227" t="n"/>
      <c r="HB92" s="227" t="n"/>
      <c r="HC92" s="227" t="n"/>
      <c r="HD92" s="227" t="n"/>
      <c r="HE92" s="227" t="n"/>
      <c r="HF92" s="227" t="n"/>
      <c r="HG92" s="227" t="n"/>
      <c r="HH92" s="227" t="n"/>
      <c r="HI92" s="227" t="n"/>
      <c r="HJ92" s="227" t="n"/>
      <c r="HK92" s="227" t="n"/>
      <c r="HL92" s="227" t="n"/>
      <c r="HM92" s="227" t="n"/>
      <c r="HN92" s="227" t="n"/>
      <c r="HO92" s="227" t="n"/>
      <c r="HP92" s="227" t="n"/>
      <c r="HQ92" s="227" t="n"/>
      <c r="HR92" s="227" t="n"/>
      <c r="HS92" s="227" t="n"/>
      <c r="HT92" s="227" t="n"/>
      <c r="HU92" s="227" t="n"/>
      <c r="HV92" s="227" t="n"/>
      <c r="HW92" s="227" t="n"/>
      <c r="HX92" s="227" t="n"/>
      <c r="HY92" s="227" t="n"/>
      <c r="HZ92" s="227" t="n"/>
      <c r="IA92" s="227" t="n"/>
      <c r="IB92" s="227" t="n"/>
      <c r="IC92" s="227" t="n"/>
      <c r="ID92" s="227" t="n"/>
      <c r="IE92" s="227" t="n"/>
      <c r="IF92" s="227" t="n"/>
      <c r="IG92" s="227" t="n"/>
      <c r="IH92" s="227" t="n"/>
      <c r="II92" s="227" t="n"/>
      <c r="IJ92" s="227" t="n"/>
      <c r="IK92" s="227" t="n"/>
      <c r="IL92" s="227" t="n"/>
      <c r="IM92" s="227" t="n"/>
      <c r="IN92" s="227" t="n"/>
      <c r="IO92" s="227" t="n"/>
      <c r="IP92" s="227" t="n"/>
      <c r="IQ92" s="227" t="n"/>
      <c r="IR92" s="227" t="n"/>
      <c r="IS92" s="227" t="n"/>
      <c r="IT92" s="227" t="n"/>
      <c r="IU92" s="227" t="n"/>
      <c r="IV92" s="227" t="n"/>
      <c r="IW92" s="227" t="n"/>
      <c r="IX92" s="227" t="n"/>
      <c r="IY92" s="227" t="n"/>
      <c r="IZ92" s="227" t="n"/>
      <c r="JA92" s="227" t="n"/>
      <c r="JB92" s="227" t="n"/>
      <c r="JC92" s="227" t="n"/>
      <c r="JD92" s="227" t="n"/>
      <c r="JE92" s="227" t="n"/>
      <c r="JF92" s="227" t="n"/>
      <c r="JG92" s="227" t="n"/>
      <c r="JH92" s="227" t="n"/>
      <c r="JI92" s="227" t="n"/>
      <c r="JJ92" s="227" t="n"/>
      <c r="JK92" s="227" t="n"/>
      <c r="JL92" s="227" t="n"/>
      <c r="JM92" s="227" t="n"/>
      <c r="JN92" s="227" t="n"/>
      <c r="JO92" s="227" t="n"/>
      <c r="JP92" s="227" t="n"/>
      <c r="JQ92" s="227" t="n"/>
      <c r="JR92" s="227" t="n"/>
      <c r="JS92" s="227" t="n"/>
      <c r="JT92" s="227" t="n"/>
      <c r="JU92" s="227" t="n"/>
      <c r="JV92" s="227" t="n"/>
      <c r="JW92" s="227" t="n"/>
      <c r="JX92" s="227" t="n"/>
      <c r="JY92" s="227" t="n"/>
      <c r="JZ92" s="227" t="n"/>
      <c r="KA92" s="227" t="n"/>
      <c r="KB92" s="227" t="n"/>
      <c r="KC92" s="227" t="n"/>
      <c r="KD92" s="227" t="n"/>
      <c r="KE92" s="227" t="n"/>
      <c r="KF92" s="227" t="n"/>
      <c r="KG92" s="227" t="n"/>
      <c r="KH92" s="227" t="n"/>
      <c r="KI92" s="227" t="n"/>
      <c r="KJ92" s="227" t="n"/>
      <c r="KK92" s="227" t="n"/>
      <c r="KL92" s="227" t="n"/>
      <c r="KM92" s="227" t="n"/>
      <c r="KN92" s="227" t="n"/>
      <c r="KO92" s="227" t="n"/>
      <c r="KP92" s="227" t="n"/>
      <c r="KQ92" s="227" t="n"/>
      <c r="KR92" s="227" t="n"/>
      <c r="KS92" s="227" t="n"/>
      <c r="KT92" s="227" t="n"/>
      <c r="KU92" s="227" t="n"/>
      <c r="KV92" s="227" t="n"/>
      <c r="KW92" s="227" t="n"/>
      <c r="KX92" s="227" t="n"/>
      <c r="KY92" s="227" t="n"/>
      <c r="KZ92" s="227" t="n"/>
      <c r="LA92" s="227" t="n"/>
      <c r="LB92" s="227" t="n"/>
      <c r="LC92" s="227" t="n"/>
      <c r="LD92" s="227" t="n"/>
      <c r="LE92" s="227" t="n"/>
      <c r="LF92" s="227" t="n"/>
      <c r="LG92" s="227" t="n"/>
      <c r="LH92" s="227" t="n"/>
      <c r="LI92" s="227" t="n"/>
      <c r="LJ92" s="227" t="n"/>
      <c r="LK92" s="227" t="n"/>
      <c r="LL92" s="227" t="n"/>
      <c r="LM92" s="227" t="n"/>
      <c r="LN92" s="227" t="n"/>
      <c r="LO92" s="227" t="n"/>
      <c r="LP92" s="227" t="n"/>
      <c r="LQ92" s="227" t="n"/>
      <c r="LR92" s="227" t="n"/>
      <c r="LS92" s="227" t="n"/>
      <c r="LT92" s="227" t="n"/>
      <c r="LU92" s="227" t="n"/>
      <c r="LV92" s="227" t="n"/>
      <c r="LW92" s="227" t="n"/>
      <c r="LX92" s="227" t="n"/>
      <c r="LY92" s="227" t="n"/>
      <c r="LZ92" s="227" t="n"/>
      <c r="MA92" s="227" t="n"/>
      <c r="MB92" s="227" t="n"/>
      <c r="MC92" s="227" t="n"/>
      <c r="MD92" s="227" t="n"/>
      <c r="ME92" s="227" t="n"/>
      <c r="MF92" s="227" t="n"/>
      <c r="MG92" s="227" t="n"/>
      <c r="MH92" s="227" t="n"/>
      <c r="MI92" s="227" t="n"/>
      <c r="MJ92" s="227" t="n"/>
      <c r="MK92" s="227" t="n"/>
      <c r="ML92" s="227" t="n"/>
      <c r="MM92" s="227" t="n"/>
      <c r="MN92" s="227" t="n"/>
      <c r="MO92" s="227" t="n"/>
      <c r="MP92" s="227" t="n"/>
      <c r="MQ92" s="227" t="n"/>
      <c r="MR92" s="227" t="n"/>
      <c r="MS92" s="227" t="n"/>
      <c r="MT92" s="227" t="n"/>
      <c r="MU92" s="227" t="n"/>
      <c r="MV92" s="227" t="n"/>
      <c r="MW92" s="227" t="n"/>
      <c r="MX92" s="227" t="n"/>
      <c r="MY92" s="227" t="n"/>
      <c r="MZ92" s="227" t="n"/>
      <c r="NA92" s="227" t="n"/>
      <c r="NB92" s="227" t="n"/>
      <c r="NC92" s="228">
        <f>SUM(B92:NB92)</f>
        <v/>
      </c>
    </row>
    <row r="93" ht="14.25" customHeight="1" s="166">
      <c r="A93" s="214" t="inlineStr">
        <is>
          <t>BTU-13-03-05</t>
        </is>
      </c>
      <c r="B93" s="227" t="n"/>
      <c r="C93" s="227" t="n"/>
      <c r="D93" s="227" t="n"/>
      <c r="E93" s="227" t="n"/>
      <c r="F93" s="227" t="n"/>
      <c r="G93" s="227" t="n"/>
      <c r="H93" s="227" t="n"/>
      <c r="I93" s="227" t="n"/>
      <c r="J93" s="227" t="n"/>
      <c r="K93" s="227" t="n"/>
      <c r="L93" s="227" t="n"/>
      <c r="M93" s="227" t="n"/>
      <c r="N93" s="227" t="n"/>
      <c r="O93" s="227" t="n"/>
      <c r="P93" s="227" t="n"/>
      <c r="Q93" s="227" t="n"/>
      <c r="R93" s="227" t="n"/>
      <c r="S93" s="227" t="n"/>
      <c r="T93" s="227" t="n"/>
      <c r="U93" s="227" t="n"/>
      <c r="V93" s="227" t="n"/>
      <c r="W93" s="227" t="n"/>
      <c r="X93" s="227" t="n"/>
      <c r="Y93" s="227" t="n"/>
      <c r="Z93" s="227" t="n"/>
      <c r="AA93" s="227" t="n"/>
      <c r="AB93" s="227" t="n"/>
      <c r="AC93" s="227" t="n"/>
      <c r="AD93" s="227" t="n"/>
      <c r="AE93" s="227" t="n"/>
      <c r="AF93" s="227" t="n"/>
      <c r="AG93" s="227" t="n"/>
      <c r="AH93" s="227" t="n"/>
      <c r="AI93" s="227" t="n"/>
      <c r="AJ93" s="227" t="n"/>
      <c r="AK93" s="227" t="n"/>
      <c r="AL93" s="227" t="n"/>
      <c r="AM93" s="227" t="n"/>
      <c r="AN93" s="227" t="n"/>
      <c r="AO93" s="227" t="n"/>
      <c r="AP93" s="227" t="n"/>
      <c r="AQ93" s="227" t="n"/>
      <c r="AR93" s="227" t="n"/>
      <c r="AS93" s="227" t="n"/>
      <c r="AT93" s="227" t="n"/>
      <c r="AU93" s="227" t="n"/>
      <c r="AV93" s="227" t="n"/>
      <c r="AW93" s="227" t="n"/>
      <c r="AX93" s="227" t="n"/>
      <c r="AY93" s="227" t="n"/>
      <c r="AZ93" s="227" t="n"/>
      <c r="BA93" s="227" t="n"/>
      <c r="BB93" s="227" t="n"/>
      <c r="BC93" s="227" t="n"/>
      <c r="BD93" s="227" t="n"/>
      <c r="BE93" s="227" t="n"/>
      <c r="BF93" s="227" t="n"/>
      <c r="BG93" s="227" t="n"/>
      <c r="BH93" s="227" t="n"/>
      <c r="BI93" s="227" t="n"/>
      <c r="BJ93" s="227" t="n"/>
      <c r="BK93" s="227" t="n"/>
      <c r="BL93" s="227" t="n"/>
      <c r="BM93" s="227" t="n"/>
      <c r="BN93" s="227" t="n"/>
      <c r="BO93" s="227" t="n"/>
      <c r="BP93" s="227" t="n"/>
      <c r="BQ93" s="227" t="n"/>
      <c r="BR93" s="227" t="n"/>
      <c r="BS93" s="227" t="n"/>
      <c r="BT93" s="227" t="n"/>
      <c r="BU93" s="227" t="n"/>
      <c r="BV93" s="227" t="n"/>
      <c r="BW93" s="227" t="n"/>
      <c r="BX93" s="227" t="n"/>
      <c r="BY93" s="227" t="n"/>
      <c r="BZ93" s="227" t="n"/>
      <c r="CA93" s="227" t="n"/>
      <c r="CB93" s="227" t="n"/>
      <c r="CC93" s="227" t="n"/>
      <c r="CD93" s="227" t="n"/>
      <c r="CE93" s="227" t="n"/>
      <c r="CF93" s="227" t="n"/>
      <c r="CG93" s="227" t="n"/>
      <c r="CH93" s="227" t="n"/>
      <c r="CI93" s="227" t="n"/>
      <c r="CJ93" s="227" t="n"/>
      <c r="CK93" s="227" t="n"/>
      <c r="CL93" s="227" t="n"/>
      <c r="CM93" s="227" t="n"/>
      <c r="CN93" s="227" t="n"/>
      <c r="CO93" s="227" t="n"/>
      <c r="CP93" s="227" t="n"/>
      <c r="CQ93" s="227" t="n"/>
      <c r="CR93" s="227" t="n"/>
      <c r="CS93" s="227" t="n"/>
      <c r="CT93" s="227" t="n"/>
      <c r="CU93" s="227" t="n"/>
      <c r="CV93" s="227" t="n"/>
      <c r="CW93" s="227" t="n"/>
      <c r="CX93" s="227" t="n"/>
      <c r="CY93" s="227" t="n"/>
      <c r="CZ93" s="227" t="n"/>
      <c r="DA93" s="227" t="n"/>
      <c r="DB93" s="227" t="n"/>
      <c r="DC93" s="227" t="n"/>
      <c r="DD93" s="227" t="n"/>
      <c r="DE93" s="227" t="n"/>
      <c r="DF93" s="227" t="n"/>
      <c r="DG93" s="227" t="n"/>
      <c r="DH93" s="227" t="n"/>
      <c r="DI93" s="227" t="n"/>
      <c r="DJ93" s="227" t="n"/>
      <c r="DK93" s="227" t="n"/>
      <c r="DL93" s="227" t="n"/>
      <c r="DM93" s="227" t="n"/>
      <c r="DN93" s="227" t="n"/>
      <c r="DO93" s="227" t="n"/>
      <c r="DP93" s="227" t="n"/>
      <c r="DQ93" s="227" t="n"/>
      <c r="DR93" s="227" t="n"/>
      <c r="DS93" s="227" t="n"/>
      <c r="DT93" s="227" t="n"/>
      <c r="DU93" s="227" t="n"/>
      <c r="DV93" s="227" t="n"/>
      <c r="DW93" s="227" t="n"/>
      <c r="DX93" s="227" t="n"/>
      <c r="DY93" s="227" t="n"/>
      <c r="DZ93" s="227" t="n"/>
      <c r="EA93" s="227" t="n"/>
      <c r="EB93" s="227" t="n"/>
      <c r="EC93" s="227" t="n"/>
      <c r="ED93" s="227" t="n"/>
      <c r="EE93" s="227" t="n"/>
      <c r="EF93" s="227" t="n"/>
      <c r="EG93" s="227" t="n"/>
      <c r="EH93" s="227" t="n"/>
      <c r="EI93" s="227" t="n"/>
      <c r="EJ93" s="227" t="n"/>
      <c r="EK93" s="227" t="n"/>
      <c r="EL93" s="227" t="n"/>
      <c r="EM93" s="227" t="n"/>
      <c r="EN93" s="227" t="n"/>
      <c r="EO93" s="227" t="n"/>
      <c r="EP93" s="227" t="n"/>
      <c r="EQ93" s="227" t="n"/>
      <c r="ER93" s="227" t="n"/>
      <c r="ES93" s="227" t="n"/>
      <c r="ET93" s="227" t="n"/>
      <c r="EU93" s="227" t="n"/>
      <c r="EV93" s="227" t="n"/>
      <c r="EW93" s="227" t="n"/>
      <c r="EX93" s="227" t="n"/>
      <c r="EY93" s="227" t="n"/>
      <c r="EZ93" s="227" t="n"/>
      <c r="FA93" s="227" t="n"/>
      <c r="FB93" s="227" t="n"/>
      <c r="FC93" s="227" t="n"/>
      <c r="FD93" s="227" t="n"/>
      <c r="FE93" s="227" t="n"/>
      <c r="FF93" s="227" t="n"/>
      <c r="FG93" s="227" t="n"/>
      <c r="FH93" s="227" t="n"/>
      <c r="FI93" s="227" t="n"/>
      <c r="FJ93" s="227" t="n"/>
      <c r="FK93" s="227" t="n"/>
      <c r="FL93" s="227" t="n"/>
      <c r="FM93" s="227" t="n"/>
      <c r="FN93" s="227" t="n"/>
      <c r="FO93" s="227" t="n"/>
      <c r="FP93" s="227" t="n"/>
      <c r="FQ93" s="227" t="n"/>
      <c r="FR93" s="227" t="n"/>
      <c r="FS93" s="227" t="n"/>
      <c r="FT93" s="227" t="n"/>
      <c r="FU93" s="227" t="n"/>
      <c r="FV93" s="227" t="n"/>
      <c r="FW93" s="227" t="n"/>
      <c r="FX93" s="227" t="n"/>
      <c r="FY93" s="227" t="n"/>
      <c r="FZ93" s="227" t="n"/>
      <c r="GA93" s="227" t="n"/>
      <c r="GB93" s="227" t="n"/>
      <c r="GC93" s="227" t="n"/>
      <c r="GD93" s="227" t="n"/>
      <c r="GE93" s="227" t="n"/>
      <c r="GF93" s="227" t="n"/>
      <c r="GG93" s="227" t="n"/>
      <c r="GH93" s="227" t="n"/>
      <c r="GI93" s="227" t="n"/>
      <c r="GJ93" s="227" t="n"/>
      <c r="GK93" s="227" t="n"/>
      <c r="GL93" s="227" t="n"/>
      <c r="GM93" s="227" t="n"/>
      <c r="GN93" s="227" t="n"/>
      <c r="GO93" s="227" t="n"/>
      <c r="GP93" s="227" t="n"/>
      <c r="GQ93" s="227" t="n"/>
      <c r="GR93" s="227" t="n"/>
      <c r="GS93" s="227" t="n"/>
      <c r="GT93" s="227" t="n"/>
      <c r="GU93" s="227" t="n"/>
      <c r="GV93" s="227" t="n"/>
      <c r="GW93" s="227" t="n"/>
      <c r="GX93" s="227" t="n"/>
      <c r="GY93" s="227" t="n"/>
      <c r="GZ93" s="227" t="n"/>
      <c r="HA93" s="227" t="n"/>
      <c r="HB93" s="227" t="n"/>
      <c r="HC93" s="227" t="n"/>
      <c r="HD93" s="227" t="n"/>
      <c r="HE93" s="227" t="n"/>
      <c r="HF93" s="227" t="n"/>
      <c r="HG93" s="227" t="n"/>
      <c r="HH93" s="227" t="n"/>
      <c r="HI93" s="227" t="n"/>
      <c r="HJ93" s="227" t="n"/>
      <c r="HK93" s="227" t="n"/>
      <c r="HL93" s="227" t="n"/>
      <c r="HM93" s="227" t="n"/>
      <c r="HN93" s="227" t="n"/>
      <c r="HO93" s="227" t="n"/>
      <c r="HP93" s="227" t="n"/>
      <c r="HQ93" s="227" t="n"/>
      <c r="HR93" s="227" t="n"/>
      <c r="HS93" s="227" t="n"/>
      <c r="HT93" s="227" t="n"/>
      <c r="HU93" s="227" t="n"/>
      <c r="HV93" s="227" t="n"/>
      <c r="HW93" s="227" t="n"/>
      <c r="HX93" s="227" t="n"/>
      <c r="HY93" s="227" t="n"/>
      <c r="HZ93" s="227" t="n"/>
      <c r="IA93" s="227" t="n"/>
      <c r="IB93" s="227" t="n"/>
      <c r="IC93" s="227" t="n"/>
      <c r="ID93" s="227" t="n"/>
      <c r="IE93" s="227" t="n"/>
      <c r="IF93" s="227" t="n"/>
      <c r="IG93" s="227" t="n"/>
      <c r="IH93" s="227" t="n"/>
      <c r="II93" s="227" t="n"/>
      <c r="IJ93" s="227" t="n"/>
      <c r="IK93" s="227" t="n"/>
      <c r="IL93" s="227" t="n"/>
      <c r="IM93" s="227" t="n"/>
      <c r="IN93" s="227" t="n"/>
      <c r="IO93" s="227" t="n"/>
      <c r="IP93" s="227" t="n"/>
      <c r="IQ93" s="227" t="n"/>
      <c r="IR93" s="227" t="n"/>
      <c r="IS93" s="227" t="n"/>
      <c r="IT93" s="227" t="n"/>
      <c r="IU93" s="227" t="n"/>
      <c r="IV93" s="227" t="n"/>
      <c r="IW93" s="227" t="n"/>
      <c r="IX93" s="227" t="n"/>
      <c r="IY93" s="227" t="n"/>
      <c r="IZ93" s="227" t="n"/>
      <c r="JA93" s="227" t="n"/>
      <c r="JB93" s="227" t="n"/>
      <c r="JC93" s="227" t="n"/>
      <c r="JD93" s="227" t="n"/>
      <c r="JE93" s="227" t="n"/>
      <c r="JF93" s="227" t="n"/>
      <c r="JG93" s="227" t="n"/>
      <c r="JH93" s="227" t="n"/>
      <c r="JI93" s="227" t="n"/>
      <c r="JJ93" s="227" t="n"/>
      <c r="JK93" s="227" t="n"/>
      <c r="JL93" s="227" t="n"/>
      <c r="JM93" s="227" t="n"/>
      <c r="JN93" s="227" t="n"/>
      <c r="JO93" s="227" t="n"/>
      <c r="JP93" s="227" t="n"/>
      <c r="JQ93" s="227" t="n"/>
      <c r="JR93" s="227" t="n"/>
      <c r="JS93" s="227" t="n"/>
      <c r="JT93" s="227" t="n"/>
      <c r="JU93" s="227" t="n"/>
      <c r="JV93" s="227" t="n"/>
      <c r="JW93" s="227" t="n"/>
      <c r="JX93" s="227" t="n"/>
      <c r="JY93" s="227" t="n"/>
      <c r="JZ93" s="227" t="n"/>
      <c r="KA93" s="227" t="n"/>
      <c r="KB93" s="227" t="n"/>
      <c r="KC93" s="227" t="n"/>
      <c r="KD93" s="227" t="n"/>
      <c r="KE93" s="227" t="n"/>
      <c r="KF93" s="227" t="n"/>
      <c r="KG93" s="227" t="n"/>
      <c r="KH93" s="227" t="n"/>
      <c r="KI93" s="227" t="n"/>
      <c r="KJ93" s="227" t="n"/>
      <c r="KK93" s="227" t="n"/>
      <c r="KL93" s="227" t="n"/>
      <c r="KM93" s="227" t="n"/>
      <c r="KN93" s="227" t="n"/>
      <c r="KO93" s="227" t="n"/>
      <c r="KP93" s="227" t="n"/>
      <c r="KQ93" s="227" t="n"/>
      <c r="KR93" s="227" t="n"/>
      <c r="KS93" s="227" t="n"/>
      <c r="KT93" s="227" t="n"/>
      <c r="KU93" s="227" t="n"/>
      <c r="KV93" s="227" t="n"/>
      <c r="KW93" s="227" t="n"/>
      <c r="KX93" s="227" t="n"/>
      <c r="KY93" s="227" t="n"/>
      <c r="KZ93" s="227" t="n"/>
      <c r="LA93" s="227" t="n"/>
      <c r="LB93" s="227" t="n"/>
      <c r="LC93" s="227" t="n"/>
      <c r="LD93" s="227" t="n"/>
      <c r="LE93" s="227" t="n"/>
      <c r="LF93" s="227" t="n"/>
      <c r="LG93" s="227" t="n"/>
      <c r="LH93" s="227" t="n"/>
      <c r="LI93" s="227" t="n"/>
      <c r="LJ93" s="227" t="n"/>
      <c r="LK93" s="227" t="n"/>
      <c r="LL93" s="227" t="n"/>
      <c r="LM93" s="227" t="n"/>
      <c r="LN93" s="227" t="n"/>
      <c r="LO93" s="227" t="n"/>
      <c r="LP93" s="227" t="n"/>
      <c r="LQ93" s="227" t="n"/>
      <c r="LR93" s="227" t="n"/>
      <c r="LS93" s="227" t="n"/>
      <c r="LT93" s="227" t="n"/>
      <c r="LU93" s="227" t="n"/>
      <c r="LV93" s="227" t="n"/>
      <c r="LW93" s="227" t="n"/>
      <c r="LX93" s="227" t="n"/>
      <c r="LY93" s="227" t="n"/>
      <c r="LZ93" s="227" t="n"/>
      <c r="MA93" s="227" t="n"/>
      <c r="MB93" s="227" t="n"/>
      <c r="MC93" s="227" t="n"/>
      <c r="MD93" s="227" t="n"/>
      <c r="ME93" s="227" t="n"/>
      <c r="MF93" s="227" t="n"/>
      <c r="MG93" s="227" t="n"/>
      <c r="MH93" s="227" t="n"/>
      <c r="MI93" s="227" t="n"/>
      <c r="MJ93" s="227" t="n"/>
      <c r="MK93" s="227" t="n"/>
      <c r="ML93" s="227" t="n"/>
      <c r="MM93" s="227" t="n"/>
      <c r="MN93" s="227" t="n"/>
      <c r="MO93" s="227" t="n"/>
      <c r="MP93" s="227" t="n"/>
      <c r="MQ93" s="227" t="n"/>
      <c r="MR93" s="227" t="n"/>
      <c r="MS93" s="227" t="n"/>
      <c r="MT93" s="227" t="n"/>
      <c r="MU93" s="227" t="n"/>
      <c r="MV93" s="227" t="n"/>
      <c r="MW93" s="227" t="n"/>
      <c r="MX93" s="227" t="n"/>
      <c r="MY93" s="227" t="n"/>
      <c r="MZ93" s="227" t="n"/>
      <c r="NA93" s="227" t="n"/>
      <c r="NB93" s="227" t="n"/>
      <c r="NC93" s="228">
        <f>SUM(B93:NB93)</f>
        <v/>
      </c>
    </row>
    <row r="94" ht="14.25" customHeight="1" s="166">
      <c r="A94" s="214" t="inlineStr">
        <is>
          <t>BTU-29-04-01</t>
        </is>
      </c>
      <c r="B94" s="227" t="n"/>
      <c r="C94" s="227" t="n"/>
      <c r="D94" s="227" t="n"/>
      <c r="E94" s="227" t="n"/>
      <c r="F94" s="227" t="n"/>
      <c r="G94" s="227" t="n"/>
      <c r="H94" s="227" t="n"/>
      <c r="I94" s="227" t="n"/>
      <c r="J94" s="227" t="n"/>
      <c r="K94" s="227" t="n"/>
      <c r="L94" s="227" t="n"/>
      <c r="M94" s="227" t="n"/>
      <c r="N94" s="227" t="n"/>
      <c r="O94" s="227" t="n"/>
      <c r="P94" s="227" t="n"/>
      <c r="Q94" s="227" t="n"/>
      <c r="R94" s="227" t="n"/>
      <c r="S94" s="227" t="n"/>
      <c r="T94" s="227" t="n"/>
      <c r="U94" s="227" t="n"/>
      <c r="V94" s="227" t="n"/>
      <c r="W94" s="227" t="n"/>
      <c r="X94" s="227" t="n"/>
      <c r="Y94" s="227" t="n"/>
      <c r="Z94" s="227" t="n"/>
      <c r="AA94" s="227" t="n"/>
      <c r="AB94" s="227" t="n"/>
      <c r="AC94" s="227" t="n"/>
      <c r="AD94" s="227" t="n"/>
      <c r="AE94" s="227" t="n"/>
      <c r="AF94" s="227" t="n"/>
      <c r="AG94" s="227" t="n"/>
      <c r="AH94" s="227" t="n"/>
      <c r="AI94" s="227" t="n"/>
      <c r="AJ94" s="227" t="n"/>
      <c r="AK94" s="227" t="n"/>
      <c r="AL94" s="227" t="n"/>
      <c r="AM94" s="227" t="n"/>
      <c r="AN94" s="227" t="n"/>
      <c r="AO94" s="227" t="n"/>
      <c r="AP94" s="227" t="n"/>
      <c r="AQ94" s="227" t="n"/>
      <c r="AR94" s="227" t="n"/>
      <c r="AS94" s="227" t="n"/>
      <c r="AT94" s="227" t="n"/>
      <c r="AU94" s="227" t="n"/>
      <c r="AV94" s="227" t="n"/>
      <c r="AW94" s="227" t="n"/>
      <c r="AX94" s="227" t="n"/>
      <c r="AY94" s="227" t="n"/>
      <c r="AZ94" s="227" t="n"/>
      <c r="BA94" s="227" t="n"/>
      <c r="BB94" s="227" t="n"/>
      <c r="BC94" s="227" t="n"/>
      <c r="BD94" s="227" t="n"/>
      <c r="BE94" s="227" t="n"/>
      <c r="BF94" s="227" t="n"/>
      <c r="BG94" s="227" t="n"/>
      <c r="BH94" s="227" t="n"/>
      <c r="BI94" s="227" t="n"/>
      <c r="BJ94" s="227" t="n"/>
      <c r="BK94" s="227" t="n"/>
      <c r="BL94" s="227" t="n"/>
      <c r="BM94" s="227" t="n"/>
      <c r="BN94" s="227" t="n"/>
      <c r="BO94" s="227" t="n"/>
      <c r="BP94" s="227" t="n"/>
      <c r="BQ94" s="227" t="n"/>
      <c r="BR94" s="227" t="n"/>
      <c r="BS94" s="227" t="n"/>
      <c r="BT94" s="227" t="n"/>
      <c r="BU94" s="227" t="n"/>
      <c r="BV94" s="227" t="n"/>
      <c r="BW94" s="227" t="n"/>
      <c r="BX94" s="227" t="n"/>
      <c r="BY94" s="227" t="n"/>
      <c r="BZ94" s="227" t="n"/>
      <c r="CA94" s="227" t="n"/>
      <c r="CB94" s="227" t="n"/>
      <c r="CC94" s="227" t="n"/>
      <c r="CD94" s="227" t="n"/>
      <c r="CE94" s="227" t="n"/>
      <c r="CF94" s="227" t="n"/>
      <c r="CG94" s="227" t="n"/>
      <c r="CH94" s="227" t="n"/>
      <c r="CI94" s="227" t="n"/>
      <c r="CJ94" s="227" t="n"/>
      <c r="CK94" s="227" t="n"/>
      <c r="CL94" s="227" t="n"/>
      <c r="CM94" s="227" t="n"/>
      <c r="CN94" s="227" t="n"/>
      <c r="CO94" s="227" t="n"/>
      <c r="CP94" s="227" t="n"/>
      <c r="CQ94" s="227" t="n"/>
      <c r="CR94" s="227" t="n"/>
      <c r="CS94" s="227" t="n"/>
      <c r="CT94" s="227" t="n"/>
      <c r="CU94" s="227" t="n"/>
      <c r="CV94" s="227" t="n"/>
      <c r="CW94" s="227" t="n"/>
      <c r="CX94" s="227" t="n"/>
      <c r="CY94" s="227" t="n"/>
      <c r="CZ94" s="227" t="n"/>
      <c r="DA94" s="227" t="n"/>
      <c r="DB94" s="227" t="n"/>
      <c r="DC94" s="227" t="n"/>
      <c r="DD94" s="227" t="n"/>
      <c r="DE94" s="227" t="n"/>
      <c r="DF94" s="227" t="n"/>
      <c r="DG94" s="227" t="n"/>
      <c r="DH94" s="227" t="n"/>
      <c r="DI94" s="227" t="n"/>
      <c r="DJ94" s="227" t="n"/>
      <c r="DK94" s="227" t="n"/>
      <c r="DL94" s="227" t="n"/>
      <c r="DM94" s="227" t="n"/>
      <c r="DN94" s="227" t="n"/>
      <c r="DO94" s="227" t="n"/>
      <c r="DP94" s="227" t="n"/>
      <c r="DQ94" s="227" t="n"/>
      <c r="DR94" s="227" t="n"/>
      <c r="DS94" s="227" t="n"/>
      <c r="DT94" s="227" t="n"/>
      <c r="DU94" s="227" t="n"/>
      <c r="DV94" s="227" t="n"/>
      <c r="DW94" s="227" t="n"/>
      <c r="DX94" s="227" t="n"/>
      <c r="DY94" s="227" t="n"/>
      <c r="DZ94" s="227" t="n"/>
      <c r="EA94" s="227" t="n"/>
      <c r="EB94" s="227" t="n"/>
      <c r="EC94" s="227" t="n"/>
      <c r="ED94" s="227" t="n"/>
      <c r="EE94" s="227" t="n"/>
      <c r="EF94" s="227" t="n"/>
      <c r="EG94" s="227" t="n"/>
      <c r="EH94" s="227" t="n"/>
      <c r="EI94" s="227" t="n"/>
      <c r="EJ94" s="227" t="n"/>
      <c r="EK94" s="227" t="n"/>
      <c r="EL94" s="227" t="n"/>
      <c r="EM94" s="227" t="n"/>
      <c r="EN94" s="227" t="n"/>
      <c r="EO94" s="227" t="n"/>
      <c r="EP94" s="227" t="n"/>
      <c r="EQ94" s="227" t="n"/>
      <c r="ER94" s="227" t="n"/>
      <c r="ES94" s="227" t="n"/>
      <c r="ET94" s="227" t="n"/>
      <c r="EU94" s="227" t="n"/>
      <c r="EV94" s="227" t="n"/>
      <c r="EW94" s="227" t="n"/>
      <c r="EX94" s="227" t="n"/>
      <c r="EY94" s="227" t="n"/>
      <c r="EZ94" s="227" t="n"/>
      <c r="FA94" s="227" t="n"/>
      <c r="FB94" s="227" t="n"/>
      <c r="FC94" s="227" t="n"/>
      <c r="FD94" s="227" t="n"/>
      <c r="FE94" s="227" t="n"/>
      <c r="FF94" s="227" t="n"/>
      <c r="FG94" s="227" t="n"/>
      <c r="FH94" s="227" t="n"/>
      <c r="FI94" s="227" t="n"/>
      <c r="FJ94" s="227" t="n"/>
      <c r="FK94" s="227" t="n"/>
      <c r="FL94" s="227" t="n"/>
      <c r="FM94" s="227" t="n"/>
      <c r="FN94" s="227" t="n"/>
      <c r="FO94" s="227" t="n"/>
      <c r="FP94" s="227" t="n"/>
      <c r="FQ94" s="227" t="n"/>
      <c r="FR94" s="227" t="n"/>
      <c r="FS94" s="227" t="n"/>
      <c r="FT94" s="227" t="n"/>
      <c r="FU94" s="227" t="n"/>
      <c r="FV94" s="227" t="n"/>
      <c r="FW94" s="227" t="n"/>
      <c r="FX94" s="227" t="n"/>
      <c r="FY94" s="227" t="n"/>
      <c r="FZ94" s="227" t="n"/>
      <c r="GA94" s="227" t="n"/>
      <c r="GB94" s="227" t="n"/>
      <c r="GC94" s="227" t="n"/>
      <c r="GD94" s="227" t="n"/>
      <c r="GE94" s="227" t="n"/>
      <c r="GF94" s="227" t="n"/>
      <c r="GG94" s="227" t="n"/>
      <c r="GH94" s="227" t="n"/>
      <c r="GI94" s="227" t="n"/>
      <c r="GJ94" s="227" t="n"/>
      <c r="GK94" s="227" t="n"/>
      <c r="GL94" s="227" t="n"/>
      <c r="GM94" s="227" t="n"/>
      <c r="GN94" s="227" t="n"/>
      <c r="GO94" s="227" t="n"/>
      <c r="GP94" s="227" t="n"/>
      <c r="GQ94" s="227" t="n"/>
      <c r="GR94" s="227" t="n"/>
      <c r="GS94" s="227" t="n"/>
      <c r="GT94" s="227" t="n"/>
      <c r="GU94" s="227" t="n"/>
      <c r="GV94" s="227" t="n"/>
      <c r="GW94" s="227" t="n"/>
      <c r="GX94" s="227" t="n"/>
      <c r="GY94" s="227" t="n"/>
      <c r="GZ94" s="227" t="n"/>
      <c r="HA94" s="227" t="n"/>
      <c r="HB94" s="227" t="n"/>
      <c r="HC94" s="227" t="n"/>
      <c r="HD94" s="227" t="n"/>
      <c r="HE94" s="227" t="n"/>
      <c r="HF94" s="227" t="n"/>
      <c r="HG94" s="227" t="n"/>
      <c r="HH94" s="227" t="n"/>
      <c r="HI94" s="227" t="n"/>
      <c r="HJ94" s="227" t="n"/>
      <c r="HK94" s="227" t="n"/>
      <c r="HL94" s="227" t="n"/>
      <c r="HM94" s="227" t="n"/>
      <c r="HN94" s="227" t="n"/>
      <c r="HO94" s="227" t="n"/>
      <c r="HP94" s="227" t="n"/>
      <c r="HQ94" s="227" t="n"/>
      <c r="HR94" s="227" t="n"/>
      <c r="HS94" s="227" t="n"/>
      <c r="HT94" s="227" t="n"/>
      <c r="HU94" s="227" t="n"/>
      <c r="HV94" s="227" t="n"/>
      <c r="HW94" s="227" t="n"/>
      <c r="HX94" s="227" t="n"/>
      <c r="HY94" s="227" t="n"/>
      <c r="HZ94" s="227" t="n"/>
      <c r="IA94" s="227" t="n"/>
      <c r="IB94" s="227" t="n"/>
      <c r="IC94" s="227" t="n"/>
      <c r="ID94" s="227" t="n"/>
      <c r="IE94" s="227" t="n"/>
      <c r="IF94" s="227" t="n"/>
      <c r="IG94" s="227" t="n"/>
      <c r="IH94" s="227" t="n"/>
      <c r="II94" s="227" t="n"/>
      <c r="IJ94" s="227" t="n"/>
      <c r="IK94" s="227" t="n"/>
      <c r="IL94" s="227" t="n"/>
      <c r="IM94" s="227" t="n"/>
      <c r="IN94" s="227" t="n"/>
      <c r="IO94" s="227" t="n"/>
      <c r="IP94" s="227" t="n"/>
      <c r="IQ94" s="227" t="n"/>
      <c r="IR94" s="227" t="n"/>
      <c r="IS94" s="227" t="n"/>
      <c r="IT94" s="227" t="n"/>
      <c r="IU94" s="227" t="n"/>
      <c r="IV94" s="227" t="n"/>
      <c r="IW94" s="227" t="n"/>
      <c r="IX94" s="227" t="n"/>
      <c r="IY94" s="227" t="n"/>
      <c r="IZ94" s="227" t="n"/>
      <c r="JA94" s="227" t="n"/>
      <c r="JB94" s="227" t="n"/>
      <c r="JC94" s="227" t="n"/>
      <c r="JD94" s="227" t="n"/>
      <c r="JE94" s="227" t="n"/>
      <c r="JF94" s="227" t="n"/>
      <c r="JG94" s="227" t="n"/>
      <c r="JH94" s="227" t="n"/>
      <c r="JI94" s="227" t="n"/>
      <c r="JJ94" s="227" t="n"/>
      <c r="JK94" s="227" t="n"/>
      <c r="JL94" s="227" t="n"/>
      <c r="JM94" s="227" t="n"/>
      <c r="JN94" s="227" t="n"/>
      <c r="JO94" s="227" t="n"/>
      <c r="JP94" s="227" t="n"/>
      <c r="JQ94" s="227" t="n"/>
      <c r="JR94" s="227" t="n"/>
      <c r="JS94" s="227" t="n"/>
      <c r="JT94" s="227" t="n"/>
      <c r="JU94" s="227" t="n"/>
      <c r="JV94" s="227" t="n"/>
      <c r="JW94" s="227" t="n"/>
      <c r="JX94" s="227" t="n"/>
      <c r="JY94" s="227" t="n"/>
      <c r="JZ94" s="227" t="n"/>
      <c r="KA94" s="227" t="n"/>
      <c r="KB94" s="227" t="n"/>
      <c r="KC94" s="227" t="n"/>
      <c r="KD94" s="227" t="n"/>
      <c r="KE94" s="227" t="n"/>
      <c r="KF94" s="227" t="n"/>
      <c r="KG94" s="227" t="n"/>
      <c r="KH94" s="227" t="n"/>
      <c r="KI94" s="227" t="n"/>
      <c r="KJ94" s="227" t="n"/>
      <c r="KK94" s="227" t="n"/>
      <c r="KL94" s="227" t="n"/>
      <c r="KM94" s="227" t="n"/>
      <c r="KN94" s="227" t="n"/>
      <c r="KO94" s="227" t="n"/>
      <c r="KP94" s="227" t="n"/>
      <c r="KQ94" s="227" t="n"/>
      <c r="KR94" s="227" t="n"/>
      <c r="KS94" s="227" t="n"/>
      <c r="KT94" s="227" t="n"/>
      <c r="KU94" s="227" t="n"/>
      <c r="KV94" s="227" t="n"/>
      <c r="KW94" s="227" t="n"/>
      <c r="KX94" s="227" t="n"/>
      <c r="KY94" s="227" t="n"/>
      <c r="KZ94" s="227" t="n"/>
      <c r="LA94" s="227" t="n"/>
      <c r="LB94" s="227" t="n"/>
      <c r="LC94" s="227" t="n"/>
      <c r="LD94" s="227" t="n"/>
      <c r="LE94" s="227" t="n"/>
      <c r="LF94" s="227" t="n"/>
      <c r="LG94" s="227" t="n"/>
      <c r="LH94" s="227" t="n"/>
      <c r="LI94" s="227" t="n"/>
      <c r="LJ94" s="227" t="n"/>
      <c r="LK94" s="227" t="n"/>
      <c r="LL94" s="227" t="n"/>
      <c r="LM94" s="227" t="n"/>
      <c r="LN94" s="227" t="n"/>
      <c r="LO94" s="227" t="n"/>
      <c r="LP94" s="227" t="n"/>
      <c r="LQ94" s="227" t="n"/>
      <c r="LR94" s="227" t="n"/>
      <c r="LS94" s="227" t="n"/>
      <c r="LT94" s="227" t="n"/>
      <c r="LU94" s="227" t="n"/>
      <c r="LV94" s="227" t="n"/>
      <c r="LW94" s="227" t="n"/>
      <c r="LX94" s="227" t="n"/>
      <c r="LY94" s="227" t="n"/>
      <c r="LZ94" s="227" t="n"/>
      <c r="MA94" s="227" t="n"/>
      <c r="MB94" s="227" t="n"/>
      <c r="MC94" s="227" t="n"/>
      <c r="MD94" s="227" t="n"/>
      <c r="ME94" s="227" t="n"/>
      <c r="MF94" s="227" t="n"/>
      <c r="MG94" s="227" t="n"/>
      <c r="MH94" s="227" t="n"/>
      <c r="MI94" s="227" t="n"/>
      <c r="MJ94" s="227" t="n"/>
      <c r="MK94" s="227" t="n"/>
      <c r="ML94" s="227" t="n"/>
      <c r="MM94" s="227" t="n"/>
      <c r="MN94" s="227" t="n"/>
      <c r="MO94" s="227" t="n"/>
      <c r="MP94" s="227" t="n"/>
      <c r="MQ94" s="227" t="n"/>
      <c r="MR94" s="227" t="n"/>
      <c r="MS94" s="227" t="n"/>
      <c r="MT94" s="227" t="n"/>
      <c r="MU94" s="227" t="n"/>
      <c r="MV94" s="227" t="n"/>
      <c r="MW94" s="227" t="n"/>
      <c r="MX94" s="227" t="n"/>
      <c r="MY94" s="227" t="n"/>
      <c r="MZ94" s="227" t="n"/>
      <c r="NA94" s="227" t="n"/>
      <c r="NB94" s="227" t="n"/>
      <c r="NC94" s="228">
        <f>SUM(B94:NB94)</f>
        <v/>
      </c>
    </row>
    <row r="95" ht="14.25" customHeight="1" s="166">
      <c r="A95" s="214" t="inlineStr">
        <is>
          <t>BTU-29-04-02</t>
        </is>
      </c>
      <c r="B95" s="227" t="n"/>
      <c r="C95" s="227" t="n"/>
      <c r="D95" s="227" t="n"/>
      <c r="E95" s="227" t="n"/>
      <c r="F95" s="227" t="n"/>
      <c r="G95" s="227" t="n"/>
      <c r="H95" s="227" t="n"/>
      <c r="I95" s="227" t="n"/>
      <c r="J95" s="227" t="n"/>
      <c r="K95" s="227" t="n"/>
      <c r="L95" s="227" t="n"/>
      <c r="M95" s="227" t="n"/>
      <c r="N95" s="227" t="n"/>
      <c r="O95" s="227" t="n"/>
      <c r="P95" s="227" t="n"/>
      <c r="Q95" s="227" t="n"/>
      <c r="R95" s="227" t="n"/>
      <c r="S95" s="227" t="n"/>
      <c r="T95" s="227" t="n"/>
      <c r="U95" s="227" t="n"/>
      <c r="V95" s="227" t="n"/>
      <c r="W95" s="227" t="n"/>
      <c r="X95" s="227" t="n"/>
      <c r="Y95" s="227" t="n"/>
      <c r="Z95" s="227" t="n"/>
      <c r="AA95" s="227" t="n"/>
      <c r="AB95" s="227" t="n"/>
      <c r="AC95" s="227" t="n"/>
      <c r="AD95" s="227" t="n"/>
      <c r="AE95" s="227" t="n"/>
      <c r="AF95" s="227" t="n"/>
      <c r="AG95" s="227" t="n"/>
      <c r="AH95" s="227" t="n"/>
      <c r="AI95" s="227" t="n"/>
      <c r="AJ95" s="227" t="n"/>
      <c r="AK95" s="227" t="n"/>
      <c r="AL95" s="227" t="n"/>
      <c r="AM95" s="227" t="n"/>
      <c r="AN95" s="227" t="n"/>
      <c r="AO95" s="227" t="n"/>
      <c r="AP95" s="227" t="n"/>
      <c r="AQ95" s="227" t="n"/>
      <c r="AR95" s="227" t="n"/>
      <c r="AS95" s="227" t="n"/>
      <c r="AT95" s="227" t="n"/>
      <c r="AU95" s="227" t="n"/>
      <c r="AV95" s="227" t="n"/>
      <c r="AW95" s="227" t="n"/>
      <c r="AX95" s="227" t="n"/>
      <c r="AY95" s="227" t="n"/>
      <c r="AZ95" s="227" t="n"/>
      <c r="BA95" s="227" t="n"/>
      <c r="BB95" s="227" t="n"/>
      <c r="BC95" s="227" t="n"/>
      <c r="BD95" s="227" t="n"/>
      <c r="BE95" s="227" t="n"/>
      <c r="BF95" s="227" t="n"/>
      <c r="BG95" s="227" t="n"/>
      <c r="BH95" s="227" t="n"/>
      <c r="BI95" s="227" t="n"/>
      <c r="BJ95" s="227" t="n"/>
      <c r="BK95" s="227" t="n"/>
      <c r="BL95" s="227" t="n"/>
      <c r="BM95" s="227" t="n"/>
      <c r="BN95" s="227" t="n"/>
      <c r="BO95" s="227" t="n"/>
      <c r="BP95" s="227" t="n"/>
      <c r="BQ95" s="227" t="n"/>
      <c r="BR95" s="227" t="n"/>
      <c r="BS95" s="227" t="n"/>
      <c r="BT95" s="227" t="n"/>
      <c r="BU95" s="227" t="n"/>
      <c r="BV95" s="227" t="n"/>
      <c r="BW95" s="227" t="n"/>
      <c r="BX95" s="227" t="n"/>
      <c r="BY95" s="227" t="n"/>
      <c r="BZ95" s="227" t="n"/>
      <c r="CA95" s="227" t="n"/>
      <c r="CB95" s="227" t="n"/>
      <c r="CC95" s="227" t="n"/>
      <c r="CD95" s="227" t="n"/>
      <c r="CE95" s="227" t="n"/>
      <c r="CF95" s="227" t="n"/>
      <c r="CG95" s="227" t="n"/>
      <c r="CH95" s="227" t="n"/>
      <c r="CI95" s="227" t="n"/>
      <c r="CJ95" s="227" t="n"/>
      <c r="CK95" s="227" t="n"/>
      <c r="CL95" s="227" t="n"/>
      <c r="CM95" s="227" t="n"/>
      <c r="CN95" s="227" t="n"/>
      <c r="CO95" s="227" t="n"/>
      <c r="CP95" s="227" t="n"/>
      <c r="CQ95" s="227" t="n"/>
      <c r="CR95" s="227" t="n"/>
      <c r="CS95" s="227" t="n"/>
      <c r="CT95" s="227" t="n"/>
      <c r="CU95" s="227" t="n"/>
      <c r="CV95" s="227" t="n"/>
      <c r="CW95" s="227" t="n"/>
      <c r="CX95" s="227" t="n"/>
      <c r="CY95" s="227" t="n"/>
      <c r="CZ95" s="227" t="n"/>
      <c r="DA95" s="227" t="n"/>
      <c r="DB95" s="227" t="n"/>
      <c r="DC95" s="227" t="n"/>
      <c r="DD95" s="227" t="n"/>
      <c r="DE95" s="227" t="n"/>
      <c r="DF95" s="227" t="n"/>
      <c r="DG95" s="227" t="n"/>
      <c r="DH95" s="227" t="n"/>
      <c r="DI95" s="227" t="n"/>
      <c r="DJ95" s="227" t="n"/>
      <c r="DK95" s="227" t="n"/>
      <c r="DL95" s="227" t="n"/>
      <c r="DM95" s="227" t="n"/>
      <c r="DN95" s="227" t="n"/>
      <c r="DO95" s="227" t="n"/>
      <c r="DP95" s="227" t="n"/>
      <c r="DQ95" s="227" t="n"/>
      <c r="DR95" s="227" t="n"/>
      <c r="DS95" s="227" t="n"/>
      <c r="DT95" s="227" t="n"/>
      <c r="DU95" s="227" t="n"/>
      <c r="DV95" s="227" t="n"/>
      <c r="DW95" s="227" t="n"/>
      <c r="DX95" s="227" t="n"/>
      <c r="DY95" s="227" t="n"/>
      <c r="DZ95" s="227" t="n"/>
      <c r="EA95" s="227" t="n"/>
      <c r="EB95" s="227" t="n"/>
      <c r="EC95" s="227" t="n"/>
      <c r="ED95" s="227" t="n"/>
      <c r="EE95" s="227" t="n"/>
      <c r="EF95" s="227" t="n"/>
      <c r="EG95" s="227" t="n"/>
      <c r="EH95" s="227" t="n"/>
      <c r="EI95" s="227" t="n"/>
      <c r="EJ95" s="227" t="n"/>
      <c r="EK95" s="227" t="n"/>
      <c r="EL95" s="227" t="n"/>
      <c r="EM95" s="227" t="n"/>
      <c r="EN95" s="227" t="n"/>
      <c r="EO95" s="227" t="n"/>
      <c r="EP95" s="227" t="n"/>
      <c r="EQ95" s="227" t="n"/>
      <c r="ER95" s="227" t="n"/>
      <c r="ES95" s="227" t="n"/>
      <c r="ET95" s="227" t="n"/>
      <c r="EU95" s="227" t="n"/>
      <c r="EV95" s="227" t="n"/>
      <c r="EW95" s="227" t="n"/>
      <c r="EX95" s="227" t="n"/>
      <c r="EY95" s="227" t="n"/>
      <c r="EZ95" s="227" t="n"/>
      <c r="FA95" s="227" t="n"/>
      <c r="FB95" s="227" t="n"/>
      <c r="FC95" s="227" t="n"/>
      <c r="FD95" s="227" t="n"/>
      <c r="FE95" s="227" t="n"/>
      <c r="FF95" s="227" t="n"/>
      <c r="FG95" s="227" t="n"/>
      <c r="FH95" s="227" t="n"/>
      <c r="FI95" s="227" t="n"/>
      <c r="FJ95" s="227" t="n"/>
      <c r="FK95" s="227" t="n"/>
      <c r="FL95" s="227" t="n"/>
      <c r="FM95" s="227" t="n"/>
      <c r="FN95" s="227" t="n"/>
      <c r="FO95" s="227" t="n"/>
      <c r="FP95" s="227" t="n"/>
      <c r="FQ95" s="227" t="n"/>
      <c r="FR95" s="227" t="n"/>
      <c r="FS95" s="227" t="n"/>
      <c r="FT95" s="227" t="n"/>
      <c r="FU95" s="227" t="n"/>
      <c r="FV95" s="227" t="n"/>
      <c r="FW95" s="227" t="n"/>
      <c r="FX95" s="227" t="n"/>
      <c r="FY95" s="227" t="n"/>
      <c r="FZ95" s="227" t="n"/>
      <c r="GA95" s="227" t="n"/>
      <c r="GB95" s="227" t="n"/>
      <c r="GC95" s="227" t="n"/>
      <c r="GD95" s="227" t="n"/>
      <c r="GE95" s="227" t="n"/>
      <c r="GF95" s="227" t="n"/>
      <c r="GG95" s="227" t="n"/>
      <c r="GH95" s="227" t="n"/>
      <c r="GI95" s="227" t="n"/>
      <c r="GJ95" s="227" t="n"/>
      <c r="GK95" s="227" t="n"/>
      <c r="GL95" s="227" t="n"/>
      <c r="GM95" s="227" t="n"/>
      <c r="GN95" s="227" t="n"/>
      <c r="GO95" s="227" t="n"/>
      <c r="GP95" s="227" t="n"/>
      <c r="GQ95" s="227" t="n"/>
      <c r="GR95" s="227" t="n"/>
      <c r="GS95" s="227" t="n"/>
      <c r="GT95" s="227" t="n"/>
      <c r="GU95" s="227" t="n"/>
      <c r="GV95" s="227" t="n"/>
      <c r="GW95" s="227" t="n"/>
      <c r="GX95" s="227" t="n"/>
      <c r="GY95" s="227" t="n"/>
      <c r="GZ95" s="227" t="n"/>
      <c r="HA95" s="227" t="n"/>
      <c r="HB95" s="227" t="n"/>
      <c r="HC95" s="227" t="n"/>
      <c r="HD95" s="227" t="n"/>
      <c r="HE95" s="227" t="n"/>
      <c r="HF95" s="227" t="n"/>
      <c r="HG95" s="227" t="n"/>
      <c r="HH95" s="227" t="n"/>
      <c r="HI95" s="227" t="n"/>
      <c r="HJ95" s="227" t="n"/>
      <c r="HK95" s="227" t="n"/>
      <c r="HL95" s="227" t="n"/>
      <c r="HM95" s="227" t="n"/>
      <c r="HN95" s="227" t="n"/>
      <c r="HO95" s="227" t="n"/>
      <c r="HP95" s="227" t="n"/>
      <c r="HQ95" s="227" t="n"/>
      <c r="HR95" s="227" t="n"/>
      <c r="HS95" s="227" t="n"/>
      <c r="HT95" s="227" t="n"/>
      <c r="HU95" s="227" t="n"/>
      <c r="HV95" s="227" t="n"/>
      <c r="HW95" s="227" t="n"/>
      <c r="HX95" s="227" t="n"/>
      <c r="HY95" s="227" t="n"/>
      <c r="HZ95" s="227" t="n"/>
      <c r="IA95" s="227" t="n"/>
      <c r="IB95" s="227" t="n"/>
      <c r="IC95" s="227" t="n"/>
      <c r="ID95" s="227" t="n"/>
      <c r="IE95" s="227" t="n"/>
      <c r="IF95" s="227" t="n"/>
      <c r="IG95" s="227" t="n"/>
      <c r="IH95" s="227" t="n"/>
      <c r="II95" s="227" t="n"/>
      <c r="IJ95" s="227" t="n"/>
      <c r="IK95" s="227" t="n"/>
      <c r="IL95" s="227" t="n"/>
      <c r="IM95" s="227" t="n"/>
      <c r="IN95" s="227" t="n"/>
      <c r="IO95" s="227" t="n"/>
      <c r="IP95" s="227" t="n"/>
      <c r="IQ95" s="227" t="n"/>
      <c r="IR95" s="227" t="n"/>
      <c r="IS95" s="227" t="n"/>
      <c r="IT95" s="227" t="n"/>
      <c r="IU95" s="227" t="n"/>
      <c r="IV95" s="227" t="n"/>
      <c r="IW95" s="227" t="n"/>
      <c r="IX95" s="227" t="n"/>
      <c r="IY95" s="227" t="n"/>
      <c r="IZ95" s="227" t="n"/>
      <c r="JA95" s="227" t="n"/>
      <c r="JB95" s="227" t="n"/>
      <c r="JC95" s="227" t="n"/>
      <c r="JD95" s="227" t="n"/>
      <c r="JE95" s="227" t="n"/>
      <c r="JF95" s="227" t="n"/>
      <c r="JG95" s="227" t="n"/>
      <c r="JH95" s="227" t="n"/>
      <c r="JI95" s="227" t="n"/>
      <c r="JJ95" s="227" t="n"/>
      <c r="JK95" s="227" t="n"/>
      <c r="JL95" s="227" t="n"/>
      <c r="JM95" s="227" t="n"/>
      <c r="JN95" s="227" t="n"/>
      <c r="JO95" s="227" t="n"/>
      <c r="JP95" s="227" t="n"/>
      <c r="JQ95" s="227" t="n"/>
      <c r="JR95" s="227" t="n"/>
      <c r="JS95" s="227" t="n"/>
      <c r="JT95" s="227" t="n"/>
      <c r="JU95" s="227" t="n"/>
      <c r="JV95" s="227" t="n"/>
      <c r="JW95" s="227" t="n"/>
      <c r="JX95" s="227" t="n"/>
      <c r="JY95" s="227" t="n"/>
      <c r="JZ95" s="227" t="n"/>
      <c r="KA95" s="227" t="n"/>
      <c r="KB95" s="227" t="n"/>
      <c r="KC95" s="227" t="n"/>
      <c r="KD95" s="227" t="n"/>
      <c r="KE95" s="227" t="n"/>
      <c r="KF95" s="227" t="n"/>
      <c r="KG95" s="227" t="n"/>
      <c r="KH95" s="227" t="n"/>
      <c r="KI95" s="227" t="n"/>
      <c r="KJ95" s="227" t="n"/>
      <c r="KK95" s="227" t="n"/>
      <c r="KL95" s="227" t="n"/>
      <c r="KM95" s="227" t="n"/>
      <c r="KN95" s="227" t="n"/>
      <c r="KO95" s="227" t="n"/>
      <c r="KP95" s="227" t="n"/>
      <c r="KQ95" s="227" t="n"/>
      <c r="KR95" s="227" t="n"/>
      <c r="KS95" s="227" t="n"/>
      <c r="KT95" s="227" t="n"/>
      <c r="KU95" s="227" t="n"/>
      <c r="KV95" s="227" t="n"/>
      <c r="KW95" s="227" t="n"/>
      <c r="KX95" s="227" t="n"/>
      <c r="KY95" s="227" t="n"/>
      <c r="KZ95" s="227" t="n"/>
      <c r="LA95" s="227" t="n"/>
      <c r="LB95" s="227" t="n"/>
      <c r="LC95" s="227" t="n"/>
      <c r="LD95" s="227" t="n"/>
      <c r="LE95" s="227" t="n"/>
      <c r="LF95" s="227" t="n"/>
      <c r="LG95" s="227" t="n"/>
      <c r="LH95" s="227" t="n"/>
      <c r="LI95" s="227" t="n"/>
      <c r="LJ95" s="227" t="n"/>
      <c r="LK95" s="227" t="n"/>
      <c r="LL95" s="227" t="n"/>
      <c r="LM95" s="227" t="n"/>
      <c r="LN95" s="227" t="n"/>
      <c r="LO95" s="227" t="n"/>
      <c r="LP95" s="227" t="n"/>
      <c r="LQ95" s="227" t="n"/>
      <c r="LR95" s="227" t="n"/>
      <c r="LS95" s="227" t="n"/>
      <c r="LT95" s="227" t="n"/>
      <c r="LU95" s="227" t="n"/>
      <c r="LV95" s="227" t="n"/>
      <c r="LW95" s="227" t="n"/>
      <c r="LX95" s="227" t="n"/>
      <c r="LY95" s="227" t="n"/>
      <c r="LZ95" s="227" t="n"/>
      <c r="MA95" s="227" t="n"/>
      <c r="MB95" s="227" t="n"/>
      <c r="MC95" s="227" t="n"/>
      <c r="MD95" s="227" t="n"/>
      <c r="ME95" s="227" t="n"/>
      <c r="MF95" s="227" t="n"/>
      <c r="MG95" s="227" t="n"/>
      <c r="MH95" s="227" t="n"/>
      <c r="MI95" s="227" t="n"/>
      <c r="MJ95" s="227" t="n"/>
      <c r="MK95" s="227" t="n"/>
      <c r="ML95" s="227" t="n"/>
      <c r="MM95" s="227" t="n"/>
      <c r="MN95" s="227" t="n"/>
      <c r="MO95" s="227" t="n"/>
      <c r="MP95" s="227" t="n"/>
      <c r="MQ95" s="227" t="n"/>
      <c r="MR95" s="227" t="n"/>
      <c r="MS95" s="227" t="n"/>
      <c r="MT95" s="227" t="n"/>
      <c r="MU95" s="227" t="n"/>
      <c r="MV95" s="227" t="n"/>
      <c r="MW95" s="227" t="n"/>
      <c r="MX95" s="227" t="n"/>
      <c r="MY95" s="227" t="n"/>
      <c r="MZ95" s="227" t="n"/>
      <c r="NA95" s="227" t="n"/>
      <c r="NB95" s="227" t="n"/>
      <c r="NC95" s="228">
        <f>SUM(B95:NB95)</f>
        <v/>
      </c>
    </row>
    <row r="96" ht="14.25" customHeight="1" s="166">
      <c r="A96" s="214" t="inlineStr">
        <is>
          <t>BTU-29-04-03</t>
        </is>
      </c>
      <c r="B96" s="227" t="n"/>
      <c r="C96" s="227" t="n"/>
      <c r="D96" s="227" t="n"/>
      <c r="E96" s="227" t="n"/>
      <c r="F96" s="227" t="n"/>
      <c r="G96" s="227" t="n"/>
      <c r="H96" s="227" t="n"/>
      <c r="I96" s="227" t="n"/>
      <c r="J96" s="227" t="n"/>
      <c r="K96" s="227" t="n"/>
      <c r="L96" s="227" t="n"/>
      <c r="M96" s="227" t="n"/>
      <c r="N96" s="227" t="n"/>
      <c r="O96" s="227" t="n"/>
      <c r="P96" s="227" t="n"/>
      <c r="Q96" s="227" t="n"/>
      <c r="R96" s="227" t="n"/>
      <c r="S96" s="227" t="n"/>
      <c r="T96" s="227" t="n"/>
      <c r="U96" s="227" t="n"/>
      <c r="V96" s="227" t="n"/>
      <c r="W96" s="227" t="n"/>
      <c r="X96" s="227" t="n"/>
      <c r="Y96" s="227" t="n"/>
      <c r="Z96" s="227" t="n"/>
      <c r="AA96" s="227" t="n"/>
      <c r="AB96" s="227" t="n"/>
      <c r="AC96" s="227" t="n"/>
      <c r="AD96" s="227" t="n"/>
      <c r="AE96" s="227" t="n"/>
      <c r="AF96" s="227" t="n"/>
      <c r="AG96" s="227" t="n"/>
      <c r="AH96" s="227" t="n"/>
      <c r="AI96" s="227" t="n"/>
      <c r="AJ96" s="227" t="n"/>
      <c r="AK96" s="227" t="n"/>
      <c r="AL96" s="227" t="n"/>
      <c r="AM96" s="227" t="n"/>
      <c r="AN96" s="227" t="n"/>
      <c r="AO96" s="227" t="n"/>
      <c r="AP96" s="227" t="n"/>
      <c r="AQ96" s="227" t="n"/>
      <c r="AR96" s="227" t="n"/>
      <c r="AS96" s="227" t="n"/>
      <c r="AT96" s="227" t="n"/>
      <c r="AU96" s="227" t="n"/>
      <c r="AV96" s="227" t="n"/>
      <c r="AW96" s="227" t="n"/>
      <c r="AX96" s="227" t="n"/>
      <c r="AY96" s="227" t="n"/>
      <c r="AZ96" s="227" t="n"/>
      <c r="BA96" s="227" t="n"/>
      <c r="BB96" s="227" t="n"/>
      <c r="BC96" s="227" t="n"/>
      <c r="BD96" s="227" t="n"/>
      <c r="BE96" s="227" t="n"/>
      <c r="BF96" s="227" t="n"/>
      <c r="BG96" s="227" t="n"/>
      <c r="BH96" s="227" t="n"/>
      <c r="BI96" s="227" t="n"/>
      <c r="BJ96" s="227" t="n"/>
      <c r="BK96" s="227" t="n"/>
      <c r="BL96" s="227" t="n"/>
      <c r="BM96" s="227" t="n"/>
      <c r="BN96" s="227" t="n"/>
      <c r="BO96" s="227" t="n"/>
      <c r="BP96" s="227" t="n"/>
      <c r="BQ96" s="227" t="n"/>
      <c r="BR96" s="227" t="n"/>
      <c r="BS96" s="227" t="n"/>
      <c r="BT96" s="227" t="n"/>
      <c r="BU96" s="227" t="n"/>
      <c r="BV96" s="227" t="n"/>
      <c r="BW96" s="227" t="n"/>
      <c r="BX96" s="227" t="n"/>
      <c r="BY96" s="227" t="n"/>
      <c r="BZ96" s="227" t="n"/>
      <c r="CA96" s="227" t="n"/>
      <c r="CB96" s="227" t="n"/>
      <c r="CC96" s="227" t="n"/>
      <c r="CD96" s="227" t="n"/>
      <c r="CE96" s="227" t="n"/>
      <c r="CF96" s="227" t="n"/>
      <c r="CG96" s="227" t="n"/>
      <c r="CH96" s="227" t="n"/>
      <c r="CI96" s="227" t="n"/>
      <c r="CJ96" s="227" t="n"/>
      <c r="CK96" s="227" t="n"/>
      <c r="CL96" s="227" t="n"/>
      <c r="CM96" s="227" t="n"/>
      <c r="CN96" s="227" t="n"/>
      <c r="CO96" s="227" t="n"/>
      <c r="CP96" s="227" t="n"/>
      <c r="CQ96" s="227" t="n"/>
      <c r="CR96" s="227" t="n"/>
      <c r="CS96" s="227" t="n"/>
      <c r="CT96" s="227" t="n"/>
      <c r="CU96" s="227" t="n"/>
      <c r="CV96" s="227" t="n"/>
      <c r="CW96" s="227" t="n"/>
      <c r="CX96" s="227" t="n"/>
      <c r="CY96" s="227" t="n"/>
      <c r="CZ96" s="227" t="n"/>
      <c r="DA96" s="227" t="n"/>
      <c r="DB96" s="227" t="n"/>
      <c r="DC96" s="227" t="n"/>
      <c r="DD96" s="227" t="n"/>
      <c r="DE96" s="227" t="n"/>
      <c r="DF96" s="227" t="n"/>
      <c r="DG96" s="227" t="n"/>
      <c r="DH96" s="227" t="n"/>
      <c r="DI96" s="227" t="n"/>
      <c r="DJ96" s="227" t="n"/>
      <c r="DK96" s="227" t="n"/>
      <c r="DL96" s="227" t="n"/>
      <c r="DM96" s="227" t="n"/>
      <c r="DN96" s="227" t="n"/>
      <c r="DO96" s="227" t="n"/>
      <c r="DP96" s="227" t="n"/>
      <c r="DQ96" s="227" t="n"/>
      <c r="DR96" s="227" t="n"/>
      <c r="DS96" s="227" t="n"/>
      <c r="DT96" s="227" t="n"/>
      <c r="DU96" s="227" t="n"/>
      <c r="DV96" s="227" t="n"/>
      <c r="DW96" s="227" t="n"/>
      <c r="DX96" s="227" t="n"/>
      <c r="DY96" s="227" t="n"/>
      <c r="DZ96" s="227" t="n"/>
      <c r="EA96" s="227" t="n"/>
      <c r="EB96" s="227" t="n"/>
      <c r="EC96" s="227" t="n"/>
      <c r="ED96" s="227" t="n"/>
      <c r="EE96" s="227" t="n"/>
      <c r="EF96" s="227" t="n"/>
      <c r="EG96" s="227" t="n"/>
      <c r="EH96" s="227" t="n"/>
      <c r="EI96" s="227" t="n"/>
      <c r="EJ96" s="227" t="n"/>
      <c r="EK96" s="227" t="n"/>
      <c r="EL96" s="227" t="n"/>
      <c r="EM96" s="227" t="n"/>
      <c r="EN96" s="227" t="n"/>
      <c r="EO96" s="227" t="n"/>
      <c r="EP96" s="227" t="n"/>
      <c r="EQ96" s="227" t="n"/>
      <c r="ER96" s="227" t="n"/>
      <c r="ES96" s="227" t="n"/>
      <c r="ET96" s="227" t="n"/>
      <c r="EU96" s="227" t="n"/>
      <c r="EV96" s="227" t="n"/>
      <c r="EW96" s="227" t="n"/>
      <c r="EX96" s="227" t="n"/>
      <c r="EY96" s="227" t="n"/>
      <c r="EZ96" s="227" t="n"/>
      <c r="FA96" s="227" t="n"/>
      <c r="FB96" s="227" t="n"/>
      <c r="FC96" s="227" t="n"/>
      <c r="FD96" s="227" t="n"/>
      <c r="FE96" s="227" t="n"/>
      <c r="FF96" s="227" t="n"/>
      <c r="FG96" s="227" t="n"/>
      <c r="FH96" s="227" t="n"/>
      <c r="FI96" s="227" t="n"/>
      <c r="FJ96" s="227" t="n"/>
      <c r="FK96" s="227" t="n"/>
      <c r="FL96" s="227" t="n"/>
      <c r="FM96" s="227" t="n"/>
      <c r="FN96" s="227" t="n"/>
      <c r="FO96" s="227" t="n"/>
      <c r="FP96" s="227" t="n"/>
      <c r="FQ96" s="227" t="n"/>
      <c r="FR96" s="227" t="n"/>
      <c r="FS96" s="227" t="n"/>
      <c r="FT96" s="227" t="n"/>
      <c r="FU96" s="227" t="n"/>
      <c r="FV96" s="227" t="n"/>
      <c r="FW96" s="227" t="n"/>
      <c r="FX96" s="227" t="n"/>
      <c r="FY96" s="227" t="n"/>
      <c r="FZ96" s="227" t="n"/>
      <c r="GA96" s="227" t="n"/>
      <c r="GB96" s="227" t="n"/>
      <c r="GC96" s="227" t="n"/>
      <c r="GD96" s="227" t="n"/>
      <c r="GE96" s="227" t="n"/>
      <c r="GF96" s="227" t="n"/>
      <c r="GG96" s="227" t="n"/>
      <c r="GH96" s="227" t="n"/>
      <c r="GI96" s="227" t="n"/>
      <c r="GJ96" s="227" t="n"/>
      <c r="GK96" s="227" t="n"/>
      <c r="GL96" s="227" t="n"/>
      <c r="GM96" s="227" t="n"/>
      <c r="GN96" s="227" t="n"/>
      <c r="GO96" s="227" t="n"/>
      <c r="GP96" s="227" t="n"/>
      <c r="GQ96" s="227" t="n"/>
      <c r="GR96" s="227" t="n"/>
      <c r="GS96" s="227" t="n"/>
      <c r="GT96" s="227" t="n"/>
      <c r="GU96" s="227" t="n"/>
      <c r="GV96" s="227" t="n"/>
      <c r="GW96" s="227" t="n"/>
      <c r="GX96" s="227" t="n"/>
      <c r="GY96" s="227" t="n"/>
      <c r="GZ96" s="227" t="n"/>
      <c r="HA96" s="227" t="n"/>
      <c r="HB96" s="227" t="n"/>
      <c r="HC96" s="227" t="n"/>
      <c r="HD96" s="227" t="n"/>
      <c r="HE96" s="227" t="n"/>
      <c r="HF96" s="227" t="n"/>
      <c r="HG96" s="227" t="n"/>
      <c r="HH96" s="227" t="n"/>
      <c r="HI96" s="227" t="n"/>
      <c r="HJ96" s="227" t="n"/>
      <c r="HK96" s="227" t="n"/>
      <c r="HL96" s="227" t="n"/>
      <c r="HM96" s="227" t="n"/>
      <c r="HN96" s="227" t="n"/>
      <c r="HO96" s="227" t="n"/>
      <c r="HP96" s="227" t="n"/>
      <c r="HQ96" s="227" t="n"/>
      <c r="HR96" s="227" t="n"/>
      <c r="HS96" s="227" t="n"/>
      <c r="HT96" s="227" t="n"/>
      <c r="HU96" s="227" t="n"/>
      <c r="HV96" s="227" t="n"/>
      <c r="HW96" s="227" t="n"/>
      <c r="HX96" s="227" t="n"/>
      <c r="HY96" s="227" t="n"/>
      <c r="HZ96" s="227" t="n"/>
      <c r="IA96" s="227" t="n"/>
      <c r="IB96" s="227" t="n"/>
      <c r="IC96" s="227" t="n"/>
      <c r="ID96" s="227" t="n"/>
      <c r="IE96" s="227" t="n"/>
      <c r="IF96" s="227" t="n"/>
      <c r="IG96" s="227" t="n"/>
      <c r="IH96" s="227" t="n"/>
      <c r="II96" s="227" t="n"/>
      <c r="IJ96" s="227" t="n"/>
      <c r="IK96" s="227" t="n"/>
      <c r="IL96" s="227" t="n"/>
      <c r="IM96" s="227" t="n"/>
      <c r="IN96" s="227" t="n"/>
      <c r="IO96" s="227" t="n"/>
      <c r="IP96" s="227" t="n"/>
      <c r="IQ96" s="227" t="n"/>
      <c r="IR96" s="227" t="n"/>
      <c r="IS96" s="227" t="n"/>
      <c r="IT96" s="227" t="n"/>
      <c r="IU96" s="227" t="n"/>
      <c r="IV96" s="227" t="n"/>
      <c r="IW96" s="227" t="n"/>
      <c r="IX96" s="227" t="n"/>
      <c r="IY96" s="227" t="n"/>
      <c r="IZ96" s="227" t="n"/>
      <c r="JA96" s="227" t="n"/>
      <c r="JB96" s="227" t="n"/>
      <c r="JC96" s="227" t="n"/>
      <c r="JD96" s="227" t="n"/>
      <c r="JE96" s="227" t="n"/>
      <c r="JF96" s="227" t="n"/>
      <c r="JG96" s="227" t="n"/>
      <c r="JH96" s="227" t="n"/>
      <c r="JI96" s="227" t="n"/>
      <c r="JJ96" s="227" t="n"/>
      <c r="JK96" s="227" t="n"/>
      <c r="JL96" s="227" t="n"/>
      <c r="JM96" s="227" t="n"/>
      <c r="JN96" s="227" t="n"/>
      <c r="JO96" s="227" t="n"/>
      <c r="JP96" s="227" t="n"/>
      <c r="JQ96" s="227" t="n"/>
      <c r="JR96" s="227" t="n"/>
      <c r="JS96" s="227" t="n"/>
      <c r="JT96" s="227" t="n"/>
      <c r="JU96" s="227" t="n"/>
      <c r="JV96" s="227" t="n"/>
      <c r="JW96" s="227" t="n"/>
      <c r="JX96" s="227" t="n"/>
      <c r="JY96" s="227" t="n"/>
      <c r="JZ96" s="227" t="n"/>
      <c r="KA96" s="227" t="n"/>
      <c r="KB96" s="227" t="n"/>
      <c r="KC96" s="227" t="n"/>
      <c r="KD96" s="227" t="n"/>
      <c r="KE96" s="227" t="n"/>
      <c r="KF96" s="227" t="n"/>
      <c r="KG96" s="227" t="n"/>
      <c r="KH96" s="227" t="n"/>
      <c r="KI96" s="227" t="n"/>
      <c r="KJ96" s="227" t="n"/>
      <c r="KK96" s="227" t="n"/>
      <c r="KL96" s="227" t="n"/>
      <c r="KM96" s="227" t="n"/>
      <c r="KN96" s="227" t="n"/>
      <c r="KO96" s="227" t="n"/>
      <c r="KP96" s="227" t="n"/>
      <c r="KQ96" s="227" t="n"/>
      <c r="KR96" s="227" t="n"/>
      <c r="KS96" s="227" t="n"/>
      <c r="KT96" s="227" t="n"/>
      <c r="KU96" s="227" t="n"/>
      <c r="KV96" s="227" t="n"/>
      <c r="KW96" s="227" t="n"/>
      <c r="KX96" s="227" t="n"/>
      <c r="KY96" s="227" t="n"/>
      <c r="KZ96" s="227" t="n"/>
      <c r="LA96" s="227" t="n"/>
      <c r="LB96" s="227" t="n"/>
      <c r="LC96" s="227" t="n"/>
      <c r="LD96" s="227" t="n"/>
      <c r="LE96" s="227" t="n"/>
      <c r="LF96" s="227" t="n"/>
      <c r="LG96" s="227" t="n"/>
      <c r="LH96" s="227" t="n"/>
      <c r="LI96" s="227" t="n"/>
      <c r="LJ96" s="227" t="n"/>
      <c r="LK96" s="227" t="n"/>
      <c r="LL96" s="227" t="n"/>
      <c r="LM96" s="227" t="n"/>
      <c r="LN96" s="227" t="n"/>
      <c r="LO96" s="227" t="n"/>
      <c r="LP96" s="227" t="n"/>
      <c r="LQ96" s="227" t="n"/>
      <c r="LR96" s="227" t="n"/>
      <c r="LS96" s="227" t="n"/>
      <c r="LT96" s="227" t="n"/>
      <c r="LU96" s="227" t="n"/>
      <c r="LV96" s="227" t="n"/>
      <c r="LW96" s="227" t="n"/>
      <c r="LX96" s="227" t="n"/>
      <c r="LY96" s="227" t="n"/>
      <c r="LZ96" s="227" t="n"/>
      <c r="MA96" s="227" t="n"/>
      <c r="MB96" s="227" t="n"/>
      <c r="MC96" s="227" t="n"/>
      <c r="MD96" s="227" t="n"/>
      <c r="ME96" s="227" t="n"/>
      <c r="MF96" s="227" t="n"/>
      <c r="MG96" s="227" t="n"/>
      <c r="MH96" s="227" t="n"/>
      <c r="MI96" s="227" t="n"/>
      <c r="MJ96" s="227" t="n"/>
      <c r="MK96" s="227" t="n"/>
      <c r="ML96" s="227" t="n"/>
      <c r="MM96" s="227" t="n"/>
      <c r="MN96" s="227" t="n"/>
      <c r="MO96" s="227" t="n"/>
      <c r="MP96" s="227" t="n"/>
      <c r="MQ96" s="227" t="n"/>
      <c r="MR96" s="227" t="n"/>
      <c r="MS96" s="227" t="n"/>
      <c r="MT96" s="227" t="n"/>
      <c r="MU96" s="227" t="n"/>
      <c r="MV96" s="227" t="n"/>
      <c r="MW96" s="227" t="n"/>
      <c r="MX96" s="227" t="n"/>
      <c r="MY96" s="227" t="n"/>
      <c r="MZ96" s="227" t="n"/>
      <c r="NA96" s="227" t="n"/>
      <c r="NB96" s="227" t="n"/>
      <c r="NC96" s="228">
        <f>SUM(B96:NB96)</f>
        <v/>
      </c>
    </row>
    <row r="97" ht="14.25" customHeight="1" s="166">
      <c r="A97" s="214" t="inlineStr">
        <is>
          <t>BTU-29-04-04</t>
        </is>
      </c>
      <c r="B97" s="227" t="n"/>
      <c r="C97" s="227" t="n"/>
      <c r="D97" s="227" t="n"/>
      <c r="E97" s="227" t="n"/>
      <c r="F97" s="227" t="n"/>
      <c r="G97" s="227" t="n"/>
      <c r="H97" s="227" t="n"/>
      <c r="I97" s="227" t="n"/>
      <c r="J97" s="227" t="n"/>
      <c r="K97" s="227" t="n"/>
      <c r="L97" s="227" t="n"/>
      <c r="M97" s="227" t="n"/>
      <c r="N97" s="227" t="n"/>
      <c r="O97" s="227" t="n"/>
      <c r="P97" s="227" t="n"/>
      <c r="Q97" s="227" t="n"/>
      <c r="R97" s="227" t="n"/>
      <c r="S97" s="227" t="n"/>
      <c r="T97" s="227" t="n"/>
      <c r="U97" s="227" t="n"/>
      <c r="V97" s="227" t="n"/>
      <c r="W97" s="227" t="n"/>
      <c r="X97" s="227" t="n"/>
      <c r="Y97" s="227" t="n"/>
      <c r="Z97" s="227" t="n"/>
      <c r="AA97" s="227" t="n"/>
      <c r="AB97" s="227" t="n"/>
      <c r="AC97" s="227" t="n"/>
      <c r="AD97" s="227" t="n"/>
      <c r="AE97" s="227" t="n"/>
      <c r="AF97" s="227" t="n"/>
      <c r="AG97" s="227" t="n"/>
      <c r="AH97" s="227" t="n"/>
      <c r="AI97" s="227" t="n"/>
      <c r="AJ97" s="227" t="n"/>
      <c r="AK97" s="227" t="n"/>
      <c r="AL97" s="227" t="n"/>
      <c r="AM97" s="227" t="n"/>
      <c r="AN97" s="227" t="n"/>
      <c r="AO97" s="227" t="n"/>
      <c r="AP97" s="227" t="n"/>
      <c r="AQ97" s="227" t="n"/>
      <c r="AR97" s="227" t="n"/>
      <c r="AS97" s="227" t="n"/>
      <c r="AT97" s="227" t="n"/>
      <c r="AU97" s="227" t="n"/>
      <c r="AV97" s="227" t="n"/>
      <c r="AW97" s="227" t="n"/>
      <c r="AX97" s="227" t="n"/>
      <c r="AY97" s="227" t="n"/>
      <c r="AZ97" s="227" t="n"/>
      <c r="BA97" s="227" t="n"/>
      <c r="BB97" s="227" t="n"/>
      <c r="BC97" s="227" t="n"/>
      <c r="BD97" s="227" t="n"/>
      <c r="BE97" s="227" t="n"/>
      <c r="BF97" s="227" t="n"/>
      <c r="BG97" s="227" t="n"/>
      <c r="BH97" s="227" t="n"/>
      <c r="BI97" s="227" t="n"/>
      <c r="BJ97" s="227" t="n"/>
      <c r="BK97" s="227" t="n"/>
      <c r="BL97" s="227" t="n"/>
      <c r="BM97" s="227" t="n"/>
      <c r="BN97" s="227" t="n"/>
      <c r="BO97" s="227" t="n"/>
      <c r="BP97" s="227" t="n"/>
      <c r="BQ97" s="227" t="n"/>
      <c r="BR97" s="227" t="n"/>
      <c r="BS97" s="227" t="n"/>
      <c r="BT97" s="227" t="n"/>
      <c r="BU97" s="227" t="n"/>
      <c r="BV97" s="227" t="n"/>
      <c r="BW97" s="227" t="n"/>
      <c r="BX97" s="227" t="n"/>
      <c r="BY97" s="227" t="n"/>
      <c r="BZ97" s="227" t="n"/>
      <c r="CA97" s="227" t="n"/>
      <c r="CB97" s="227" t="n"/>
      <c r="CC97" s="227" t="n"/>
      <c r="CD97" s="227" t="n"/>
      <c r="CE97" s="227" t="n"/>
      <c r="CF97" s="227" t="n"/>
      <c r="CG97" s="227" t="n"/>
      <c r="CH97" s="227" t="n"/>
      <c r="CI97" s="227" t="n"/>
      <c r="CJ97" s="227" t="n"/>
      <c r="CK97" s="227" t="n"/>
      <c r="CL97" s="227" t="n"/>
      <c r="CM97" s="227" t="n"/>
      <c r="CN97" s="227" t="n"/>
      <c r="CO97" s="227" t="n"/>
      <c r="CP97" s="227" t="n"/>
      <c r="CQ97" s="227" t="n"/>
      <c r="CR97" s="227" t="n"/>
      <c r="CS97" s="227" t="n"/>
      <c r="CT97" s="227" t="n"/>
      <c r="CU97" s="227" t="n"/>
      <c r="CV97" s="227" t="n"/>
      <c r="CW97" s="227" t="n"/>
      <c r="CX97" s="227" t="n"/>
      <c r="CY97" s="227" t="n"/>
      <c r="CZ97" s="227" t="n"/>
      <c r="DA97" s="227" t="n"/>
      <c r="DB97" s="227" t="n"/>
      <c r="DC97" s="227" t="n"/>
      <c r="DD97" s="227" t="n"/>
      <c r="DE97" s="227" t="n"/>
      <c r="DF97" s="227" t="n"/>
      <c r="DG97" s="227" t="n"/>
      <c r="DH97" s="227" t="n"/>
      <c r="DI97" s="227" t="n"/>
      <c r="DJ97" s="227" t="n"/>
      <c r="DK97" s="227" t="n"/>
      <c r="DL97" s="227" t="n"/>
      <c r="DM97" s="227" t="n"/>
      <c r="DN97" s="227" t="n"/>
      <c r="DO97" s="227" t="n"/>
      <c r="DP97" s="227" t="n"/>
      <c r="DQ97" s="227" t="n"/>
      <c r="DR97" s="227" t="n"/>
      <c r="DS97" s="227" t="n"/>
      <c r="DT97" s="227" t="n"/>
      <c r="DU97" s="227" t="n"/>
      <c r="DV97" s="227" t="n"/>
      <c r="DW97" s="227" t="n"/>
      <c r="DX97" s="227" t="n"/>
      <c r="DY97" s="227" t="n"/>
      <c r="DZ97" s="227" t="n"/>
      <c r="EA97" s="227" t="n"/>
      <c r="EB97" s="227" t="n"/>
      <c r="EC97" s="227" t="n"/>
      <c r="ED97" s="227" t="n"/>
      <c r="EE97" s="227" t="n"/>
      <c r="EF97" s="227" t="n"/>
      <c r="EG97" s="227" t="n"/>
      <c r="EH97" s="227" t="n"/>
      <c r="EI97" s="227" t="n"/>
      <c r="EJ97" s="227" t="n"/>
      <c r="EK97" s="227" t="n"/>
      <c r="EL97" s="227" t="n"/>
      <c r="EM97" s="227" t="n"/>
      <c r="EN97" s="227" t="n"/>
      <c r="EO97" s="227" t="n"/>
      <c r="EP97" s="227" t="n"/>
      <c r="EQ97" s="227" t="n"/>
      <c r="ER97" s="227" t="n"/>
      <c r="ES97" s="227" t="n"/>
      <c r="ET97" s="227" t="n"/>
      <c r="EU97" s="227" t="n"/>
      <c r="EV97" s="227" t="n"/>
      <c r="EW97" s="227" t="n"/>
      <c r="EX97" s="227" t="n"/>
      <c r="EY97" s="227" t="n"/>
      <c r="EZ97" s="227" t="n"/>
      <c r="FA97" s="227" t="n"/>
      <c r="FB97" s="227" t="n"/>
      <c r="FC97" s="227" t="n"/>
      <c r="FD97" s="227" t="n"/>
      <c r="FE97" s="227" t="n"/>
      <c r="FF97" s="227" t="n"/>
      <c r="FG97" s="227" t="n"/>
      <c r="FH97" s="227" t="n"/>
      <c r="FI97" s="227" t="n"/>
      <c r="FJ97" s="227" t="n"/>
      <c r="FK97" s="227" t="n"/>
      <c r="FL97" s="227" t="n"/>
      <c r="FM97" s="227" t="n"/>
      <c r="FN97" s="227" t="n"/>
      <c r="FO97" s="227" t="n"/>
      <c r="FP97" s="227" t="n"/>
      <c r="FQ97" s="227" t="n"/>
      <c r="FR97" s="227" t="n"/>
      <c r="FS97" s="227" t="n"/>
      <c r="FT97" s="227" t="n"/>
      <c r="FU97" s="227" t="n"/>
      <c r="FV97" s="227" t="n"/>
      <c r="FW97" s="227" t="n"/>
      <c r="FX97" s="227" t="n"/>
      <c r="FY97" s="227" t="n"/>
      <c r="FZ97" s="227" t="n"/>
      <c r="GA97" s="227" t="n"/>
      <c r="GB97" s="227" t="n"/>
      <c r="GC97" s="227" t="n"/>
      <c r="GD97" s="227" t="n"/>
      <c r="GE97" s="227" t="n"/>
      <c r="GF97" s="227" t="n"/>
      <c r="GG97" s="227" t="n"/>
      <c r="GH97" s="227" t="n"/>
      <c r="GI97" s="227" t="n"/>
      <c r="GJ97" s="227" t="n"/>
      <c r="GK97" s="227" t="n"/>
      <c r="GL97" s="227" t="n"/>
      <c r="GM97" s="227" t="n"/>
      <c r="GN97" s="227" t="n"/>
      <c r="GO97" s="227" t="n"/>
      <c r="GP97" s="227" t="n"/>
      <c r="GQ97" s="227" t="n"/>
      <c r="GR97" s="227" t="n"/>
      <c r="GS97" s="227" t="n"/>
      <c r="GT97" s="227" t="n"/>
      <c r="GU97" s="227" t="n"/>
      <c r="GV97" s="227" t="n"/>
      <c r="GW97" s="227" t="n"/>
      <c r="GX97" s="227" t="n"/>
      <c r="GY97" s="227" t="n"/>
      <c r="GZ97" s="227" t="n"/>
      <c r="HA97" s="227" t="n"/>
      <c r="HB97" s="227" t="n"/>
      <c r="HC97" s="227" t="n"/>
      <c r="HD97" s="227" t="n"/>
      <c r="HE97" s="227" t="n"/>
      <c r="HF97" s="227" t="n"/>
      <c r="HG97" s="227" t="n"/>
      <c r="HH97" s="227" t="n"/>
      <c r="HI97" s="227" t="n"/>
      <c r="HJ97" s="227" t="n"/>
      <c r="HK97" s="227" t="n"/>
      <c r="HL97" s="227" t="n"/>
      <c r="HM97" s="227" t="n"/>
      <c r="HN97" s="227" t="n"/>
      <c r="HO97" s="227" t="n"/>
      <c r="HP97" s="227" t="n"/>
      <c r="HQ97" s="227" t="n"/>
      <c r="HR97" s="227" t="n"/>
      <c r="HS97" s="227" t="n"/>
      <c r="HT97" s="227" t="n"/>
      <c r="HU97" s="227" t="n"/>
      <c r="HV97" s="227" t="n"/>
      <c r="HW97" s="227" t="n"/>
      <c r="HX97" s="227" t="n"/>
      <c r="HY97" s="227" t="n"/>
      <c r="HZ97" s="227" t="n"/>
      <c r="IA97" s="227" t="n"/>
      <c r="IB97" s="227" t="n"/>
      <c r="IC97" s="227" t="n"/>
      <c r="ID97" s="227" t="n"/>
      <c r="IE97" s="227" t="n"/>
      <c r="IF97" s="227" t="n"/>
      <c r="IG97" s="227" t="n"/>
      <c r="IH97" s="227" t="n"/>
      <c r="II97" s="227" t="n"/>
      <c r="IJ97" s="227" t="n"/>
      <c r="IK97" s="227" t="n"/>
      <c r="IL97" s="227" t="n"/>
      <c r="IM97" s="227" t="n"/>
      <c r="IN97" s="227" t="n"/>
      <c r="IO97" s="227" t="n"/>
      <c r="IP97" s="227" t="n"/>
      <c r="IQ97" s="227" t="n"/>
      <c r="IR97" s="227" t="n"/>
      <c r="IS97" s="227" t="n"/>
      <c r="IT97" s="227" t="n"/>
      <c r="IU97" s="227" t="n"/>
      <c r="IV97" s="227" t="n"/>
      <c r="IW97" s="227" t="n"/>
      <c r="IX97" s="227" t="n"/>
      <c r="IY97" s="227" t="n"/>
      <c r="IZ97" s="227" t="n"/>
      <c r="JA97" s="227" t="n"/>
      <c r="JB97" s="227" t="n"/>
      <c r="JC97" s="227" t="n"/>
      <c r="JD97" s="227" t="n"/>
      <c r="JE97" s="227" t="n"/>
      <c r="JF97" s="227" t="n"/>
      <c r="JG97" s="227" t="n"/>
      <c r="JH97" s="227" t="n"/>
      <c r="JI97" s="227" t="n"/>
      <c r="JJ97" s="227" t="n"/>
      <c r="JK97" s="227" t="n"/>
      <c r="JL97" s="227" t="n"/>
      <c r="JM97" s="227" t="n"/>
      <c r="JN97" s="227" t="n"/>
      <c r="JO97" s="227" t="n"/>
      <c r="JP97" s="227" t="n"/>
      <c r="JQ97" s="227" t="n"/>
      <c r="JR97" s="227" t="n"/>
      <c r="JS97" s="227" t="n"/>
      <c r="JT97" s="227" t="n"/>
      <c r="JU97" s="227" t="n"/>
      <c r="JV97" s="227" t="n"/>
      <c r="JW97" s="227" t="n"/>
      <c r="JX97" s="227" t="n"/>
      <c r="JY97" s="227" t="n"/>
      <c r="JZ97" s="227" t="n"/>
      <c r="KA97" s="227" t="n"/>
      <c r="KB97" s="227" t="n"/>
      <c r="KC97" s="227" t="n"/>
      <c r="KD97" s="227" t="n"/>
      <c r="KE97" s="227" t="n"/>
      <c r="KF97" s="227" t="n"/>
      <c r="KG97" s="227" t="n"/>
      <c r="KH97" s="227" t="n"/>
      <c r="KI97" s="227" t="n"/>
      <c r="KJ97" s="227" t="n"/>
      <c r="KK97" s="227" t="n"/>
      <c r="KL97" s="227" t="n"/>
      <c r="KM97" s="227" t="n"/>
      <c r="KN97" s="227" t="n"/>
      <c r="KO97" s="227" t="n"/>
      <c r="KP97" s="227" t="n"/>
      <c r="KQ97" s="227" t="n"/>
      <c r="KR97" s="227" t="n"/>
      <c r="KS97" s="227" t="n"/>
      <c r="KT97" s="227" t="n"/>
      <c r="KU97" s="227" t="n"/>
      <c r="KV97" s="227" t="n"/>
      <c r="KW97" s="227" t="n"/>
      <c r="KX97" s="227" t="n"/>
      <c r="KY97" s="227" t="n"/>
      <c r="KZ97" s="227" t="n"/>
      <c r="LA97" s="227" t="n"/>
      <c r="LB97" s="227" t="n"/>
      <c r="LC97" s="227" t="n"/>
      <c r="LD97" s="227" t="n"/>
      <c r="LE97" s="227" t="n"/>
      <c r="LF97" s="227" t="n"/>
      <c r="LG97" s="227" t="n"/>
      <c r="LH97" s="227" t="n"/>
      <c r="LI97" s="227" t="n"/>
      <c r="LJ97" s="227" t="n"/>
      <c r="LK97" s="227" t="n"/>
      <c r="LL97" s="227" t="n"/>
      <c r="LM97" s="227" t="n"/>
      <c r="LN97" s="227" t="n"/>
      <c r="LO97" s="227" t="n"/>
      <c r="LP97" s="227" t="n"/>
      <c r="LQ97" s="227" t="n"/>
      <c r="LR97" s="227" t="n"/>
      <c r="LS97" s="227" t="n"/>
      <c r="LT97" s="227" t="n"/>
      <c r="LU97" s="227" t="n"/>
      <c r="LV97" s="227" t="n"/>
      <c r="LW97" s="227" t="n"/>
      <c r="LX97" s="227" t="n"/>
      <c r="LY97" s="227" t="n"/>
      <c r="LZ97" s="227" t="n"/>
      <c r="MA97" s="227" t="n"/>
      <c r="MB97" s="227" t="n"/>
      <c r="MC97" s="227" t="n"/>
      <c r="MD97" s="227" t="n"/>
      <c r="ME97" s="227" t="n"/>
      <c r="MF97" s="227" t="n"/>
      <c r="MG97" s="227" t="n"/>
      <c r="MH97" s="227" t="n"/>
      <c r="MI97" s="227" t="n"/>
      <c r="MJ97" s="227" t="n"/>
      <c r="MK97" s="227" t="n"/>
      <c r="ML97" s="227" t="n"/>
      <c r="MM97" s="227" t="n"/>
      <c r="MN97" s="227" t="n"/>
      <c r="MO97" s="227" t="n"/>
      <c r="MP97" s="227" t="n"/>
      <c r="MQ97" s="227" t="n"/>
      <c r="MR97" s="227" t="n"/>
      <c r="MS97" s="227" t="n"/>
      <c r="MT97" s="227" t="n"/>
      <c r="MU97" s="227" t="n"/>
      <c r="MV97" s="227" t="n"/>
      <c r="MW97" s="227" t="n"/>
      <c r="MX97" s="227" t="n"/>
      <c r="MY97" s="227" t="n"/>
      <c r="MZ97" s="227" t="n"/>
      <c r="NA97" s="227" t="n"/>
      <c r="NB97" s="227" t="n"/>
      <c r="NC97" s="228">
        <f>SUM(B97:NB97)</f>
        <v/>
      </c>
    </row>
    <row r="98" ht="14.25" customHeight="1" s="166">
      <c r="A98" s="214" t="inlineStr">
        <is>
          <t>BTU-29-04-05</t>
        </is>
      </c>
      <c r="B98" s="227" t="n"/>
      <c r="C98" s="227" t="n"/>
      <c r="D98" s="227" t="n"/>
      <c r="E98" s="227" t="n"/>
      <c r="F98" s="227" t="n"/>
      <c r="G98" s="227" t="n"/>
      <c r="H98" s="227" t="n"/>
      <c r="I98" s="227" t="n"/>
      <c r="J98" s="227" t="n"/>
      <c r="K98" s="227" t="n"/>
      <c r="L98" s="227" t="n"/>
      <c r="M98" s="227" t="n"/>
      <c r="N98" s="227" t="n"/>
      <c r="O98" s="227" t="n"/>
      <c r="P98" s="227" t="n"/>
      <c r="Q98" s="227" t="n"/>
      <c r="R98" s="227" t="n"/>
      <c r="S98" s="227" t="n"/>
      <c r="T98" s="227" t="n"/>
      <c r="U98" s="227" t="n"/>
      <c r="V98" s="227" t="n"/>
      <c r="W98" s="227" t="n"/>
      <c r="X98" s="227" t="n"/>
      <c r="Y98" s="227" t="n"/>
      <c r="Z98" s="227" t="n"/>
      <c r="AA98" s="227" t="n"/>
      <c r="AB98" s="227" t="n"/>
      <c r="AC98" s="227" t="n"/>
      <c r="AD98" s="227" t="n"/>
      <c r="AE98" s="227" t="n"/>
      <c r="AF98" s="227" t="n"/>
      <c r="AG98" s="227" t="n"/>
      <c r="AH98" s="227" t="n"/>
      <c r="AI98" s="227" t="n"/>
      <c r="AJ98" s="227" t="n"/>
      <c r="AK98" s="227" t="n"/>
      <c r="AL98" s="227" t="n"/>
      <c r="AM98" s="227" t="n"/>
      <c r="AN98" s="227" t="n"/>
      <c r="AO98" s="227" t="n"/>
      <c r="AP98" s="227" t="n"/>
      <c r="AQ98" s="227" t="n"/>
      <c r="AR98" s="227" t="n"/>
      <c r="AS98" s="227" t="n"/>
      <c r="AT98" s="227" t="n"/>
      <c r="AU98" s="227" t="n"/>
      <c r="AV98" s="227" t="n"/>
      <c r="AW98" s="227" t="n"/>
      <c r="AX98" s="227" t="n"/>
      <c r="AY98" s="227" t="n"/>
      <c r="AZ98" s="227" t="n"/>
      <c r="BA98" s="227" t="n"/>
      <c r="BB98" s="227" t="n"/>
      <c r="BC98" s="227" t="n"/>
      <c r="BD98" s="227" t="n"/>
      <c r="BE98" s="227" t="n"/>
      <c r="BF98" s="227" t="n"/>
      <c r="BG98" s="227" t="n"/>
      <c r="BH98" s="227" t="n"/>
      <c r="BI98" s="227" t="n"/>
      <c r="BJ98" s="227" t="n"/>
      <c r="BK98" s="227" t="n"/>
      <c r="BL98" s="227" t="n"/>
      <c r="BM98" s="227" t="n"/>
      <c r="BN98" s="227" t="n"/>
      <c r="BO98" s="227" t="n"/>
      <c r="BP98" s="227" t="n"/>
      <c r="BQ98" s="227" t="n"/>
      <c r="BR98" s="227" t="n"/>
      <c r="BS98" s="227" t="n"/>
      <c r="BT98" s="227" t="n"/>
      <c r="BU98" s="227" t="n"/>
      <c r="BV98" s="227" t="n"/>
      <c r="BW98" s="227" t="n"/>
      <c r="BX98" s="227" t="n"/>
      <c r="BY98" s="227" t="n"/>
      <c r="BZ98" s="227" t="n"/>
      <c r="CA98" s="227" t="n"/>
      <c r="CB98" s="227" t="n"/>
      <c r="CC98" s="227" t="n"/>
      <c r="CD98" s="227" t="n"/>
      <c r="CE98" s="227" t="n"/>
      <c r="CF98" s="227" t="n"/>
      <c r="CG98" s="227" t="n"/>
      <c r="CH98" s="227" t="n"/>
      <c r="CI98" s="227" t="n"/>
      <c r="CJ98" s="227" t="n"/>
      <c r="CK98" s="227" t="n"/>
      <c r="CL98" s="227" t="n"/>
      <c r="CM98" s="227" t="n"/>
      <c r="CN98" s="227" t="n"/>
      <c r="CO98" s="227" t="n"/>
      <c r="CP98" s="227" t="n"/>
      <c r="CQ98" s="227" t="n"/>
      <c r="CR98" s="227" t="n"/>
      <c r="CS98" s="227" t="n"/>
      <c r="CT98" s="227" t="n"/>
      <c r="CU98" s="227" t="n"/>
      <c r="CV98" s="227" t="n"/>
      <c r="CW98" s="227" t="n"/>
      <c r="CX98" s="227" t="n"/>
      <c r="CY98" s="227" t="n"/>
      <c r="CZ98" s="227" t="n"/>
      <c r="DA98" s="227" t="n"/>
      <c r="DB98" s="227" t="n"/>
      <c r="DC98" s="227" t="n"/>
      <c r="DD98" s="227" t="n"/>
      <c r="DE98" s="227" t="n"/>
      <c r="DF98" s="227" t="n"/>
      <c r="DG98" s="227" t="n"/>
      <c r="DH98" s="227" t="n"/>
      <c r="DI98" s="227" t="n"/>
      <c r="DJ98" s="227" t="n"/>
      <c r="DK98" s="227" t="n"/>
      <c r="DL98" s="227" t="n"/>
      <c r="DM98" s="227" t="n"/>
      <c r="DN98" s="227" t="n"/>
      <c r="DO98" s="227" t="n"/>
      <c r="DP98" s="227" t="n"/>
      <c r="DQ98" s="227" t="n"/>
      <c r="DR98" s="227" t="n"/>
      <c r="DS98" s="227" t="n"/>
      <c r="DT98" s="227" t="n"/>
      <c r="DU98" s="227" t="n"/>
      <c r="DV98" s="227" t="n"/>
      <c r="DW98" s="227" t="n"/>
      <c r="DX98" s="227" t="n"/>
      <c r="DY98" s="227" t="n"/>
      <c r="DZ98" s="227" t="n"/>
      <c r="EA98" s="227" t="n"/>
      <c r="EB98" s="227" t="n"/>
      <c r="EC98" s="227" t="n"/>
      <c r="ED98" s="227" t="n"/>
      <c r="EE98" s="227" t="n"/>
      <c r="EF98" s="227" t="n"/>
      <c r="EG98" s="227" t="n"/>
      <c r="EH98" s="227" t="n"/>
      <c r="EI98" s="227" t="n"/>
      <c r="EJ98" s="227" t="n"/>
      <c r="EK98" s="227" t="n"/>
      <c r="EL98" s="227" t="n"/>
      <c r="EM98" s="227" t="n"/>
      <c r="EN98" s="227" t="n"/>
      <c r="EO98" s="227" t="n"/>
      <c r="EP98" s="227" t="n"/>
      <c r="EQ98" s="227" t="n"/>
      <c r="ER98" s="227" t="n"/>
      <c r="ES98" s="227" t="n"/>
      <c r="ET98" s="227" t="n"/>
      <c r="EU98" s="227" t="n"/>
      <c r="EV98" s="227" t="n"/>
      <c r="EW98" s="227" t="n"/>
      <c r="EX98" s="227" t="n"/>
      <c r="EY98" s="227" t="n"/>
      <c r="EZ98" s="227" t="n"/>
      <c r="FA98" s="227" t="n"/>
      <c r="FB98" s="227" t="n"/>
      <c r="FC98" s="227" t="n"/>
      <c r="FD98" s="227" t="n"/>
      <c r="FE98" s="227" t="n"/>
      <c r="FF98" s="227" t="n"/>
      <c r="FG98" s="227" t="n"/>
      <c r="FH98" s="227" t="n"/>
      <c r="FI98" s="227" t="n"/>
      <c r="FJ98" s="227" t="n"/>
      <c r="FK98" s="227" t="n"/>
      <c r="FL98" s="227" t="n"/>
      <c r="FM98" s="227" t="n"/>
      <c r="FN98" s="227" t="n"/>
      <c r="FO98" s="227" t="n"/>
      <c r="FP98" s="227" t="n"/>
      <c r="FQ98" s="227" t="n"/>
      <c r="FR98" s="227" t="n"/>
      <c r="FS98" s="227" t="n"/>
      <c r="FT98" s="227" t="n"/>
      <c r="FU98" s="227" t="n"/>
      <c r="FV98" s="227" t="n"/>
      <c r="FW98" s="227" t="n"/>
      <c r="FX98" s="227" t="n"/>
      <c r="FY98" s="227" t="n"/>
      <c r="FZ98" s="227" t="n"/>
      <c r="GA98" s="227" t="n"/>
      <c r="GB98" s="227" t="n"/>
      <c r="GC98" s="227" t="n"/>
      <c r="GD98" s="227" t="n"/>
      <c r="GE98" s="227" t="n"/>
      <c r="GF98" s="227" t="n"/>
      <c r="GG98" s="227" t="n"/>
      <c r="GH98" s="227" t="n"/>
      <c r="GI98" s="227" t="n"/>
      <c r="GJ98" s="227" t="n"/>
      <c r="GK98" s="227" t="n"/>
      <c r="GL98" s="227" t="n"/>
      <c r="GM98" s="227" t="n"/>
      <c r="GN98" s="227" t="n"/>
      <c r="GO98" s="227" t="n"/>
      <c r="GP98" s="227" t="n"/>
      <c r="GQ98" s="227" t="n"/>
      <c r="GR98" s="227" t="n"/>
      <c r="GS98" s="227" t="n"/>
      <c r="GT98" s="227" t="n"/>
      <c r="GU98" s="227" t="n"/>
      <c r="GV98" s="227" t="n"/>
      <c r="GW98" s="227" t="n"/>
      <c r="GX98" s="227" t="n"/>
      <c r="GY98" s="227" t="n"/>
      <c r="GZ98" s="227" t="n"/>
      <c r="HA98" s="227" t="n"/>
      <c r="HB98" s="227" t="n"/>
      <c r="HC98" s="227" t="n"/>
      <c r="HD98" s="227" t="n"/>
      <c r="HE98" s="227" t="n"/>
      <c r="HF98" s="227" t="n"/>
      <c r="HG98" s="227" t="n"/>
      <c r="HH98" s="227" t="n"/>
      <c r="HI98" s="227" t="n"/>
      <c r="HJ98" s="227" t="n"/>
      <c r="HK98" s="227" t="n"/>
      <c r="HL98" s="227" t="n"/>
      <c r="HM98" s="227" t="n"/>
      <c r="HN98" s="227" t="n"/>
      <c r="HO98" s="227" t="n"/>
      <c r="HP98" s="227" t="n"/>
      <c r="HQ98" s="227" t="n"/>
      <c r="HR98" s="227" t="n"/>
      <c r="HS98" s="227" t="n"/>
      <c r="HT98" s="227" t="n"/>
      <c r="HU98" s="227" t="n"/>
      <c r="HV98" s="227" t="n"/>
      <c r="HW98" s="227" t="n"/>
      <c r="HX98" s="227" t="n"/>
      <c r="HY98" s="227" t="n"/>
      <c r="HZ98" s="227" t="n"/>
      <c r="IA98" s="227" t="n"/>
      <c r="IB98" s="227" t="n"/>
      <c r="IC98" s="227" t="n"/>
      <c r="ID98" s="227" t="n"/>
      <c r="IE98" s="227" t="n"/>
      <c r="IF98" s="227" t="n"/>
      <c r="IG98" s="227" t="n"/>
      <c r="IH98" s="227" t="n"/>
      <c r="II98" s="227" t="n"/>
      <c r="IJ98" s="227" t="n"/>
      <c r="IK98" s="227" t="n"/>
      <c r="IL98" s="227" t="n"/>
      <c r="IM98" s="227" t="n"/>
      <c r="IN98" s="227" t="n"/>
      <c r="IO98" s="227" t="n"/>
      <c r="IP98" s="227" t="n"/>
      <c r="IQ98" s="227" t="n"/>
      <c r="IR98" s="227" t="n"/>
      <c r="IS98" s="227" t="n"/>
      <c r="IT98" s="227" t="n"/>
      <c r="IU98" s="227" t="n"/>
      <c r="IV98" s="227" t="n"/>
      <c r="IW98" s="227" t="n"/>
      <c r="IX98" s="227" t="n"/>
      <c r="IY98" s="227" t="n"/>
      <c r="IZ98" s="227" t="n"/>
      <c r="JA98" s="227" t="n"/>
      <c r="JB98" s="227" t="n"/>
      <c r="JC98" s="227" t="n"/>
      <c r="JD98" s="227" t="n"/>
      <c r="JE98" s="227" t="n"/>
      <c r="JF98" s="227" t="n"/>
      <c r="JG98" s="227" t="n"/>
      <c r="JH98" s="227" t="n"/>
      <c r="JI98" s="227" t="n"/>
      <c r="JJ98" s="227" t="n"/>
      <c r="JK98" s="227" t="n"/>
      <c r="JL98" s="227" t="n"/>
      <c r="JM98" s="227" t="n"/>
      <c r="JN98" s="227" t="n"/>
      <c r="JO98" s="227" t="n"/>
      <c r="JP98" s="227" t="n"/>
      <c r="JQ98" s="227" t="n"/>
      <c r="JR98" s="227" t="n"/>
      <c r="JS98" s="227" t="n"/>
      <c r="JT98" s="227" t="n"/>
      <c r="JU98" s="227" t="n"/>
      <c r="JV98" s="227" t="n"/>
      <c r="JW98" s="227" t="n"/>
      <c r="JX98" s="227" t="n"/>
      <c r="JY98" s="227" t="n"/>
      <c r="JZ98" s="227" t="n"/>
      <c r="KA98" s="227" t="n"/>
      <c r="KB98" s="227" t="n"/>
      <c r="KC98" s="227" t="n"/>
      <c r="KD98" s="227" t="n"/>
      <c r="KE98" s="227" t="n"/>
      <c r="KF98" s="227" t="n"/>
      <c r="KG98" s="227" t="n"/>
      <c r="KH98" s="227" t="n"/>
      <c r="KI98" s="227" t="n"/>
      <c r="KJ98" s="227" t="n"/>
      <c r="KK98" s="227" t="n"/>
      <c r="KL98" s="227" t="n"/>
      <c r="KM98" s="227" t="n"/>
      <c r="KN98" s="227" t="n"/>
      <c r="KO98" s="227" t="n"/>
      <c r="KP98" s="227" t="n"/>
      <c r="KQ98" s="227" t="n"/>
      <c r="KR98" s="227" t="n"/>
      <c r="KS98" s="227" t="n"/>
      <c r="KT98" s="227" t="n"/>
      <c r="KU98" s="227" t="n"/>
      <c r="KV98" s="227" t="n"/>
      <c r="KW98" s="227" t="n"/>
      <c r="KX98" s="227" t="n"/>
      <c r="KY98" s="227" t="n"/>
      <c r="KZ98" s="227" t="n"/>
      <c r="LA98" s="227" t="n"/>
      <c r="LB98" s="227" t="n"/>
      <c r="LC98" s="227" t="n"/>
      <c r="LD98" s="227" t="n"/>
      <c r="LE98" s="227" t="n"/>
      <c r="LF98" s="227" t="n"/>
      <c r="LG98" s="227" t="n"/>
      <c r="LH98" s="227" t="n"/>
      <c r="LI98" s="227" t="n"/>
      <c r="LJ98" s="227" t="n"/>
      <c r="LK98" s="227" t="n"/>
      <c r="LL98" s="227" t="n"/>
      <c r="LM98" s="227" t="n"/>
      <c r="LN98" s="227" t="n"/>
      <c r="LO98" s="227" t="n"/>
      <c r="LP98" s="227" t="n"/>
      <c r="LQ98" s="227" t="n"/>
      <c r="LR98" s="227" t="n"/>
      <c r="LS98" s="227" t="n"/>
      <c r="LT98" s="227" t="n"/>
      <c r="LU98" s="227" t="n"/>
      <c r="LV98" s="227" t="n"/>
      <c r="LW98" s="227" t="n"/>
      <c r="LX98" s="227" t="n"/>
      <c r="LY98" s="227" t="n"/>
      <c r="LZ98" s="227" t="n"/>
      <c r="MA98" s="227" t="n"/>
      <c r="MB98" s="227" t="n"/>
      <c r="MC98" s="227" t="n"/>
      <c r="MD98" s="227" t="n"/>
      <c r="ME98" s="227" t="n"/>
      <c r="MF98" s="227" t="n"/>
      <c r="MG98" s="227" t="n"/>
      <c r="MH98" s="227" t="n"/>
      <c r="MI98" s="227" t="n"/>
      <c r="MJ98" s="227" t="n"/>
      <c r="MK98" s="227" t="n"/>
      <c r="ML98" s="227" t="n"/>
      <c r="MM98" s="227" t="n"/>
      <c r="MN98" s="227" t="n"/>
      <c r="MO98" s="227" t="n"/>
      <c r="MP98" s="227" t="n"/>
      <c r="MQ98" s="227" t="n"/>
      <c r="MR98" s="227" t="n"/>
      <c r="MS98" s="227" t="n"/>
      <c r="MT98" s="227" t="n"/>
      <c r="MU98" s="227" t="n"/>
      <c r="MV98" s="227" t="n"/>
      <c r="MW98" s="227" t="n"/>
      <c r="MX98" s="227" t="n"/>
      <c r="MY98" s="227" t="n"/>
      <c r="MZ98" s="227" t="n"/>
      <c r="NA98" s="227" t="n"/>
      <c r="NB98" s="227" t="n"/>
      <c r="NC98" s="228">
        <f>SUM(B98:NB98)</f>
        <v/>
      </c>
    </row>
    <row r="99" ht="14.25" customHeight="1" s="166">
      <c r="A99" s="214" t="inlineStr">
        <is>
          <t>BTU-29-05-01</t>
        </is>
      </c>
      <c r="B99" s="227" t="n"/>
      <c r="C99" s="227" t="n"/>
      <c r="D99" s="227" t="n"/>
      <c r="E99" s="227" t="n"/>
      <c r="F99" s="227" t="n"/>
      <c r="G99" s="227" t="n"/>
      <c r="H99" s="227" t="n"/>
      <c r="I99" s="227" t="n"/>
      <c r="J99" s="227" t="n"/>
      <c r="K99" s="227" t="n"/>
      <c r="L99" s="227" t="n"/>
      <c r="M99" s="227" t="n"/>
      <c r="N99" s="227" t="n"/>
      <c r="O99" s="227" t="n"/>
      <c r="P99" s="227" t="n"/>
      <c r="Q99" s="227" t="n"/>
      <c r="R99" s="227" t="n"/>
      <c r="S99" s="227" t="n"/>
      <c r="T99" s="227" t="n"/>
      <c r="U99" s="227" t="n"/>
      <c r="V99" s="227" t="n"/>
      <c r="W99" s="227" t="n"/>
      <c r="X99" s="227" t="n"/>
      <c r="Y99" s="227" t="n"/>
      <c r="Z99" s="227" t="n"/>
      <c r="AA99" s="227" t="n"/>
      <c r="AB99" s="227" t="n"/>
      <c r="AC99" s="227" t="n"/>
      <c r="AD99" s="227" t="n"/>
      <c r="AE99" s="227" t="n"/>
      <c r="AF99" s="227" t="n"/>
      <c r="AG99" s="227" t="n"/>
      <c r="AH99" s="227" t="n"/>
      <c r="AI99" s="227" t="n"/>
      <c r="AJ99" s="227" t="n"/>
      <c r="AK99" s="227" t="n"/>
      <c r="AL99" s="227" t="n"/>
      <c r="AM99" s="227" t="n"/>
      <c r="AN99" s="227" t="n"/>
      <c r="AO99" s="227" t="n"/>
      <c r="AP99" s="227" t="n"/>
      <c r="AQ99" s="227" t="n"/>
      <c r="AR99" s="227" t="n"/>
      <c r="AS99" s="227" t="n"/>
      <c r="AT99" s="227" t="n"/>
      <c r="AU99" s="227" t="n"/>
      <c r="AV99" s="227" t="n"/>
      <c r="AW99" s="227" t="n"/>
      <c r="AX99" s="227" t="n"/>
      <c r="AY99" s="227" t="n"/>
      <c r="AZ99" s="227" t="n"/>
      <c r="BA99" s="227" t="n"/>
      <c r="BB99" s="227" t="n"/>
      <c r="BC99" s="227" t="n"/>
      <c r="BD99" s="227" t="n"/>
      <c r="BE99" s="227" t="n"/>
      <c r="BF99" s="227" t="n"/>
      <c r="BG99" s="227" t="n"/>
      <c r="BH99" s="227" t="n"/>
      <c r="BI99" s="227" t="n"/>
      <c r="BJ99" s="227" t="n"/>
      <c r="BK99" s="227" t="n"/>
      <c r="BL99" s="227" t="n"/>
      <c r="BM99" s="227" t="n"/>
      <c r="BN99" s="227" t="n"/>
      <c r="BO99" s="227" t="n"/>
      <c r="BP99" s="227" t="n"/>
      <c r="BQ99" s="227" t="n"/>
      <c r="BR99" s="227" t="n"/>
      <c r="BS99" s="227" t="n"/>
      <c r="BT99" s="227" t="n"/>
      <c r="BU99" s="227" t="n"/>
      <c r="BV99" s="227" t="n"/>
      <c r="BW99" s="227" t="n"/>
      <c r="BX99" s="227" t="n"/>
      <c r="BY99" s="227" t="n"/>
      <c r="BZ99" s="227" t="n"/>
      <c r="CA99" s="227" t="n"/>
      <c r="CB99" s="227" t="n"/>
      <c r="CC99" s="227" t="n"/>
      <c r="CD99" s="227" t="n"/>
      <c r="CE99" s="227" t="n"/>
      <c r="CF99" s="227" t="n"/>
      <c r="CG99" s="227" t="n"/>
      <c r="CH99" s="227" t="n"/>
      <c r="CI99" s="227" t="n"/>
      <c r="CJ99" s="227" t="n"/>
      <c r="CK99" s="227" t="n"/>
      <c r="CL99" s="227" t="n"/>
      <c r="CM99" s="227" t="n"/>
      <c r="CN99" s="227" t="n"/>
      <c r="CO99" s="227" t="n"/>
      <c r="CP99" s="227" t="n"/>
      <c r="CQ99" s="227" t="n"/>
      <c r="CR99" s="227" t="n"/>
      <c r="CS99" s="227" t="n"/>
      <c r="CT99" s="227" t="n"/>
      <c r="CU99" s="227" t="n"/>
      <c r="CV99" s="227" t="n"/>
      <c r="CW99" s="227" t="n"/>
      <c r="CX99" s="227" t="n"/>
      <c r="CY99" s="227" t="n"/>
      <c r="CZ99" s="227" t="n"/>
      <c r="DA99" s="227" t="n"/>
      <c r="DB99" s="227" t="n"/>
      <c r="DC99" s="227" t="n"/>
      <c r="DD99" s="227" t="n"/>
      <c r="DE99" s="227" t="n"/>
      <c r="DF99" s="227" t="n"/>
      <c r="DG99" s="227" t="n"/>
      <c r="DH99" s="227" t="n"/>
      <c r="DI99" s="227" t="n"/>
      <c r="DJ99" s="227" t="n"/>
      <c r="DK99" s="227" t="n"/>
      <c r="DL99" s="227" t="n"/>
      <c r="DM99" s="227" t="n"/>
      <c r="DN99" s="227" t="n"/>
      <c r="DO99" s="227" t="n"/>
      <c r="DP99" s="227" t="n"/>
      <c r="DQ99" s="227" t="n"/>
      <c r="DR99" s="227" t="n"/>
      <c r="DS99" s="227" t="n"/>
      <c r="DT99" s="227" t="n"/>
      <c r="DU99" s="227" t="n"/>
      <c r="DV99" s="227" t="n"/>
      <c r="DW99" s="227" t="n"/>
      <c r="DX99" s="227" t="n"/>
      <c r="DY99" s="227" t="n"/>
      <c r="DZ99" s="227" t="n"/>
      <c r="EA99" s="227" t="n"/>
      <c r="EB99" s="227" t="n"/>
      <c r="EC99" s="227" t="n"/>
      <c r="ED99" s="227" t="n"/>
      <c r="EE99" s="227" t="n"/>
      <c r="EF99" s="227" t="n"/>
      <c r="EG99" s="227" t="n"/>
      <c r="EH99" s="227" t="n"/>
      <c r="EI99" s="227" t="n"/>
      <c r="EJ99" s="227" t="n"/>
      <c r="EK99" s="227" t="n"/>
      <c r="EL99" s="227" t="n"/>
      <c r="EM99" s="227" t="n"/>
      <c r="EN99" s="227" t="n"/>
      <c r="EO99" s="227" t="n"/>
      <c r="EP99" s="227" t="n"/>
      <c r="EQ99" s="227" t="n"/>
      <c r="ER99" s="227" t="n"/>
      <c r="ES99" s="227" t="n"/>
      <c r="ET99" s="227" t="n"/>
      <c r="EU99" s="227" t="n"/>
      <c r="EV99" s="227" t="n"/>
      <c r="EW99" s="227" t="n"/>
      <c r="EX99" s="227" t="n"/>
      <c r="EY99" s="227" t="n"/>
      <c r="EZ99" s="227" t="n"/>
      <c r="FA99" s="227" t="n"/>
      <c r="FB99" s="227" t="n"/>
      <c r="FC99" s="227" t="n"/>
      <c r="FD99" s="227" t="n"/>
      <c r="FE99" s="227" t="n"/>
      <c r="FF99" s="227" t="n"/>
      <c r="FG99" s="227" t="n"/>
      <c r="FH99" s="227" t="n"/>
      <c r="FI99" s="227" t="n"/>
      <c r="FJ99" s="227" t="n"/>
      <c r="FK99" s="227" t="n"/>
      <c r="FL99" s="227" t="n"/>
      <c r="FM99" s="227" t="n"/>
      <c r="FN99" s="227" t="n"/>
      <c r="FO99" s="227" t="n"/>
      <c r="FP99" s="227" t="n"/>
      <c r="FQ99" s="227" t="n"/>
      <c r="FR99" s="227" t="n"/>
      <c r="FS99" s="227" t="n"/>
      <c r="FT99" s="227" t="n"/>
      <c r="FU99" s="227" t="n"/>
      <c r="FV99" s="227" t="n"/>
      <c r="FW99" s="227" t="n"/>
      <c r="FX99" s="227" t="n"/>
      <c r="FY99" s="227" t="n"/>
      <c r="FZ99" s="227" t="n"/>
      <c r="GA99" s="227" t="n"/>
      <c r="GB99" s="227" t="n"/>
      <c r="GC99" s="227" t="n"/>
      <c r="GD99" s="227" t="n"/>
      <c r="GE99" s="227" t="n"/>
      <c r="GF99" s="227" t="n"/>
      <c r="GG99" s="227" t="n"/>
      <c r="GH99" s="227" t="n"/>
      <c r="GI99" s="227" t="n"/>
      <c r="GJ99" s="227" t="n"/>
      <c r="GK99" s="227" t="n"/>
      <c r="GL99" s="227" t="n"/>
      <c r="GM99" s="227" t="n"/>
      <c r="GN99" s="227" t="n"/>
      <c r="GO99" s="227" t="n"/>
      <c r="GP99" s="227" t="n"/>
      <c r="GQ99" s="227" t="n"/>
      <c r="GR99" s="227" t="n"/>
      <c r="GS99" s="227" t="n"/>
      <c r="GT99" s="227" t="n"/>
      <c r="GU99" s="227" t="n"/>
      <c r="GV99" s="227" t="n"/>
      <c r="GW99" s="227" t="n"/>
      <c r="GX99" s="227" t="n"/>
      <c r="GY99" s="227" t="n"/>
      <c r="GZ99" s="227" t="n"/>
      <c r="HA99" s="227" t="n"/>
      <c r="HB99" s="227" t="n"/>
      <c r="HC99" s="227" t="n"/>
      <c r="HD99" s="227" t="n"/>
      <c r="HE99" s="227" t="n"/>
      <c r="HF99" s="227" t="n"/>
      <c r="HG99" s="227" t="n"/>
      <c r="HH99" s="227" t="n"/>
      <c r="HI99" s="227" t="n"/>
      <c r="HJ99" s="227" t="n"/>
      <c r="HK99" s="227" t="n"/>
      <c r="HL99" s="227" t="n"/>
      <c r="HM99" s="227" t="n"/>
      <c r="HN99" s="227" t="n"/>
      <c r="HO99" s="227" t="n"/>
      <c r="HP99" s="227" t="n"/>
      <c r="HQ99" s="227" t="n"/>
      <c r="HR99" s="227" t="n"/>
      <c r="HS99" s="227" t="n"/>
      <c r="HT99" s="227" t="n"/>
      <c r="HU99" s="227" t="n"/>
      <c r="HV99" s="227" t="n"/>
      <c r="HW99" s="227" t="n"/>
      <c r="HX99" s="227" t="n"/>
      <c r="HY99" s="227" t="n"/>
      <c r="HZ99" s="227" t="n"/>
      <c r="IA99" s="227" t="n"/>
      <c r="IB99" s="227" t="n"/>
      <c r="IC99" s="227" t="n"/>
      <c r="ID99" s="227" t="n"/>
      <c r="IE99" s="227" t="n"/>
      <c r="IF99" s="227" t="n"/>
      <c r="IG99" s="227" t="n"/>
      <c r="IH99" s="227" t="n"/>
      <c r="II99" s="227" t="n"/>
      <c r="IJ99" s="227" t="n"/>
      <c r="IK99" s="227" t="n"/>
      <c r="IL99" s="227" t="n"/>
      <c r="IM99" s="227" t="n"/>
      <c r="IN99" s="227" t="n"/>
      <c r="IO99" s="227" t="n"/>
      <c r="IP99" s="227" t="n"/>
      <c r="IQ99" s="227" t="n"/>
      <c r="IR99" s="227" t="n"/>
      <c r="IS99" s="227" t="n"/>
      <c r="IT99" s="227" t="n"/>
      <c r="IU99" s="227" t="n"/>
      <c r="IV99" s="227" t="n"/>
      <c r="IW99" s="227" t="n"/>
      <c r="IX99" s="227" t="n"/>
      <c r="IY99" s="227" t="n"/>
      <c r="IZ99" s="227" t="n"/>
      <c r="JA99" s="227" t="n"/>
      <c r="JB99" s="227" t="n"/>
      <c r="JC99" s="227" t="n"/>
      <c r="JD99" s="227" t="n"/>
      <c r="JE99" s="227" t="n"/>
      <c r="JF99" s="227" t="n"/>
      <c r="JG99" s="227" t="n"/>
      <c r="JH99" s="227" t="n"/>
      <c r="JI99" s="227" t="n"/>
      <c r="JJ99" s="227" t="n"/>
      <c r="JK99" s="227" t="n"/>
      <c r="JL99" s="227" t="n"/>
      <c r="JM99" s="227" t="n"/>
      <c r="JN99" s="227" t="n"/>
      <c r="JO99" s="227" t="n"/>
      <c r="JP99" s="227" t="n"/>
      <c r="JQ99" s="227" t="n"/>
      <c r="JR99" s="227" t="n"/>
      <c r="JS99" s="227" t="n"/>
      <c r="JT99" s="227" t="n"/>
      <c r="JU99" s="227" t="n"/>
      <c r="JV99" s="227" t="n"/>
      <c r="JW99" s="227" t="n"/>
      <c r="JX99" s="227" t="n"/>
      <c r="JY99" s="227" t="n"/>
      <c r="JZ99" s="227" t="n"/>
      <c r="KA99" s="227" t="n"/>
      <c r="KB99" s="227" t="n"/>
      <c r="KC99" s="227" t="n"/>
      <c r="KD99" s="227" t="n"/>
      <c r="KE99" s="227" t="n"/>
      <c r="KF99" s="227" t="n"/>
      <c r="KG99" s="227" t="n"/>
      <c r="KH99" s="227" t="n"/>
      <c r="KI99" s="227" t="n"/>
      <c r="KJ99" s="227" t="n"/>
      <c r="KK99" s="227" t="n"/>
      <c r="KL99" s="227" t="n"/>
      <c r="KM99" s="227" t="n"/>
      <c r="KN99" s="227" t="n"/>
      <c r="KO99" s="227" t="n"/>
      <c r="KP99" s="227" t="n"/>
      <c r="KQ99" s="227" t="n"/>
      <c r="KR99" s="227" t="n"/>
      <c r="KS99" s="227" t="n"/>
      <c r="KT99" s="227" t="n"/>
      <c r="KU99" s="227" t="n"/>
      <c r="KV99" s="227" t="n"/>
      <c r="KW99" s="227" t="n"/>
      <c r="KX99" s="227" t="n"/>
      <c r="KY99" s="227" t="n"/>
      <c r="KZ99" s="227" t="n"/>
      <c r="LA99" s="227" t="n"/>
      <c r="LB99" s="227" t="n"/>
      <c r="LC99" s="227" t="n"/>
      <c r="LD99" s="227" t="n"/>
      <c r="LE99" s="227" t="n"/>
      <c r="LF99" s="227" t="n"/>
      <c r="LG99" s="227" t="n"/>
      <c r="LH99" s="227" t="n"/>
      <c r="LI99" s="227" t="n"/>
      <c r="LJ99" s="227" t="n"/>
      <c r="LK99" s="227" t="n"/>
      <c r="LL99" s="227" t="n"/>
      <c r="LM99" s="227" t="n"/>
      <c r="LN99" s="227" t="n"/>
      <c r="LO99" s="227" t="n"/>
      <c r="LP99" s="227" t="n"/>
      <c r="LQ99" s="227" t="n"/>
      <c r="LR99" s="227" t="n"/>
      <c r="LS99" s="227" t="n"/>
      <c r="LT99" s="227" t="n"/>
      <c r="LU99" s="227" t="n"/>
      <c r="LV99" s="227" t="n"/>
      <c r="LW99" s="227" t="n"/>
      <c r="LX99" s="227" t="n"/>
      <c r="LY99" s="227" t="n"/>
      <c r="LZ99" s="227" t="n"/>
      <c r="MA99" s="227" t="n"/>
      <c r="MB99" s="227" t="n"/>
      <c r="MC99" s="227" t="n"/>
      <c r="MD99" s="227" t="n"/>
      <c r="ME99" s="227" t="n"/>
      <c r="MF99" s="227" t="n"/>
      <c r="MG99" s="227" t="n"/>
      <c r="MH99" s="227" t="n"/>
      <c r="MI99" s="227" t="n"/>
      <c r="MJ99" s="227" t="n"/>
      <c r="MK99" s="227" t="n"/>
      <c r="ML99" s="227" t="n"/>
      <c r="MM99" s="227" t="n"/>
      <c r="MN99" s="227" t="n"/>
      <c r="MO99" s="227" t="n"/>
      <c r="MP99" s="227" t="n"/>
      <c r="MQ99" s="227" t="n"/>
      <c r="MR99" s="227" t="n"/>
      <c r="MS99" s="227" t="n"/>
      <c r="MT99" s="227" t="n"/>
      <c r="MU99" s="227" t="n"/>
      <c r="MV99" s="227" t="n"/>
      <c r="MW99" s="227" t="n"/>
      <c r="MX99" s="227" t="n"/>
      <c r="MY99" s="227" t="n"/>
      <c r="MZ99" s="227" t="n"/>
      <c r="NA99" s="227" t="n"/>
      <c r="NB99" s="227" t="n"/>
      <c r="NC99" s="228">
        <f>SUM(B99:NB99)</f>
        <v/>
      </c>
    </row>
    <row r="100" ht="14.25" customHeight="1" s="166">
      <c r="A100" s="214" t="inlineStr">
        <is>
          <t>BTU-29-05-02</t>
        </is>
      </c>
      <c r="B100" s="227" t="n"/>
      <c r="C100" s="227" t="n"/>
      <c r="D100" s="227" t="n"/>
      <c r="E100" s="227" t="n"/>
      <c r="F100" s="227" t="n"/>
      <c r="G100" s="227" t="n"/>
      <c r="H100" s="227" t="n"/>
      <c r="I100" s="227" t="n"/>
      <c r="J100" s="227" t="n"/>
      <c r="K100" s="227" t="n"/>
      <c r="L100" s="227" t="n"/>
      <c r="M100" s="227" t="n"/>
      <c r="N100" s="227" t="n"/>
      <c r="O100" s="227" t="n"/>
      <c r="P100" s="227" t="n"/>
      <c r="Q100" s="227" t="n"/>
      <c r="R100" s="227" t="n"/>
      <c r="S100" s="227" t="n"/>
      <c r="T100" s="227" t="n"/>
      <c r="U100" s="227" t="n"/>
      <c r="V100" s="227" t="n"/>
      <c r="W100" s="227" t="n"/>
      <c r="X100" s="227" t="n"/>
      <c r="Y100" s="227" t="n"/>
      <c r="Z100" s="227" t="n"/>
      <c r="AA100" s="227" t="n"/>
      <c r="AB100" s="227" t="n"/>
      <c r="AC100" s="227" t="n"/>
      <c r="AD100" s="227" t="n"/>
      <c r="AE100" s="227" t="n"/>
      <c r="AF100" s="227" t="n"/>
      <c r="AG100" s="227" t="n"/>
      <c r="AH100" s="227" t="n"/>
      <c r="AI100" s="227" t="n"/>
      <c r="AJ100" s="227" t="n"/>
      <c r="AK100" s="227" t="n"/>
      <c r="AL100" s="227" t="n"/>
      <c r="AM100" s="227" t="n"/>
      <c r="AN100" s="227" t="n"/>
      <c r="AO100" s="227" t="n"/>
      <c r="AP100" s="227" t="n"/>
      <c r="AQ100" s="227" t="n"/>
      <c r="AR100" s="227" t="n"/>
      <c r="AS100" s="227" t="n"/>
      <c r="AT100" s="227" t="n"/>
      <c r="AU100" s="227" t="n"/>
      <c r="AV100" s="227" t="n"/>
      <c r="AW100" s="227" t="n"/>
      <c r="AX100" s="227" t="n"/>
      <c r="AY100" s="227" t="n"/>
      <c r="AZ100" s="227" t="n"/>
      <c r="BA100" s="227" t="n"/>
      <c r="BB100" s="227" t="n"/>
      <c r="BC100" s="227" t="n"/>
      <c r="BD100" s="227" t="n"/>
      <c r="BE100" s="227" t="n"/>
      <c r="BF100" s="227" t="n"/>
      <c r="BG100" s="227" t="n"/>
      <c r="BH100" s="227" t="n"/>
      <c r="BI100" s="227" t="n"/>
      <c r="BJ100" s="227" t="n"/>
      <c r="BK100" s="227" t="n"/>
      <c r="BL100" s="227" t="n"/>
      <c r="BM100" s="227" t="n"/>
      <c r="BN100" s="227" t="n"/>
      <c r="BO100" s="227" t="n"/>
      <c r="BP100" s="227" t="n"/>
      <c r="BQ100" s="227" t="n"/>
      <c r="BR100" s="227" t="n"/>
      <c r="BS100" s="227" t="n"/>
      <c r="BT100" s="227" t="n"/>
      <c r="BU100" s="227" t="n"/>
      <c r="BV100" s="227" t="n"/>
      <c r="BW100" s="227" t="n"/>
      <c r="BX100" s="227" t="n"/>
      <c r="BY100" s="227" t="n"/>
      <c r="BZ100" s="227" t="n"/>
      <c r="CA100" s="227" t="n"/>
      <c r="CB100" s="227" t="n"/>
      <c r="CC100" s="227" t="n"/>
      <c r="CD100" s="227" t="n"/>
      <c r="CE100" s="227" t="n"/>
      <c r="CF100" s="227" t="n"/>
      <c r="CG100" s="227" t="n"/>
      <c r="CH100" s="227" t="n"/>
      <c r="CI100" s="227" t="n"/>
      <c r="CJ100" s="227" t="n"/>
      <c r="CK100" s="227" t="n"/>
      <c r="CL100" s="227" t="n"/>
      <c r="CM100" s="227" t="n"/>
      <c r="CN100" s="227" t="n"/>
      <c r="CO100" s="227" t="n"/>
      <c r="CP100" s="227" t="n"/>
      <c r="CQ100" s="227" t="n"/>
      <c r="CR100" s="227" t="n"/>
      <c r="CS100" s="227" t="n"/>
      <c r="CT100" s="227" t="n"/>
      <c r="CU100" s="227" t="n"/>
      <c r="CV100" s="227" t="n"/>
      <c r="CW100" s="227" t="n"/>
      <c r="CX100" s="227" t="n"/>
      <c r="CY100" s="227" t="n"/>
      <c r="CZ100" s="227" t="n"/>
      <c r="DA100" s="227" t="n"/>
      <c r="DB100" s="227" t="n"/>
      <c r="DC100" s="227" t="n"/>
      <c r="DD100" s="227" t="n"/>
      <c r="DE100" s="227" t="n"/>
      <c r="DF100" s="227" t="n"/>
      <c r="DG100" s="227" t="n"/>
      <c r="DH100" s="227" t="n"/>
      <c r="DI100" s="227" t="n"/>
      <c r="DJ100" s="227" t="n"/>
      <c r="DK100" s="227" t="n"/>
      <c r="DL100" s="227" t="n"/>
      <c r="DM100" s="227" t="n"/>
      <c r="DN100" s="227" t="n"/>
      <c r="DO100" s="227" t="n"/>
      <c r="DP100" s="227" t="n"/>
      <c r="DQ100" s="227" t="n"/>
      <c r="DR100" s="227" t="n"/>
      <c r="DS100" s="227" t="n"/>
      <c r="DT100" s="227" t="n"/>
      <c r="DU100" s="227" t="n"/>
      <c r="DV100" s="227" t="n"/>
      <c r="DW100" s="227" t="n"/>
      <c r="DX100" s="227" t="n"/>
      <c r="DY100" s="227" t="n"/>
      <c r="DZ100" s="227" t="n"/>
      <c r="EA100" s="227" t="n"/>
      <c r="EB100" s="227" t="n"/>
      <c r="EC100" s="227" t="n"/>
      <c r="ED100" s="227" t="n"/>
      <c r="EE100" s="227" t="n"/>
      <c r="EF100" s="227" t="n"/>
      <c r="EG100" s="227" t="n"/>
      <c r="EH100" s="227" t="n"/>
      <c r="EI100" s="227" t="n"/>
      <c r="EJ100" s="227" t="n"/>
      <c r="EK100" s="227" t="n"/>
      <c r="EL100" s="227" t="n"/>
      <c r="EM100" s="227" t="n"/>
      <c r="EN100" s="227" t="n"/>
      <c r="EO100" s="227" t="n"/>
      <c r="EP100" s="227" t="n"/>
      <c r="EQ100" s="227" t="n"/>
      <c r="ER100" s="227" t="n"/>
      <c r="ES100" s="227" t="n"/>
      <c r="ET100" s="227" t="n"/>
      <c r="EU100" s="227" t="n"/>
      <c r="EV100" s="227" t="n"/>
      <c r="EW100" s="227" t="n"/>
      <c r="EX100" s="227" t="n"/>
      <c r="EY100" s="227" t="n"/>
      <c r="EZ100" s="227" t="n"/>
      <c r="FA100" s="227" t="n"/>
      <c r="FB100" s="227" t="n"/>
      <c r="FC100" s="227" t="n"/>
      <c r="FD100" s="227" t="n"/>
      <c r="FE100" s="227" t="n"/>
      <c r="FF100" s="227" t="n"/>
      <c r="FG100" s="227" t="n"/>
      <c r="FH100" s="227" t="n"/>
      <c r="FI100" s="227" t="n"/>
      <c r="FJ100" s="227" t="n"/>
      <c r="FK100" s="227" t="n"/>
      <c r="FL100" s="227" t="n"/>
      <c r="FM100" s="227" t="n"/>
      <c r="FN100" s="227" t="n"/>
      <c r="FO100" s="227" t="n"/>
      <c r="FP100" s="227" t="n"/>
      <c r="FQ100" s="227" t="n"/>
      <c r="FR100" s="227" t="n"/>
      <c r="FS100" s="227" t="n"/>
      <c r="FT100" s="227" t="n"/>
      <c r="FU100" s="227" t="n"/>
      <c r="FV100" s="227" t="n"/>
      <c r="FW100" s="227" t="n"/>
      <c r="FX100" s="227" t="n"/>
      <c r="FY100" s="227" t="n"/>
      <c r="FZ100" s="227" t="n"/>
      <c r="GA100" s="227" t="n"/>
      <c r="GB100" s="227" t="n"/>
      <c r="GC100" s="227" t="n"/>
      <c r="GD100" s="227" t="n"/>
      <c r="GE100" s="227" t="n"/>
      <c r="GF100" s="227" t="n"/>
      <c r="GG100" s="227" t="n"/>
      <c r="GH100" s="227" t="n"/>
      <c r="GI100" s="227" t="n"/>
      <c r="GJ100" s="227" t="n"/>
      <c r="GK100" s="227" t="n"/>
      <c r="GL100" s="227" t="n"/>
      <c r="GM100" s="227" t="n"/>
      <c r="GN100" s="227" t="n"/>
      <c r="GO100" s="227" t="n"/>
      <c r="GP100" s="227" t="n"/>
      <c r="GQ100" s="227" t="n"/>
      <c r="GR100" s="227" t="n"/>
      <c r="GS100" s="227" t="n"/>
      <c r="GT100" s="227" t="n"/>
      <c r="GU100" s="227" t="n"/>
      <c r="GV100" s="227" t="n"/>
      <c r="GW100" s="227" t="n"/>
      <c r="GX100" s="227" t="n"/>
      <c r="GY100" s="227" t="n"/>
      <c r="GZ100" s="227" t="n"/>
      <c r="HA100" s="227" t="n"/>
      <c r="HB100" s="227" t="n"/>
      <c r="HC100" s="227" t="n"/>
      <c r="HD100" s="227" t="n"/>
      <c r="HE100" s="227" t="n"/>
      <c r="HF100" s="227" t="n"/>
      <c r="HG100" s="227" t="n"/>
      <c r="HH100" s="227" t="n"/>
      <c r="HI100" s="227" t="n"/>
      <c r="HJ100" s="227" t="n"/>
      <c r="HK100" s="227" t="n"/>
      <c r="HL100" s="227" t="n"/>
      <c r="HM100" s="227" t="n"/>
      <c r="HN100" s="227" t="n"/>
      <c r="HO100" s="227" t="n"/>
      <c r="HP100" s="227" t="n"/>
      <c r="HQ100" s="227" t="n"/>
      <c r="HR100" s="227" t="n"/>
      <c r="HS100" s="227" t="n"/>
      <c r="HT100" s="227" t="n"/>
      <c r="HU100" s="227" t="n"/>
      <c r="HV100" s="227" t="n"/>
      <c r="HW100" s="227" t="n"/>
      <c r="HX100" s="227" t="n"/>
      <c r="HY100" s="227" t="n"/>
      <c r="HZ100" s="227" t="n"/>
      <c r="IA100" s="227" t="n"/>
      <c r="IB100" s="227" t="n"/>
      <c r="IC100" s="227" t="n"/>
      <c r="ID100" s="227" t="n"/>
      <c r="IE100" s="227" t="n"/>
      <c r="IF100" s="227" t="n"/>
      <c r="IG100" s="227" t="n"/>
      <c r="IH100" s="227" t="n"/>
      <c r="II100" s="227" t="n"/>
      <c r="IJ100" s="227" t="n"/>
      <c r="IK100" s="227" t="n"/>
      <c r="IL100" s="227" t="n"/>
      <c r="IM100" s="227" t="n"/>
      <c r="IN100" s="227" t="n"/>
      <c r="IO100" s="227" t="n"/>
      <c r="IP100" s="227" t="n"/>
      <c r="IQ100" s="227" t="n"/>
      <c r="IR100" s="227" t="n"/>
      <c r="IS100" s="227" t="n"/>
      <c r="IT100" s="227" t="n"/>
      <c r="IU100" s="227" t="n"/>
      <c r="IV100" s="227" t="n"/>
      <c r="IW100" s="227" t="n"/>
      <c r="IX100" s="227" t="n"/>
      <c r="IY100" s="227" t="n"/>
      <c r="IZ100" s="227" t="n"/>
      <c r="JA100" s="227" t="n"/>
      <c r="JB100" s="227" t="n"/>
      <c r="JC100" s="227" t="n"/>
      <c r="JD100" s="227" t="n"/>
      <c r="JE100" s="227" t="n"/>
      <c r="JF100" s="227" t="n"/>
      <c r="JG100" s="227" t="n"/>
      <c r="JH100" s="227" t="n"/>
      <c r="JI100" s="227" t="n"/>
      <c r="JJ100" s="227" t="n"/>
      <c r="JK100" s="227" t="n"/>
      <c r="JL100" s="227" t="n"/>
      <c r="JM100" s="227" t="n"/>
      <c r="JN100" s="227" t="n"/>
      <c r="JO100" s="227" t="n"/>
      <c r="JP100" s="227" t="n"/>
      <c r="JQ100" s="227" t="n"/>
      <c r="JR100" s="227" t="n"/>
      <c r="JS100" s="227" t="n"/>
      <c r="JT100" s="227" t="n"/>
      <c r="JU100" s="227" t="n"/>
      <c r="JV100" s="227" t="n"/>
      <c r="JW100" s="227" t="n"/>
      <c r="JX100" s="227" t="n"/>
      <c r="JY100" s="227" t="n"/>
      <c r="JZ100" s="227" t="n"/>
      <c r="KA100" s="227" t="n"/>
      <c r="KB100" s="227" t="n"/>
      <c r="KC100" s="227" t="n"/>
      <c r="KD100" s="227" t="n"/>
      <c r="KE100" s="227" t="n"/>
      <c r="KF100" s="227" t="n"/>
      <c r="KG100" s="227" t="n"/>
      <c r="KH100" s="227" t="n"/>
      <c r="KI100" s="227" t="n"/>
      <c r="KJ100" s="227" t="n"/>
      <c r="KK100" s="227" t="n"/>
      <c r="KL100" s="227" t="n"/>
      <c r="KM100" s="227" t="n"/>
      <c r="KN100" s="227" t="n"/>
      <c r="KO100" s="227" t="n"/>
      <c r="KP100" s="227" t="n"/>
      <c r="KQ100" s="227" t="n"/>
      <c r="KR100" s="227" t="n"/>
      <c r="KS100" s="227" t="n"/>
      <c r="KT100" s="227" t="n"/>
      <c r="KU100" s="227" t="n"/>
      <c r="KV100" s="227" t="n"/>
      <c r="KW100" s="227" t="n"/>
      <c r="KX100" s="227" t="n"/>
      <c r="KY100" s="227" t="n"/>
      <c r="KZ100" s="227" t="n"/>
      <c r="LA100" s="227" t="n"/>
      <c r="LB100" s="227" t="n"/>
      <c r="LC100" s="227" t="n"/>
      <c r="LD100" s="227" t="n"/>
      <c r="LE100" s="227" t="n"/>
      <c r="LF100" s="227" t="n"/>
      <c r="LG100" s="227" t="n"/>
      <c r="LH100" s="227" t="n"/>
      <c r="LI100" s="227" t="n"/>
      <c r="LJ100" s="227" t="n"/>
      <c r="LK100" s="227" t="n"/>
      <c r="LL100" s="227" t="n"/>
      <c r="LM100" s="227" t="n"/>
      <c r="LN100" s="227" t="n"/>
      <c r="LO100" s="227" t="n"/>
      <c r="LP100" s="227" t="n"/>
      <c r="LQ100" s="227" t="n"/>
      <c r="LR100" s="227" t="n"/>
      <c r="LS100" s="227" t="n"/>
      <c r="LT100" s="227" t="n"/>
      <c r="LU100" s="227" t="n"/>
      <c r="LV100" s="227" t="n"/>
      <c r="LW100" s="227" t="n"/>
      <c r="LX100" s="227" t="n"/>
      <c r="LY100" s="227" t="n"/>
      <c r="LZ100" s="227" t="n"/>
      <c r="MA100" s="227" t="n"/>
      <c r="MB100" s="227" t="n"/>
      <c r="MC100" s="227" t="n"/>
      <c r="MD100" s="227" t="n"/>
      <c r="ME100" s="227" t="n"/>
      <c r="MF100" s="227" t="n"/>
      <c r="MG100" s="227" t="n"/>
      <c r="MH100" s="227" t="n"/>
      <c r="MI100" s="227" t="n"/>
      <c r="MJ100" s="227" t="n"/>
      <c r="MK100" s="227" t="n"/>
      <c r="ML100" s="227" t="n"/>
      <c r="MM100" s="227" t="n"/>
      <c r="MN100" s="227" t="n"/>
      <c r="MO100" s="227" t="n"/>
      <c r="MP100" s="227" t="n"/>
      <c r="MQ100" s="227" t="n"/>
      <c r="MR100" s="227" t="n"/>
      <c r="MS100" s="227" t="n"/>
      <c r="MT100" s="227" t="n"/>
      <c r="MU100" s="227" t="n"/>
      <c r="MV100" s="227" t="n"/>
      <c r="MW100" s="227" t="n"/>
      <c r="MX100" s="227" t="n"/>
      <c r="MY100" s="227" t="n"/>
      <c r="MZ100" s="227" t="n"/>
      <c r="NA100" s="227" t="n"/>
      <c r="NB100" s="227" t="n"/>
      <c r="NC100" s="228">
        <f>SUM(B100:NB100)</f>
        <v/>
      </c>
    </row>
    <row r="101" ht="14.25" customHeight="1" s="166">
      <c r="A101" s="214" t="inlineStr">
        <is>
          <t>BTU-29-05-03</t>
        </is>
      </c>
      <c r="B101" s="227" t="n"/>
      <c r="C101" s="227" t="n"/>
      <c r="D101" s="227" t="n"/>
      <c r="E101" s="227" t="n"/>
      <c r="F101" s="227" t="n"/>
      <c r="G101" s="227" t="n"/>
      <c r="H101" s="227" t="n"/>
      <c r="I101" s="227" t="n"/>
      <c r="J101" s="227" t="n"/>
      <c r="K101" s="227" t="n"/>
      <c r="L101" s="227" t="n"/>
      <c r="M101" s="227" t="n"/>
      <c r="N101" s="227" t="n"/>
      <c r="O101" s="227" t="n"/>
      <c r="P101" s="227" t="n"/>
      <c r="Q101" s="227" t="n"/>
      <c r="R101" s="227" t="n"/>
      <c r="S101" s="227" t="n"/>
      <c r="T101" s="227" t="n"/>
      <c r="U101" s="227" t="n"/>
      <c r="V101" s="227" t="n"/>
      <c r="W101" s="227" t="n"/>
      <c r="X101" s="227" t="n"/>
      <c r="Y101" s="227" t="n"/>
      <c r="Z101" s="227" t="n"/>
      <c r="AA101" s="227" t="n"/>
      <c r="AB101" s="227" t="n"/>
      <c r="AC101" s="227" t="n"/>
      <c r="AD101" s="227" t="n"/>
      <c r="AE101" s="227" t="n"/>
      <c r="AF101" s="227" t="n"/>
      <c r="AG101" s="227" t="n"/>
      <c r="AH101" s="227" t="n"/>
      <c r="AI101" s="227" t="n"/>
      <c r="AJ101" s="227" t="n"/>
      <c r="AK101" s="227" t="n"/>
      <c r="AL101" s="227" t="n"/>
      <c r="AM101" s="227" t="n"/>
      <c r="AN101" s="227" t="n"/>
      <c r="AO101" s="227" t="n"/>
      <c r="AP101" s="227" t="n"/>
      <c r="AQ101" s="227" t="n"/>
      <c r="AR101" s="227" t="n"/>
      <c r="AS101" s="227" t="n"/>
      <c r="AT101" s="227" t="n"/>
      <c r="AU101" s="227" t="n"/>
      <c r="AV101" s="227" t="n"/>
      <c r="AW101" s="227" t="n"/>
      <c r="AX101" s="227" t="n"/>
      <c r="AY101" s="227" t="n"/>
      <c r="AZ101" s="227" t="n"/>
      <c r="BA101" s="227" t="n"/>
      <c r="BB101" s="227" t="n"/>
      <c r="BC101" s="227" t="n"/>
      <c r="BD101" s="227" t="n"/>
      <c r="BE101" s="227" t="n"/>
      <c r="BF101" s="227" t="n"/>
      <c r="BG101" s="227" t="n"/>
      <c r="BH101" s="227" t="n"/>
      <c r="BI101" s="227" t="n"/>
      <c r="BJ101" s="227" t="n"/>
      <c r="BK101" s="227" t="n"/>
      <c r="BL101" s="227" t="n"/>
      <c r="BM101" s="227" t="n"/>
      <c r="BN101" s="227" t="n"/>
      <c r="BO101" s="227" t="n"/>
      <c r="BP101" s="227" t="n"/>
      <c r="BQ101" s="227" t="n"/>
      <c r="BR101" s="227" t="n"/>
      <c r="BS101" s="227" t="n"/>
      <c r="BT101" s="227" t="n"/>
      <c r="BU101" s="227" t="n"/>
      <c r="BV101" s="227" t="n"/>
      <c r="BW101" s="227" t="n"/>
      <c r="BX101" s="227" t="n"/>
      <c r="BY101" s="227" t="n"/>
      <c r="BZ101" s="227" t="n"/>
      <c r="CA101" s="227" t="n"/>
      <c r="CB101" s="227" t="n"/>
      <c r="CC101" s="227" t="n"/>
      <c r="CD101" s="227" t="n"/>
      <c r="CE101" s="227" t="n"/>
      <c r="CF101" s="227" t="n"/>
      <c r="CG101" s="227" t="n"/>
      <c r="CH101" s="227" t="n"/>
      <c r="CI101" s="227" t="n"/>
      <c r="CJ101" s="227" t="n"/>
      <c r="CK101" s="227" t="n"/>
      <c r="CL101" s="227" t="n"/>
      <c r="CM101" s="227" t="n"/>
      <c r="CN101" s="227" t="n"/>
      <c r="CO101" s="227" t="n"/>
      <c r="CP101" s="227" t="n"/>
      <c r="CQ101" s="227" t="n"/>
      <c r="CR101" s="227" t="n"/>
      <c r="CS101" s="227" t="n"/>
      <c r="CT101" s="227" t="n"/>
      <c r="CU101" s="227" t="n"/>
      <c r="CV101" s="227" t="n"/>
      <c r="CW101" s="227" t="n"/>
      <c r="CX101" s="227" t="n"/>
      <c r="CY101" s="227" t="n"/>
      <c r="CZ101" s="227" t="n"/>
      <c r="DA101" s="227" t="n"/>
      <c r="DB101" s="227" t="n"/>
      <c r="DC101" s="227" t="n"/>
      <c r="DD101" s="227" t="n"/>
      <c r="DE101" s="227" t="n"/>
      <c r="DF101" s="227" t="n"/>
      <c r="DG101" s="227" t="n"/>
      <c r="DH101" s="227" t="n"/>
      <c r="DI101" s="227" t="n"/>
      <c r="DJ101" s="227" t="n"/>
      <c r="DK101" s="227" t="n"/>
      <c r="DL101" s="227" t="n"/>
      <c r="DM101" s="227" t="n"/>
      <c r="DN101" s="227" t="n"/>
      <c r="DO101" s="227" t="n"/>
      <c r="DP101" s="227" t="n"/>
      <c r="DQ101" s="227" t="n"/>
      <c r="DR101" s="227" t="n"/>
      <c r="DS101" s="227" t="n"/>
      <c r="DT101" s="227" t="n"/>
      <c r="DU101" s="227" t="n"/>
      <c r="DV101" s="227" t="n"/>
      <c r="DW101" s="227" t="n"/>
      <c r="DX101" s="227" t="n"/>
      <c r="DY101" s="227" t="n"/>
      <c r="DZ101" s="227" t="n"/>
      <c r="EA101" s="227" t="n"/>
      <c r="EB101" s="227" t="n"/>
      <c r="EC101" s="227" t="n"/>
      <c r="ED101" s="227" t="n"/>
      <c r="EE101" s="227" t="n"/>
      <c r="EF101" s="227" t="n"/>
      <c r="EG101" s="227" t="n"/>
      <c r="EH101" s="227" t="n"/>
      <c r="EI101" s="227" t="n"/>
      <c r="EJ101" s="227" t="n"/>
      <c r="EK101" s="227" t="n"/>
      <c r="EL101" s="227" t="n"/>
      <c r="EM101" s="227" t="n"/>
      <c r="EN101" s="227" t="n"/>
      <c r="EO101" s="227" t="n"/>
      <c r="EP101" s="227" t="n"/>
      <c r="EQ101" s="227" t="n"/>
      <c r="ER101" s="227" t="n"/>
      <c r="ES101" s="227" t="n"/>
      <c r="ET101" s="227" t="n"/>
      <c r="EU101" s="227" t="n"/>
      <c r="EV101" s="227" t="n"/>
      <c r="EW101" s="227" t="n"/>
      <c r="EX101" s="227" t="n"/>
      <c r="EY101" s="227" t="n"/>
      <c r="EZ101" s="227" t="n"/>
      <c r="FA101" s="227" t="n"/>
      <c r="FB101" s="227" t="n"/>
      <c r="FC101" s="227" t="n"/>
      <c r="FD101" s="227" t="n"/>
      <c r="FE101" s="227" t="n"/>
      <c r="FF101" s="227" t="n"/>
      <c r="FG101" s="227" t="n"/>
      <c r="FH101" s="227" t="n"/>
      <c r="FI101" s="227" t="n"/>
      <c r="FJ101" s="227" t="n"/>
      <c r="FK101" s="227" t="n"/>
      <c r="FL101" s="227" t="n"/>
      <c r="FM101" s="227" t="n"/>
      <c r="FN101" s="227" t="n"/>
      <c r="FO101" s="227" t="n"/>
      <c r="FP101" s="227" t="n"/>
      <c r="FQ101" s="227" t="n"/>
      <c r="FR101" s="227" t="n"/>
      <c r="FS101" s="227" t="n"/>
      <c r="FT101" s="227" t="n"/>
      <c r="FU101" s="227" t="n"/>
      <c r="FV101" s="227" t="n"/>
      <c r="FW101" s="227" t="n"/>
      <c r="FX101" s="227" t="n"/>
      <c r="FY101" s="227" t="n"/>
      <c r="FZ101" s="227" t="n"/>
      <c r="GA101" s="227" t="n"/>
      <c r="GB101" s="227" t="n"/>
      <c r="GC101" s="227" t="n"/>
      <c r="GD101" s="227" t="n"/>
      <c r="GE101" s="227" t="n"/>
      <c r="GF101" s="227" t="n"/>
      <c r="GG101" s="227" t="n"/>
      <c r="GH101" s="227" t="n"/>
      <c r="GI101" s="227" t="n"/>
      <c r="GJ101" s="227" t="n"/>
      <c r="GK101" s="227" t="n"/>
      <c r="GL101" s="227" t="n"/>
      <c r="GM101" s="227" t="n"/>
      <c r="GN101" s="227" t="n"/>
      <c r="GO101" s="227" t="n"/>
      <c r="GP101" s="227" t="n"/>
      <c r="GQ101" s="227" t="n"/>
      <c r="GR101" s="227" t="n"/>
      <c r="GS101" s="227" t="n"/>
      <c r="GT101" s="227" t="n"/>
      <c r="GU101" s="227" t="n"/>
      <c r="GV101" s="227" t="n"/>
      <c r="GW101" s="227" t="n"/>
      <c r="GX101" s="227" t="n"/>
      <c r="GY101" s="227" t="n"/>
      <c r="GZ101" s="227" t="n"/>
      <c r="HA101" s="227" t="n"/>
      <c r="HB101" s="227" t="n"/>
      <c r="HC101" s="227" t="n"/>
      <c r="HD101" s="227" t="n"/>
      <c r="HE101" s="227" t="n"/>
      <c r="HF101" s="227" t="n"/>
      <c r="HG101" s="227" t="n"/>
      <c r="HH101" s="227" t="n"/>
      <c r="HI101" s="227" t="n"/>
      <c r="HJ101" s="227" t="n"/>
      <c r="HK101" s="227" t="n"/>
      <c r="HL101" s="227" t="n"/>
      <c r="HM101" s="227" t="n"/>
      <c r="HN101" s="227" t="n"/>
      <c r="HO101" s="227" t="n"/>
      <c r="HP101" s="227" t="n"/>
      <c r="HQ101" s="227" t="n"/>
      <c r="HR101" s="227" t="n"/>
      <c r="HS101" s="227" t="n"/>
      <c r="HT101" s="227" t="n"/>
      <c r="HU101" s="227" t="n"/>
      <c r="HV101" s="227" t="n"/>
      <c r="HW101" s="227" t="n"/>
      <c r="HX101" s="227" t="n"/>
      <c r="HY101" s="227" t="n"/>
      <c r="HZ101" s="227" t="n"/>
      <c r="IA101" s="227" t="n"/>
      <c r="IB101" s="227" t="n"/>
      <c r="IC101" s="227" t="n"/>
      <c r="ID101" s="227" t="n"/>
      <c r="IE101" s="227" t="n"/>
      <c r="IF101" s="227" t="n"/>
      <c r="IG101" s="227" t="n"/>
      <c r="IH101" s="227" t="n"/>
      <c r="II101" s="227" t="n"/>
      <c r="IJ101" s="227" t="n"/>
      <c r="IK101" s="227" t="n"/>
      <c r="IL101" s="227" t="n"/>
      <c r="IM101" s="227" t="n"/>
      <c r="IN101" s="227" t="n"/>
      <c r="IO101" s="227" t="n"/>
      <c r="IP101" s="227" t="n"/>
      <c r="IQ101" s="227" t="n"/>
      <c r="IR101" s="227" t="n"/>
      <c r="IS101" s="227" t="n"/>
      <c r="IT101" s="227" t="n"/>
      <c r="IU101" s="227" t="n"/>
      <c r="IV101" s="227" t="n"/>
      <c r="IW101" s="227" t="n"/>
      <c r="IX101" s="227" t="n"/>
      <c r="IY101" s="227" t="n"/>
      <c r="IZ101" s="227" t="n"/>
      <c r="JA101" s="227" t="n"/>
      <c r="JB101" s="227" t="n"/>
      <c r="JC101" s="227" t="n"/>
      <c r="JD101" s="227" t="n"/>
      <c r="JE101" s="227" t="n"/>
      <c r="JF101" s="227" t="n"/>
      <c r="JG101" s="227" t="n"/>
      <c r="JH101" s="227" t="n"/>
      <c r="JI101" s="227" t="n"/>
      <c r="JJ101" s="227" t="n"/>
      <c r="JK101" s="227" t="n"/>
      <c r="JL101" s="227" t="n"/>
      <c r="JM101" s="227" t="n"/>
      <c r="JN101" s="227" t="n"/>
      <c r="JO101" s="227" t="n"/>
      <c r="JP101" s="227" t="n"/>
      <c r="JQ101" s="227" t="n"/>
      <c r="JR101" s="227" t="n"/>
      <c r="JS101" s="227" t="n"/>
      <c r="JT101" s="227" t="n"/>
      <c r="JU101" s="227" t="n"/>
      <c r="JV101" s="227" t="n"/>
      <c r="JW101" s="227" t="n"/>
      <c r="JX101" s="227" t="n"/>
      <c r="JY101" s="227" t="n"/>
      <c r="JZ101" s="227" t="n"/>
      <c r="KA101" s="227" t="n"/>
      <c r="KB101" s="227" t="n"/>
      <c r="KC101" s="227" t="n"/>
      <c r="KD101" s="227" t="n"/>
      <c r="KE101" s="227" t="n"/>
      <c r="KF101" s="227" t="n"/>
      <c r="KG101" s="227" t="n"/>
      <c r="KH101" s="227" t="n"/>
      <c r="KI101" s="227" t="n"/>
      <c r="KJ101" s="227" t="n"/>
      <c r="KK101" s="227" t="n"/>
      <c r="KL101" s="227" t="n"/>
      <c r="KM101" s="227" t="n"/>
      <c r="KN101" s="227" t="n"/>
      <c r="KO101" s="227" t="n"/>
      <c r="KP101" s="227" t="n"/>
      <c r="KQ101" s="227" t="n"/>
      <c r="KR101" s="227" t="n"/>
      <c r="KS101" s="227" t="n"/>
      <c r="KT101" s="227" t="n"/>
      <c r="KU101" s="227" t="n"/>
      <c r="KV101" s="227" t="n"/>
      <c r="KW101" s="227" t="n"/>
      <c r="KX101" s="227" t="n"/>
      <c r="KY101" s="227" t="n"/>
      <c r="KZ101" s="227" t="n"/>
      <c r="LA101" s="227" t="n"/>
      <c r="LB101" s="227" t="n"/>
      <c r="LC101" s="227" t="n"/>
      <c r="LD101" s="227" t="n"/>
      <c r="LE101" s="227" t="n"/>
      <c r="LF101" s="227" t="n"/>
      <c r="LG101" s="227" t="n"/>
      <c r="LH101" s="227" t="n"/>
      <c r="LI101" s="227" t="n"/>
      <c r="LJ101" s="227" t="n"/>
      <c r="LK101" s="227" t="n"/>
      <c r="LL101" s="227" t="n"/>
      <c r="LM101" s="227" t="n"/>
      <c r="LN101" s="227" t="n"/>
      <c r="LO101" s="227" t="n"/>
      <c r="LP101" s="227" t="n"/>
      <c r="LQ101" s="227" t="n"/>
      <c r="LR101" s="227" t="n"/>
      <c r="LS101" s="227" t="n"/>
      <c r="LT101" s="227" t="n"/>
      <c r="LU101" s="227" t="n"/>
      <c r="LV101" s="227" t="n"/>
      <c r="LW101" s="227" t="n"/>
      <c r="LX101" s="227" t="n"/>
      <c r="LY101" s="227" t="n"/>
      <c r="LZ101" s="227" t="n"/>
      <c r="MA101" s="227" t="n"/>
      <c r="MB101" s="227" t="n"/>
      <c r="MC101" s="227" t="n"/>
      <c r="MD101" s="227" t="n"/>
      <c r="ME101" s="227" t="n"/>
      <c r="MF101" s="227" t="n"/>
      <c r="MG101" s="227" t="n"/>
      <c r="MH101" s="227" t="n"/>
      <c r="MI101" s="227" t="n"/>
      <c r="MJ101" s="227" t="n"/>
      <c r="MK101" s="227" t="n"/>
      <c r="ML101" s="227" t="n"/>
      <c r="MM101" s="227" t="n"/>
      <c r="MN101" s="227" t="n"/>
      <c r="MO101" s="227" t="n"/>
      <c r="MP101" s="227" t="n"/>
      <c r="MQ101" s="227" t="n"/>
      <c r="MR101" s="227" t="n"/>
      <c r="MS101" s="227" t="n"/>
      <c r="MT101" s="227" t="n"/>
      <c r="MU101" s="227" t="n"/>
      <c r="MV101" s="227" t="n"/>
      <c r="MW101" s="227" t="n"/>
      <c r="MX101" s="227" t="n"/>
      <c r="MY101" s="227" t="n"/>
      <c r="MZ101" s="227" t="n"/>
      <c r="NA101" s="227" t="n"/>
      <c r="NB101" s="227" t="n"/>
      <c r="NC101" s="228">
        <f>SUM(B101:NB101)</f>
        <v/>
      </c>
    </row>
    <row r="102" ht="14.25" customHeight="1" s="166">
      <c r="A102" s="214" t="inlineStr">
        <is>
          <t>BTU-29-05-04</t>
        </is>
      </c>
      <c r="B102" s="227" t="n"/>
      <c r="C102" s="227" t="n"/>
      <c r="D102" s="227" t="n"/>
      <c r="E102" s="227" t="n"/>
      <c r="F102" s="227" t="n"/>
      <c r="G102" s="227" t="n"/>
      <c r="H102" s="227" t="n"/>
      <c r="I102" s="227" t="n"/>
      <c r="J102" s="227" t="n"/>
      <c r="K102" s="227" t="n"/>
      <c r="L102" s="227" t="n"/>
      <c r="M102" s="227" t="n"/>
      <c r="N102" s="227" t="n"/>
      <c r="O102" s="227" t="n"/>
      <c r="P102" s="227" t="n"/>
      <c r="Q102" s="227" t="n"/>
      <c r="R102" s="227" t="n"/>
      <c r="S102" s="227" t="n"/>
      <c r="T102" s="227" t="n"/>
      <c r="U102" s="227" t="n"/>
      <c r="V102" s="227" t="n"/>
      <c r="W102" s="227" t="n"/>
      <c r="X102" s="227" t="n"/>
      <c r="Y102" s="227" t="n"/>
      <c r="Z102" s="227" t="n"/>
      <c r="AA102" s="227" t="n"/>
      <c r="AB102" s="227" t="n"/>
      <c r="AC102" s="227" t="n"/>
      <c r="AD102" s="227" t="n"/>
      <c r="AE102" s="227" t="n"/>
      <c r="AF102" s="227" t="n"/>
      <c r="AG102" s="227" t="n"/>
      <c r="AH102" s="227" t="n"/>
      <c r="AI102" s="227" t="n"/>
      <c r="AJ102" s="227" t="n"/>
      <c r="AK102" s="227" t="n"/>
      <c r="AL102" s="227" t="n"/>
      <c r="AM102" s="227" t="n"/>
      <c r="AN102" s="227" t="n"/>
      <c r="AO102" s="227" t="n"/>
      <c r="AP102" s="227" t="n"/>
      <c r="AQ102" s="227" t="n"/>
      <c r="AR102" s="227" t="n"/>
      <c r="AS102" s="227" t="n"/>
      <c r="AT102" s="227" t="n"/>
      <c r="AU102" s="227" t="n"/>
      <c r="AV102" s="227" t="n"/>
      <c r="AW102" s="227" t="n"/>
      <c r="AX102" s="227" t="n"/>
      <c r="AY102" s="227" t="n"/>
      <c r="AZ102" s="227" t="n"/>
      <c r="BA102" s="227" t="n"/>
      <c r="BB102" s="227" t="n"/>
      <c r="BC102" s="227" t="n"/>
      <c r="BD102" s="227" t="n"/>
      <c r="BE102" s="227" t="n"/>
      <c r="BF102" s="227" t="n"/>
      <c r="BG102" s="227" t="n"/>
      <c r="BH102" s="227" t="n"/>
      <c r="BI102" s="227" t="n"/>
      <c r="BJ102" s="227" t="n"/>
      <c r="BK102" s="227" t="n"/>
      <c r="BL102" s="227" t="n"/>
      <c r="BM102" s="227" t="n"/>
      <c r="BN102" s="227" t="n"/>
      <c r="BO102" s="227" t="n"/>
      <c r="BP102" s="227" t="n"/>
      <c r="BQ102" s="227" t="n"/>
      <c r="BR102" s="227" t="n"/>
      <c r="BS102" s="227" t="n"/>
      <c r="BT102" s="227" t="n"/>
      <c r="BU102" s="227" t="n"/>
      <c r="BV102" s="227" t="n"/>
      <c r="BW102" s="227" t="n"/>
      <c r="BX102" s="227" t="n"/>
      <c r="BY102" s="227" t="n"/>
      <c r="BZ102" s="227" t="n"/>
      <c r="CA102" s="227" t="n"/>
      <c r="CB102" s="227" t="n"/>
      <c r="CC102" s="227" t="n"/>
      <c r="CD102" s="227" t="n"/>
      <c r="CE102" s="227" t="n"/>
      <c r="CF102" s="227" t="n"/>
      <c r="CG102" s="227" t="n"/>
      <c r="CH102" s="227" t="n"/>
      <c r="CI102" s="227" t="n"/>
      <c r="CJ102" s="227" t="n"/>
      <c r="CK102" s="227" t="n"/>
      <c r="CL102" s="227" t="n"/>
      <c r="CM102" s="227" t="n"/>
      <c r="CN102" s="227" t="n"/>
      <c r="CO102" s="227" t="n"/>
      <c r="CP102" s="227" t="n"/>
      <c r="CQ102" s="227" t="n"/>
      <c r="CR102" s="227" t="n"/>
      <c r="CS102" s="227" t="n"/>
      <c r="CT102" s="227" t="n"/>
      <c r="CU102" s="227" t="n"/>
      <c r="CV102" s="227" t="n"/>
      <c r="CW102" s="227" t="n"/>
      <c r="CX102" s="227" t="n"/>
      <c r="CY102" s="227" t="n"/>
      <c r="CZ102" s="227" t="n"/>
      <c r="DA102" s="227" t="n"/>
      <c r="DB102" s="227" t="n"/>
      <c r="DC102" s="227" t="n"/>
      <c r="DD102" s="227" t="n"/>
      <c r="DE102" s="227" t="n"/>
      <c r="DF102" s="227" t="n"/>
      <c r="DG102" s="227" t="n"/>
      <c r="DH102" s="227" t="n"/>
      <c r="DI102" s="227" t="n"/>
      <c r="DJ102" s="227" t="n"/>
      <c r="DK102" s="227" t="n"/>
      <c r="DL102" s="227" t="n"/>
      <c r="DM102" s="227" t="n"/>
      <c r="DN102" s="227" t="n"/>
      <c r="DO102" s="227" t="n"/>
      <c r="DP102" s="227" t="n"/>
      <c r="DQ102" s="227" t="n"/>
      <c r="DR102" s="227" t="n"/>
      <c r="DS102" s="227" t="n"/>
      <c r="DT102" s="227" t="n"/>
      <c r="DU102" s="227" t="n"/>
      <c r="DV102" s="227" t="n"/>
      <c r="DW102" s="227" t="n"/>
      <c r="DX102" s="227" t="n"/>
      <c r="DY102" s="227" t="n"/>
      <c r="DZ102" s="227" t="n"/>
      <c r="EA102" s="227" t="n"/>
      <c r="EB102" s="227" t="n"/>
      <c r="EC102" s="227" t="n"/>
      <c r="ED102" s="227" t="n"/>
      <c r="EE102" s="227" t="n"/>
      <c r="EF102" s="227" t="n"/>
      <c r="EG102" s="227" t="n"/>
      <c r="EH102" s="227" t="n"/>
      <c r="EI102" s="227" t="n"/>
      <c r="EJ102" s="227" t="n"/>
      <c r="EK102" s="227" t="n"/>
      <c r="EL102" s="227" t="n"/>
      <c r="EM102" s="227" t="n"/>
      <c r="EN102" s="227" t="n"/>
      <c r="EO102" s="227" t="n"/>
      <c r="EP102" s="227" t="n"/>
      <c r="EQ102" s="227" t="n"/>
      <c r="ER102" s="227" t="n"/>
      <c r="ES102" s="227" t="n"/>
      <c r="ET102" s="227" t="n"/>
      <c r="EU102" s="227" t="n"/>
      <c r="EV102" s="227" t="n"/>
      <c r="EW102" s="227" t="n"/>
      <c r="EX102" s="227" t="n"/>
      <c r="EY102" s="227" t="n"/>
      <c r="EZ102" s="227" t="n"/>
      <c r="FA102" s="227" t="n"/>
      <c r="FB102" s="227" t="n"/>
      <c r="FC102" s="227" t="n"/>
      <c r="FD102" s="227" t="n"/>
      <c r="FE102" s="227" t="n"/>
      <c r="FF102" s="227" t="n"/>
      <c r="FG102" s="227" t="n"/>
      <c r="FH102" s="227" t="n"/>
      <c r="FI102" s="227" t="n"/>
      <c r="FJ102" s="227" t="n"/>
      <c r="FK102" s="227" t="n"/>
      <c r="FL102" s="227" t="n"/>
      <c r="FM102" s="227" t="n"/>
      <c r="FN102" s="227" t="n"/>
      <c r="FO102" s="227" t="n"/>
      <c r="FP102" s="227" t="n"/>
      <c r="FQ102" s="227" t="n"/>
      <c r="FR102" s="227" t="n"/>
      <c r="FS102" s="227" t="n"/>
      <c r="FT102" s="227" t="n"/>
      <c r="FU102" s="227" t="n"/>
      <c r="FV102" s="227" t="n"/>
      <c r="FW102" s="227" t="n"/>
      <c r="FX102" s="227" t="n"/>
      <c r="FY102" s="227" t="n"/>
      <c r="FZ102" s="227" t="n"/>
      <c r="GA102" s="227" t="n"/>
      <c r="GB102" s="227" t="n"/>
      <c r="GC102" s="227" t="n"/>
      <c r="GD102" s="227" t="n"/>
      <c r="GE102" s="227" t="n"/>
      <c r="GF102" s="227" t="n"/>
      <c r="GG102" s="227" t="n"/>
      <c r="GH102" s="227" t="n"/>
      <c r="GI102" s="227" t="n"/>
      <c r="GJ102" s="227" t="n"/>
      <c r="GK102" s="227" t="n"/>
      <c r="GL102" s="227" t="n"/>
      <c r="GM102" s="227" t="n"/>
      <c r="GN102" s="227" t="n"/>
      <c r="GO102" s="227" t="n"/>
      <c r="GP102" s="227" t="n"/>
      <c r="GQ102" s="227" t="n"/>
      <c r="GR102" s="227" t="n"/>
      <c r="GS102" s="227" t="n"/>
      <c r="GT102" s="227" t="n"/>
      <c r="GU102" s="227" t="n"/>
      <c r="GV102" s="227" t="n"/>
      <c r="GW102" s="227" t="n"/>
      <c r="GX102" s="227" t="n"/>
      <c r="GY102" s="227" t="n"/>
      <c r="GZ102" s="227" t="n"/>
      <c r="HA102" s="227" t="n"/>
      <c r="HB102" s="227" t="n"/>
      <c r="HC102" s="227" t="n"/>
      <c r="HD102" s="227" t="n"/>
      <c r="HE102" s="227" t="n"/>
      <c r="HF102" s="227" t="n"/>
      <c r="HG102" s="227" t="n"/>
      <c r="HH102" s="227" t="n"/>
      <c r="HI102" s="227" t="n"/>
      <c r="HJ102" s="227" t="n"/>
      <c r="HK102" s="227" t="n"/>
      <c r="HL102" s="227" t="n"/>
      <c r="HM102" s="227" t="n"/>
      <c r="HN102" s="227" t="n"/>
      <c r="HO102" s="227" t="n"/>
      <c r="HP102" s="227" t="n"/>
      <c r="HQ102" s="227" t="n"/>
      <c r="HR102" s="227" t="n"/>
      <c r="HS102" s="227" t="n"/>
      <c r="HT102" s="227" t="n"/>
      <c r="HU102" s="227" t="n"/>
      <c r="HV102" s="227" t="n"/>
      <c r="HW102" s="227" t="n"/>
      <c r="HX102" s="227" t="n"/>
      <c r="HY102" s="227" t="n"/>
      <c r="HZ102" s="227" t="n"/>
      <c r="IA102" s="227" t="n"/>
      <c r="IB102" s="227" t="n"/>
      <c r="IC102" s="227" t="n"/>
      <c r="ID102" s="227" t="n"/>
      <c r="IE102" s="227" t="n"/>
      <c r="IF102" s="227" t="n"/>
      <c r="IG102" s="227" t="n"/>
      <c r="IH102" s="227" t="n"/>
      <c r="II102" s="227" t="n"/>
      <c r="IJ102" s="227" t="n"/>
      <c r="IK102" s="227" t="n"/>
      <c r="IL102" s="227" t="n"/>
      <c r="IM102" s="227" t="n"/>
      <c r="IN102" s="227" t="n"/>
      <c r="IO102" s="227" t="n"/>
      <c r="IP102" s="227" t="n"/>
      <c r="IQ102" s="227" t="n"/>
      <c r="IR102" s="227" t="n"/>
      <c r="IS102" s="227" t="n"/>
      <c r="IT102" s="227" t="n"/>
      <c r="IU102" s="227" t="n"/>
      <c r="IV102" s="227" t="n"/>
      <c r="IW102" s="227" t="n"/>
      <c r="IX102" s="227" t="n"/>
      <c r="IY102" s="227" t="n"/>
      <c r="IZ102" s="227" t="n"/>
      <c r="JA102" s="227" t="n"/>
      <c r="JB102" s="227" t="n"/>
      <c r="JC102" s="227" t="n"/>
      <c r="JD102" s="227" t="n"/>
      <c r="JE102" s="227" t="n"/>
      <c r="JF102" s="227" t="n"/>
      <c r="JG102" s="227" t="n"/>
      <c r="JH102" s="227" t="n"/>
      <c r="JI102" s="227" t="n"/>
      <c r="JJ102" s="227" t="n"/>
      <c r="JK102" s="227" t="n"/>
      <c r="JL102" s="227" t="n"/>
      <c r="JM102" s="227" t="n"/>
      <c r="JN102" s="227" t="n"/>
      <c r="JO102" s="227" t="n"/>
      <c r="JP102" s="227" t="n"/>
      <c r="JQ102" s="227" t="n"/>
      <c r="JR102" s="227" t="n"/>
      <c r="JS102" s="227" t="n"/>
      <c r="JT102" s="227" t="n"/>
      <c r="JU102" s="227" t="n"/>
      <c r="JV102" s="227" t="n"/>
      <c r="JW102" s="227" t="n"/>
      <c r="JX102" s="227" t="n"/>
      <c r="JY102" s="227" t="n"/>
      <c r="JZ102" s="227" t="n"/>
      <c r="KA102" s="227" t="n"/>
      <c r="KB102" s="227" t="n"/>
      <c r="KC102" s="227" t="n"/>
      <c r="KD102" s="227" t="n"/>
      <c r="KE102" s="227" t="n"/>
      <c r="KF102" s="227" t="n"/>
      <c r="KG102" s="227" t="n"/>
      <c r="KH102" s="227" t="n"/>
      <c r="KI102" s="227" t="n"/>
      <c r="KJ102" s="227" t="n"/>
      <c r="KK102" s="227" t="n"/>
      <c r="KL102" s="227" t="n"/>
      <c r="KM102" s="227" t="n"/>
      <c r="KN102" s="227" t="n"/>
      <c r="KO102" s="227" t="n"/>
      <c r="KP102" s="227" t="n"/>
      <c r="KQ102" s="227" t="n"/>
      <c r="KR102" s="227" t="n"/>
      <c r="KS102" s="227" t="n"/>
      <c r="KT102" s="227" t="n"/>
      <c r="KU102" s="227" t="n"/>
      <c r="KV102" s="227" t="n"/>
      <c r="KW102" s="227" t="n"/>
      <c r="KX102" s="227" t="n"/>
      <c r="KY102" s="227" t="n"/>
      <c r="KZ102" s="227" t="n"/>
      <c r="LA102" s="227" t="n"/>
      <c r="LB102" s="227" t="n"/>
      <c r="LC102" s="227" t="n"/>
      <c r="LD102" s="227" t="n"/>
      <c r="LE102" s="227" t="n"/>
      <c r="LF102" s="227" t="n"/>
      <c r="LG102" s="227" t="n"/>
      <c r="LH102" s="227" t="n"/>
      <c r="LI102" s="227" t="n"/>
      <c r="LJ102" s="227" t="n"/>
      <c r="LK102" s="227" t="n"/>
      <c r="LL102" s="227" t="n"/>
      <c r="LM102" s="227" t="n"/>
      <c r="LN102" s="227" t="n"/>
      <c r="LO102" s="227" t="n"/>
      <c r="LP102" s="227" t="n"/>
      <c r="LQ102" s="227" t="n"/>
      <c r="LR102" s="227" t="n"/>
      <c r="LS102" s="227" t="n"/>
      <c r="LT102" s="227" t="n"/>
      <c r="LU102" s="227" t="n"/>
      <c r="LV102" s="227" t="n"/>
      <c r="LW102" s="227" t="n"/>
      <c r="LX102" s="227" t="n"/>
      <c r="LY102" s="227" t="n"/>
      <c r="LZ102" s="227" t="n"/>
      <c r="MA102" s="227" t="n"/>
      <c r="MB102" s="227" t="n"/>
      <c r="MC102" s="227" t="n"/>
      <c r="MD102" s="227" t="n"/>
      <c r="ME102" s="227" t="n"/>
      <c r="MF102" s="227" t="n"/>
      <c r="MG102" s="227" t="n"/>
      <c r="MH102" s="227" t="n"/>
      <c r="MI102" s="227" t="n"/>
      <c r="MJ102" s="227" t="n"/>
      <c r="MK102" s="227" t="n"/>
      <c r="ML102" s="227" t="n"/>
      <c r="MM102" s="227" t="n"/>
      <c r="MN102" s="227" t="n"/>
      <c r="MO102" s="227" t="n"/>
      <c r="MP102" s="227" t="n"/>
      <c r="MQ102" s="227" t="n"/>
      <c r="MR102" s="227" t="n"/>
      <c r="MS102" s="227" t="n"/>
      <c r="MT102" s="227" t="n"/>
      <c r="MU102" s="227" t="n"/>
      <c r="MV102" s="227" t="n"/>
      <c r="MW102" s="227" t="n"/>
      <c r="MX102" s="227" t="n"/>
      <c r="MY102" s="227" t="n"/>
      <c r="MZ102" s="227" t="n"/>
      <c r="NA102" s="227" t="n"/>
      <c r="NB102" s="227" t="n"/>
      <c r="NC102" s="228">
        <f>SUM(B102:NB102)</f>
        <v/>
      </c>
    </row>
    <row r="103" ht="14.25" customHeight="1" s="166">
      <c r="A103" s="214" t="inlineStr">
        <is>
          <t>BTU-29-06-01</t>
        </is>
      </c>
      <c r="B103" s="227" t="n"/>
      <c r="C103" s="227" t="n"/>
      <c r="D103" s="227" t="n"/>
      <c r="E103" s="227" t="n"/>
      <c r="F103" s="227" t="n"/>
      <c r="G103" s="227" t="n"/>
      <c r="H103" s="227" t="n"/>
      <c r="I103" s="227" t="n"/>
      <c r="J103" s="227" t="n"/>
      <c r="K103" s="227" t="n"/>
      <c r="L103" s="227" t="n"/>
      <c r="M103" s="227" t="n"/>
      <c r="N103" s="227" t="n"/>
      <c r="O103" s="227" t="n"/>
      <c r="P103" s="227" t="n"/>
      <c r="Q103" s="227" t="n"/>
      <c r="R103" s="227" t="n"/>
      <c r="S103" s="227" t="n"/>
      <c r="T103" s="227" t="n"/>
      <c r="U103" s="227" t="n"/>
      <c r="V103" s="227" t="n"/>
      <c r="W103" s="227" t="n"/>
      <c r="X103" s="227" t="n"/>
      <c r="Y103" s="227" t="n"/>
      <c r="Z103" s="227" t="n"/>
      <c r="AA103" s="227" t="n"/>
      <c r="AB103" s="227" t="n"/>
      <c r="AC103" s="227" t="n"/>
      <c r="AD103" s="227" t="n"/>
      <c r="AE103" s="227" t="n"/>
      <c r="AF103" s="227" t="n"/>
      <c r="AG103" s="227" t="n"/>
      <c r="AH103" s="227" t="n"/>
      <c r="AI103" s="227" t="n"/>
      <c r="AJ103" s="227" t="n"/>
      <c r="AK103" s="227" t="n"/>
      <c r="AL103" s="227" t="n"/>
      <c r="AM103" s="227" t="n"/>
      <c r="AN103" s="227" t="n"/>
      <c r="AO103" s="227" t="n"/>
      <c r="AP103" s="227" t="n"/>
      <c r="AQ103" s="227" t="n"/>
      <c r="AR103" s="227" t="n"/>
      <c r="AS103" s="227" t="n"/>
      <c r="AT103" s="227" t="n"/>
      <c r="AU103" s="227" t="n"/>
      <c r="AV103" s="227" t="n"/>
      <c r="AW103" s="227" t="n"/>
      <c r="AX103" s="227" t="n"/>
      <c r="AY103" s="227" t="n"/>
      <c r="AZ103" s="227" t="n"/>
      <c r="BA103" s="227" t="n"/>
      <c r="BB103" s="227" t="n"/>
      <c r="BC103" s="227" t="n"/>
      <c r="BD103" s="227" t="n"/>
      <c r="BE103" s="227" t="n"/>
      <c r="BF103" s="227" t="n"/>
      <c r="BG103" s="227" t="n"/>
      <c r="BH103" s="227" t="n"/>
      <c r="BI103" s="227" t="n"/>
      <c r="BJ103" s="227" t="n"/>
      <c r="BK103" s="227" t="n"/>
      <c r="BL103" s="227" t="n"/>
      <c r="BM103" s="227" t="n"/>
      <c r="BN103" s="227" t="n"/>
      <c r="BO103" s="227" t="n"/>
      <c r="BP103" s="227" t="n"/>
      <c r="BQ103" s="227" t="n"/>
      <c r="BR103" s="227" t="n"/>
      <c r="BS103" s="227" t="n"/>
      <c r="BT103" s="227" t="n"/>
      <c r="BU103" s="227" t="n"/>
      <c r="BV103" s="227" t="n"/>
      <c r="BW103" s="227" t="n"/>
      <c r="BX103" s="227" t="n"/>
      <c r="BY103" s="227" t="n"/>
      <c r="BZ103" s="227" t="n"/>
      <c r="CA103" s="227" t="n"/>
      <c r="CB103" s="227" t="n"/>
      <c r="CC103" s="227" t="n"/>
      <c r="CD103" s="227" t="n"/>
      <c r="CE103" s="227" t="n"/>
      <c r="CF103" s="227" t="n"/>
      <c r="CG103" s="227" t="n"/>
      <c r="CH103" s="227" t="n"/>
      <c r="CI103" s="227" t="n"/>
      <c r="CJ103" s="227" t="n"/>
      <c r="CK103" s="227" t="n"/>
      <c r="CL103" s="227" t="n"/>
      <c r="CM103" s="227" t="n"/>
      <c r="CN103" s="227" t="n"/>
      <c r="CO103" s="227" t="n"/>
      <c r="CP103" s="227" t="n"/>
      <c r="CQ103" s="227" t="n"/>
      <c r="CR103" s="227" t="n"/>
      <c r="CS103" s="227" t="n"/>
      <c r="CT103" s="227" t="n"/>
      <c r="CU103" s="227" t="n"/>
      <c r="CV103" s="227" t="n"/>
      <c r="CW103" s="227" t="n"/>
      <c r="CX103" s="227" t="n"/>
      <c r="CY103" s="227" t="n"/>
      <c r="CZ103" s="227" t="n"/>
      <c r="DA103" s="227" t="n"/>
      <c r="DB103" s="227" t="n"/>
      <c r="DC103" s="227" t="n"/>
      <c r="DD103" s="227" t="n"/>
      <c r="DE103" s="227" t="n"/>
      <c r="DF103" s="227" t="n"/>
      <c r="DG103" s="227" t="n"/>
      <c r="DH103" s="227" t="n"/>
      <c r="DI103" s="227" t="n"/>
      <c r="DJ103" s="227" t="n"/>
      <c r="DK103" s="227" t="n"/>
      <c r="DL103" s="227" t="n"/>
      <c r="DM103" s="227" t="n"/>
      <c r="DN103" s="227" t="n"/>
      <c r="DO103" s="227" t="n"/>
      <c r="DP103" s="227" t="n"/>
      <c r="DQ103" s="227" t="n"/>
      <c r="DR103" s="227" t="n"/>
      <c r="DS103" s="227" t="n"/>
      <c r="DT103" s="227" t="n"/>
      <c r="DU103" s="227" t="n"/>
      <c r="DV103" s="227" t="n"/>
      <c r="DW103" s="227" t="n"/>
      <c r="DX103" s="227" t="n"/>
      <c r="DY103" s="227" t="n"/>
      <c r="DZ103" s="227" t="n"/>
      <c r="EA103" s="227" t="n"/>
      <c r="EB103" s="227" t="n"/>
      <c r="EC103" s="227" t="n"/>
      <c r="ED103" s="227" t="n"/>
      <c r="EE103" s="227" t="n"/>
      <c r="EF103" s="227" t="n"/>
      <c r="EG103" s="227" t="n"/>
      <c r="EH103" s="227" t="n"/>
      <c r="EI103" s="227" t="n"/>
      <c r="EJ103" s="227" t="n"/>
      <c r="EK103" s="227" t="n"/>
      <c r="EL103" s="227" t="n"/>
      <c r="EM103" s="227" t="n"/>
      <c r="EN103" s="227" t="n"/>
      <c r="EO103" s="227" t="n"/>
      <c r="EP103" s="227" t="n"/>
      <c r="EQ103" s="227" t="n"/>
      <c r="ER103" s="227" t="n"/>
      <c r="ES103" s="227" t="n"/>
      <c r="ET103" s="227" t="n"/>
      <c r="EU103" s="227" t="n"/>
      <c r="EV103" s="227" t="n"/>
      <c r="EW103" s="227" t="n"/>
      <c r="EX103" s="227" t="n"/>
      <c r="EY103" s="227" t="n"/>
      <c r="EZ103" s="227" t="n"/>
      <c r="FA103" s="227" t="n"/>
      <c r="FB103" s="227" t="n"/>
      <c r="FC103" s="227" t="n"/>
      <c r="FD103" s="227" t="n"/>
      <c r="FE103" s="227" t="n"/>
      <c r="FF103" s="227" t="n"/>
      <c r="FG103" s="227" t="n"/>
      <c r="FH103" s="227" t="n"/>
      <c r="FI103" s="227" t="n"/>
      <c r="FJ103" s="227" t="n"/>
      <c r="FK103" s="227" t="n"/>
      <c r="FL103" s="227" t="n"/>
      <c r="FM103" s="227" t="n"/>
      <c r="FN103" s="227" t="n"/>
      <c r="FO103" s="227" t="n"/>
      <c r="FP103" s="227" t="n"/>
      <c r="FQ103" s="227" t="n"/>
      <c r="FR103" s="227" t="n"/>
      <c r="FS103" s="227" t="n"/>
      <c r="FT103" s="227" t="n"/>
      <c r="FU103" s="227" t="n"/>
      <c r="FV103" s="227" t="n"/>
      <c r="FW103" s="227" t="n"/>
      <c r="FX103" s="227" t="n"/>
      <c r="FY103" s="227" t="n"/>
      <c r="FZ103" s="227" t="n"/>
      <c r="GA103" s="227" t="n"/>
      <c r="GB103" s="227" t="n"/>
      <c r="GC103" s="227" t="n"/>
      <c r="GD103" s="227" t="n"/>
      <c r="GE103" s="227" t="n"/>
      <c r="GF103" s="227" t="n"/>
      <c r="GG103" s="227" t="n"/>
      <c r="GH103" s="227" t="n"/>
      <c r="GI103" s="227" t="n"/>
      <c r="GJ103" s="227" t="n"/>
      <c r="GK103" s="227" t="n"/>
      <c r="GL103" s="227" t="n"/>
      <c r="GM103" s="227" t="n"/>
      <c r="GN103" s="227" t="n"/>
      <c r="GO103" s="227" t="n"/>
      <c r="GP103" s="227" t="n"/>
      <c r="GQ103" s="227" t="n"/>
      <c r="GR103" s="227" t="n"/>
      <c r="GS103" s="227" t="n"/>
      <c r="GT103" s="227" t="n"/>
      <c r="GU103" s="227" t="n"/>
      <c r="GV103" s="227" t="n"/>
      <c r="GW103" s="227" t="n"/>
      <c r="GX103" s="227" t="n"/>
      <c r="GY103" s="227" t="n"/>
      <c r="GZ103" s="227" t="n"/>
      <c r="HA103" s="227" t="n"/>
      <c r="HB103" s="227" t="n"/>
      <c r="HC103" s="227" t="n"/>
      <c r="HD103" s="227" t="n"/>
      <c r="HE103" s="227" t="n"/>
      <c r="HF103" s="227" t="n"/>
      <c r="HG103" s="227" t="n"/>
      <c r="HH103" s="227" t="n"/>
      <c r="HI103" s="227" t="n"/>
      <c r="HJ103" s="227" t="n"/>
      <c r="HK103" s="227" t="n"/>
      <c r="HL103" s="227" t="n"/>
      <c r="HM103" s="227" t="n"/>
      <c r="HN103" s="227" t="n"/>
      <c r="HO103" s="227" t="n"/>
      <c r="HP103" s="227" t="n"/>
      <c r="HQ103" s="227" t="n"/>
      <c r="HR103" s="227" t="n"/>
      <c r="HS103" s="227" t="n"/>
      <c r="HT103" s="227" t="n"/>
      <c r="HU103" s="227" t="n"/>
      <c r="HV103" s="227" t="n"/>
      <c r="HW103" s="227" t="n"/>
      <c r="HX103" s="227" t="n"/>
      <c r="HY103" s="227" t="n"/>
      <c r="HZ103" s="227" t="n"/>
      <c r="IA103" s="227" t="n"/>
      <c r="IB103" s="227" t="n"/>
      <c r="IC103" s="227" t="n"/>
      <c r="ID103" s="227" t="n"/>
      <c r="IE103" s="227" t="n"/>
      <c r="IF103" s="227" t="n"/>
      <c r="IG103" s="227" t="n"/>
      <c r="IH103" s="227" t="n"/>
      <c r="II103" s="227" t="n"/>
      <c r="IJ103" s="227" t="n"/>
      <c r="IK103" s="227" t="n"/>
      <c r="IL103" s="227" t="n"/>
      <c r="IM103" s="227" t="n"/>
      <c r="IN103" s="227" t="n"/>
      <c r="IO103" s="227" t="n"/>
      <c r="IP103" s="227" t="n"/>
      <c r="IQ103" s="227" t="n"/>
      <c r="IR103" s="227" t="n"/>
      <c r="IS103" s="227" t="n"/>
      <c r="IT103" s="227" t="n"/>
      <c r="IU103" s="227" t="n"/>
      <c r="IV103" s="227" t="n"/>
      <c r="IW103" s="227" t="n"/>
      <c r="IX103" s="227" t="n"/>
      <c r="IY103" s="227" t="n"/>
      <c r="IZ103" s="227" t="n"/>
      <c r="JA103" s="227" t="n"/>
      <c r="JB103" s="227" t="n"/>
      <c r="JC103" s="227" t="n"/>
      <c r="JD103" s="227" t="n"/>
      <c r="JE103" s="227" t="n"/>
      <c r="JF103" s="227" t="n"/>
      <c r="JG103" s="227" t="n"/>
      <c r="JH103" s="227" t="n"/>
      <c r="JI103" s="227" t="n"/>
      <c r="JJ103" s="227" t="n"/>
      <c r="JK103" s="227" t="n"/>
      <c r="JL103" s="227" t="n"/>
      <c r="JM103" s="227" t="n"/>
      <c r="JN103" s="227" t="n"/>
      <c r="JO103" s="227" t="n"/>
      <c r="JP103" s="227" t="n"/>
      <c r="JQ103" s="227" t="n"/>
      <c r="JR103" s="227" t="n"/>
      <c r="JS103" s="227" t="n"/>
      <c r="JT103" s="227" t="n"/>
      <c r="JU103" s="227" t="n"/>
      <c r="JV103" s="227" t="n"/>
      <c r="JW103" s="227" t="n"/>
      <c r="JX103" s="227" t="n"/>
      <c r="JY103" s="227" t="n"/>
      <c r="JZ103" s="227" t="n"/>
      <c r="KA103" s="227" t="n"/>
      <c r="KB103" s="227" t="n"/>
      <c r="KC103" s="227" t="n"/>
      <c r="KD103" s="227" t="n"/>
      <c r="KE103" s="227" t="n"/>
      <c r="KF103" s="227" t="n"/>
      <c r="KG103" s="227" t="n"/>
      <c r="KH103" s="227" t="n"/>
      <c r="KI103" s="227" t="n"/>
      <c r="KJ103" s="227" t="n"/>
      <c r="KK103" s="227" t="n"/>
      <c r="KL103" s="227" t="n"/>
      <c r="KM103" s="227" t="n"/>
      <c r="KN103" s="227" t="n"/>
      <c r="KO103" s="227" t="n"/>
      <c r="KP103" s="227" t="n"/>
      <c r="KQ103" s="227" t="n"/>
      <c r="KR103" s="227" t="n"/>
      <c r="KS103" s="227" t="n"/>
      <c r="KT103" s="227" t="n"/>
      <c r="KU103" s="227" t="n"/>
      <c r="KV103" s="227" t="n"/>
      <c r="KW103" s="227" t="n"/>
      <c r="KX103" s="227" t="n"/>
      <c r="KY103" s="227" t="n"/>
      <c r="KZ103" s="227" t="n"/>
      <c r="LA103" s="227" t="n"/>
      <c r="LB103" s="227" t="n"/>
      <c r="LC103" s="227" t="n"/>
      <c r="LD103" s="227" t="n"/>
      <c r="LE103" s="227" t="n"/>
      <c r="LF103" s="227" t="n"/>
      <c r="LG103" s="227" t="n"/>
      <c r="LH103" s="227" t="n"/>
      <c r="LI103" s="227" t="n"/>
      <c r="LJ103" s="227" t="n"/>
      <c r="LK103" s="227" t="n"/>
      <c r="LL103" s="227" t="n"/>
      <c r="LM103" s="227" t="n"/>
      <c r="LN103" s="227" t="n"/>
      <c r="LO103" s="227" t="n"/>
      <c r="LP103" s="227" t="n"/>
      <c r="LQ103" s="227" t="n"/>
      <c r="LR103" s="227" t="n"/>
      <c r="LS103" s="227" t="n"/>
      <c r="LT103" s="227" t="n"/>
      <c r="LU103" s="227" t="n"/>
      <c r="LV103" s="227" t="n"/>
      <c r="LW103" s="227" t="n"/>
      <c r="LX103" s="227" t="n"/>
      <c r="LY103" s="227" t="n"/>
      <c r="LZ103" s="227" t="n"/>
      <c r="MA103" s="227" t="n"/>
      <c r="MB103" s="227" t="n"/>
      <c r="MC103" s="227" t="n"/>
      <c r="MD103" s="227" t="n"/>
      <c r="ME103" s="227" t="n"/>
      <c r="MF103" s="227" t="n"/>
      <c r="MG103" s="227" t="n"/>
      <c r="MH103" s="227" t="n"/>
      <c r="MI103" s="227" t="n"/>
      <c r="MJ103" s="227" t="n"/>
      <c r="MK103" s="227" t="n"/>
      <c r="ML103" s="227" t="n"/>
      <c r="MM103" s="227" t="n"/>
      <c r="MN103" s="227" t="n"/>
      <c r="MO103" s="227" t="n"/>
      <c r="MP103" s="227" t="n"/>
      <c r="MQ103" s="227" t="n"/>
      <c r="MR103" s="227" t="n"/>
      <c r="MS103" s="227" t="n"/>
      <c r="MT103" s="227" t="n"/>
      <c r="MU103" s="227" t="n"/>
      <c r="MV103" s="227" t="n"/>
      <c r="MW103" s="227" t="n"/>
      <c r="MX103" s="227" t="n"/>
      <c r="MY103" s="227" t="n"/>
      <c r="MZ103" s="227" t="n"/>
      <c r="NA103" s="227" t="n"/>
      <c r="NB103" s="227" t="n"/>
      <c r="NC103" s="228">
        <f>SUM(B103:NB103)</f>
        <v/>
      </c>
    </row>
    <row r="104" ht="14.25" customHeight="1" s="166">
      <c r="A104" s="214" t="inlineStr">
        <is>
          <t>BTU-29-06-02</t>
        </is>
      </c>
      <c r="B104" s="227" t="n"/>
      <c r="C104" s="227" t="n"/>
      <c r="D104" s="227" t="n"/>
      <c r="E104" s="227" t="n"/>
      <c r="F104" s="227" t="n"/>
      <c r="G104" s="227" t="n"/>
      <c r="H104" s="227" t="n"/>
      <c r="I104" s="227" t="n"/>
      <c r="J104" s="227" t="n"/>
      <c r="K104" s="227" t="n"/>
      <c r="L104" s="227" t="n"/>
      <c r="M104" s="227" t="n"/>
      <c r="N104" s="227" t="n"/>
      <c r="O104" s="227" t="n"/>
      <c r="P104" s="227" t="n"/>
      <c r="Q104" s="227" t="n"/>
      <c r="R104" s="227" t="n"/>
      <c r="S104" s="227" t="n"/>
      <c r="T104" s="227" t="n"/>
      <c r="U104" s="227" t="n"/>
      <c r="V104" s="227" t="n"/>
      <c r="W104" s="227" t="n"/>
      <c r="X104" s="227" t="n"/>
      <c r="Y104" s="227" t="n"/>
      <c r="Z104" s="227" t="n"/>
      <c r="AA104" s="227" t="n"/>
      <c r="AB104" s="227" t="n"/>
      <c r="AC104" s="227" t="n"/>
      <c r="AD104" s="227" t="n"/>
      <c r="AE104" s="227" t="n"/>
      <c r="AF104" s="227" t="n"/>
      <c r="AG104" s="227" t="n"/>
      <c r="AH104" s="227" t="n"/>
      <c r="AI104" s="227" t="n"/>
      <c r="AJ104" s="227" t="n"/>
      <c r="AK104" s="227" t="n"/>
      <c r="AL104" s="227" t="n"/>
      <c r="AM104" s="227" t="n"/>
      <c r="AN104" s="227" t="n"/>
      <c r="AO104" s="227" t="n"/>
      <c r="AP104" s="227" t="n"/>
      <c r="AQ104" s="227" t="n"/>
      <c r="AR104" s="227" t="n"/>
      <c r="AS104" s="227" t="n"/>
      <c r="AT104" s="227" t="n"/>
      <c r="AU104" s="227" t="n"/>
      <c r="AV104" s="227" t="n"/>
      <c r="AW104" s="227" t="n"/>
      <c r="AX104" s="227" t="n"/>
      <c r="AY104" s="227" t="n"/>
      <c r="AZ104" s="227" t="n"/>
      <c r="BA104" s="227" t="n"/>
      <c r="BB104" s="227" t="n"/>
      <c r="BC104" s="227" t="n"/>
      <c r="BD104" s="227" t="n"/>
      <c r="BE104" s="227" t="n"/>
      <c r="BF104" s="227" t="n"/>
      <c r="BG104" s="227" t="n"/>
      <c r="BH104" s="227" t="n"/>
      <c r="BI104" s="227" t="n"/>
      <c r="BJ104" s="227" t="n"/>
      <c r="BK104" s="227" t="n"/>
      <c r="BL104" s="227" t="n"/>
      <c r="BM104" s="227" t="n"/>
      <c r="BN104" s="227" t="n"/>
      <c r="BO104" s="227" t="n"/>
      <c r="BP104" s="227" t="n"/>
      <c r="BQ104" s="227" t="n"/>
      <c r="BR104" s="227" t="n"/>
      <c r="BS104" s="227" t="n"/>
      <c r="BT104" s="227" t="n"/>
      <c r="BU104" s="227" t="n"/>
      <c r="BV104" s="227" t="n"/>
      <c r="BW104" s="227" t="n"/>
      <c r="BX104" s="227" t="n"/>
      <c r="BY104" s="227" t="n"/>
      <c r="BZ104" s="227" t="n"/>
      <c r="CA104" s="227" t="n"/>
      <c r="CB104" s="227" t="n"/>
      <c r="CC104" s="227" t="n"/>
      <c r="CD104" s="227" t="n"/>
      <c r="CE104" s="227" t="n"/>
      <c r="CF104" s="227" t="n"/>
      <c r="CG104" s="227" t="n"/>
      <c r="CH104" s="227" t="n"/>
      <c r="CI104" s="227" t="n"/>
      <c r="CJ104" s="227" t="n"/>
      <c r="CK104" s="227" t="n"/>
      <c r="CL104" s="227" t="n"/>
      <c r="CM104" s="227" t="n"/>
      <c r="CN104" s="227" t="n"/>
      <c r="CO104" s="227" t="n"/>
      <c r="CP104" s="227" t="n"/>
      <c r="CQ104" s="227" t="n"/>
      <c r="CR104" s="227" t="n"/>
      <c r="CS104" s="227" t="n"/>
      <c r="CT104" s="227" t="n"/>
      <c r="CU104" s="227" t="n"/>
      <c r="CV104" s="227" t="n"/>
      <c r="CW104" s="227" t="n"/>
      <c r="CX104" s="227" t="n"/>
      <c r="CY104" s="227" t="n"/>
      <c r="CZ104" s="227" t="n"/>
      <c r="DA104" s="227" t="n"/>
      <c r="DB104" s="227" t="n"/>
      <c r="DC104" s="227" t="n"/>
      <c r="DD104" s="227" t="n"/>
      <c r="DE104" s="227" t="n"/>
      <c r="DF104" s="227" t="n"/>
      <c r="DG104" s="227" t="n"/>
      <c r="DH104" s="227" t="n"/>
      <c r="DI104" s="227" t="n"/>
      <c r="DJ104" s="227" t="n"/>
      <c r="DK104" s="227" t="n"/>
      <c r="DL104" s="227" t="n"/>
      <c r="DM104" s="227" t="n"/>
      <c r="DN104" s="227" t="n"/>
      <c r="DO104" s="227" t="n"/>
      <c r="DP104" s="227" t="n"/>
      <c r="DQ104" s="227" t="n"/>
      <c r="DR104" s="227" t="n"/>
      <c r="DS104" s="227" t="n"/>
      <c r="DT104" s="227" t="n"/>
      <c r="DU104" s="227" t="n"/>
      <c r="DV104" s="227" t="n"/>
      <c r="DW104" s="227" t="n"/>
      <c r="DX104" s="227" t="n"/>
      <c r="DY104" s="227" t="n"/>
      <c r="DZ104" s="227" t="n"/>
      <c r="EA104" s="227" t="n"/>
      <c r="EB104" s="227" t="n"/>
      <c r="EC104" s="227" t="n"/>
      <c r="ED104" s="227" t="n"/>
      <c r="EE104" s="227" t="n"/>
      <c r="EF104" s="227" t="n"/>
      <c r="EG104" s="227" t="n"/>
      <c r="EH104" s="227" t="n"/>
      <c r="EI104" s="227" t="n"/>
      <c r="EJ104" s="227" t="n"/>
      <c r="EK104" s="227" t="n"/>
      <c r="EL104" s="227" t="n"/>
      <c r="EM104" s="227" t="n"/>
      <c r="EN104" s="227" t="n"/>
      <c r="EO104" s="227" t="n"/>
      <c r="EP104" s="227" t="n"/>
      <c r="EQ104" s="227" t="n"/>
      <c r="ER104" s="227" t="n"/>
      <c r="ES104" s="227" t="n"/>
      <c r="ET104" s="227" t="n"/>
      <c r="EU104" s="227" t="n"/>
      <c r="EV104" s="227" t="n"/>
      <c r="EW104" s="227" t="n"/>
      <c r="EX104" s="227" t="n"/>
      <c r="EY104" s="227" t="n"/>
      <c r="EZ104" s="227" t="n"/>
      <c r="FA104" s="227" t="n"/>
      <c r="FB104" s="227" t="n"/>
      <c r="FC104" s="227" t="n"/>
      <c r="FD104" s="227" t="n"/>
      <c r="FE104" s="227" t="n"/>
      <c r="FF104" s="227" t="n"/>
      <c r="FG104" s="227" t="n"/>
      <c r="FH104" s="227" t="n"/>
      <c r="FI104" s="227" t="n"/>
      <c r="FJ104" s="227" t="n"/>
      <c r="FK104" s="227" t="n"/>
      <c r="FL104" s="227" t="n"/>
      <c r="FM104" s="227" t="n"/>
      <c r="FN104" s="227" t="n"/>
      <c r="FO104" s="227" t="n"/>
      <c r="FP104" s="227" t="n"/>
      <c r="FQ104" s="227" t="n"/>
      <c r="FR104" s="227" t="n"/>
      <c r="FS104" s="227" t="n"/>
      <c r="FT104" s="227" t="n"/>
      <c r="FU104" s="227" t="n"/>
      <c r="FV104" s="227" t="n"/>
      <c r="FW104" s="227" t="n"/>
      <c r="FX104" s="227" t="n"/>
      <c r="FY104" s="227" t="n"/>
      <c r="FZ104" s="227" t="n"/>
      <c r="GA104" s="227" t="n"/>
      <c r="GB104" s="227" t="n"/>
      <c r="GC104" s="227" t="n"/>
      <c r="GD104" s="227" t="n"/>
      <c r="GE104" s="227" t="n"/>
      <c r="GF104" s="227" t="n"/>
      <c r="GG104" s="227" t="n"/>
      <c r="GH104" s="227" t="n"/>
      <c r="GI104" s="227" t="n"/>
      <c r="GJ104" s="227" t="n"/>
      <c r="GK104" s="227" t="n"/>
      <c r="GL104" s="227" t="n"/>
      <c r="GM104" s="227" t="n"/>
      <c r="GN104" s="227" t="n"/>
      <c r="GO104" s="227" t="n"/>
      <c r="GP104" s="227" t="n"/>
      <c r="GQ104" s="227" t="n"/>
      <c r="GR104" s="227" t="n"/>
      <c r="GS104" s="227" t="n"/>
      <c r="GT104" s="227" t="n"/>
      <c r="GU104" s="227" t="n"/>
      <c r="GV104" s="227" t="n"/>
      <c r="GW104" s="227" t="n"/>
      <c r="GX104" s="227" t="n"/>
      <c r="GY104" s="227" t="n"/>
      <c r="GZ104" s="227" t="n"/>
      <c r="HA104" s="227" t="n"/>
      <c r="HB104" s="227" t="n"/>
      <c r="HC104" s="227" t="n"/>
      <c r="HD104" s="227" t="n"/>
      <c r="HE104" s="227" t="n"/>
      <c r="HF104" s="227" t="n"/>
      <c r="HG104" s="227" t="n"/>
      <c r="HH104" s="227" t="n"/>
      <c r="HI104" s="227" t="n"/>
      <c r="HJ104" s="227" t="n"/>
      <c r="HK104" s="227" t="n"/>
      <c r="HL104" s="227" t="n"/>
      <c r="HM104" s="227" t="n"/>
      <c r="HN104" s="227" t="n"/>
      <c r="HO104" s="227" t="n"/>
      <c r="HP104" s="227" t="n"/>
      <c r="HQ104" s="227" t="n"/>
      <c r="HR104" s="227" t="n"/>
      <c r="HS104" s="227" t="n"/>
      <c r="HT104" s="227" t="n"/>
      <c r="HU104" s="227" t="n"/>
      <c r="HV104" s="227" t="n"/>
      <c r="HW104" s="227" t="n"/>
      <c r="HX104" s="227" t="n"/>
      <c r="HY104" s="227" t="n"/>
      <c r="HZ104" s="227" t="n"/>
      <c r="IA104" s="227" t="n"/>
      <c r="IB104" s="227" t="n"/>
      <c r="IC104" s="227" t="n"/>
      <c r="ID104" s="227" t="n"/>
      <c r="IE104" s="227" t="n"/>
      <c r="IF104" s="227" t="n"/>
      <c r="IG104" s="227" t="n"/>
      <c r="IH104" s="227" t="n"/>
      <c r="II104" s="227" t="n"/>
      <c r="IJ104" s="227" t="n"/>
      <c r="IK104" s="227" t="n"/>
      <c r="IL104" s="227" t="n"/>
      <c r="IM104" s="227" t="n"/>
      <c r="IN104" s="227" t="n"/>
      <c r="IO104" s="227" t="n"/>
      <c r="IP104" s="227" t="n"/>
      <c r="IQ104" s="227" t="n"/>
      <c r="IR104" s="227" t="n"/>
      <c r="IS104" s="227" t="n"/>
      <c r="IT104" s="227" t="n"/>
      <c r="IU104" s="227" t="n"/>
      <c r="IV104" s="227" t="n"/>
      <c r="IW104" s="227" t="n"/>
      <c r="IX104" s="227" t="n"/>
      <c r="IY104" s="227" t="n"/>
      <c r="IZ104" s="227" t="n"/>
      <c r="JA104" s="227" t="n"/>
      <c r="JB104" s="227" t="n"/>
      <c r="JC104" s="227" t="n"/>
      <c r="JD104" s="227" t="n"/>
      <c r="JE104" s="227" t="n"/>
      <c r="JF104" s="227" t="n"/>
      <c r="JG104" s="227" t="n"/>
      <c r="JH104" s="227" t="n"/>
      <c r="JI104" s="227" t="n"/>
      <c r="JJ104" s="227" t="n"/>
      <c r="JK104" s="227" t="n"/>
      <c r="JL104" s="227" t="n"/>
      <c r="JM104" s="227" t="n"/>
      <c r="JN104" s="227" t="n"/>
      <c r="JO104" s="227" t="n"/>
      <c r="JP104" s="227" t="n"/>
      <c r="JQ104" s="227" t="n"/>
      <c r="JR104" s="227" t="n"/>
      <c r="JS104" s="227" t="n"/>
      <c r="JT104" s="227" t="n"/>
      <c r="JU104" s="227" t="n"/>
      <c r="JV104" s="227" t="n"/>
      <c r="JW104" s="227" t="n"/>
      <c r="JX104" s="227" t="n"/>
      <c r="JY104" s="227" t="n"/>
      <c r="JZ104" s="227" t="n"/>
      <c r="KA104" s="227" t="n"/>
      <c r="KB104" s="227" t="n"/>
      <c r="KC104" s="227" t="n"/>
      <c r="KD104" s="227" t="n"/>
      <c r="KE104" s="227" t="n"/>
      <c r="KF104" s="227" t="n"/>
      <c r="KG104" s="227" t="n"/>
      <c r="KH104" s="227" t="n"/>
      <c r="KI104" s="227" t="n"/>
      <c r="KJ104" s="227" t="n"/>
      <c r="KK104" s="227" t="n"/>
      <c r="KL104" s="227" t="n"/>
      <c r="KM104" s="227" t="n"/>
      <c r="KN104" s="227" t="n"/>
      <c r="KO104" s="227" t="n"/>
      <c r="KP104" s="227" t="n"/>
      <c r="KQ104" s="227" t="n"/>
      <c r="KR104" s="227" t="n"/>
      <c r="KS104" s="227" t="n"/>
      <c r="KT104" s="227" t="n"/>
      <c r="KU104" s="227" t="n"/>
      <c r="KV104" s="227" t="n"/>
      <c r="KW104" s="227" t="n"/>
      <c r="KX104" s="227" t="n"/>
      <c r="KY104" s="227" t="n"/>
      <c r="KZ104" s="227" t="n"/>
      <c r="LA104" s="227" t="n"/>
      <c r="LB104" s="227" t="n"/>
      <c r="LC104" s="227" t="n"/>
      <c r="LD104" s="227" t="n"/>
      <c r="LE104" s="227" t="n"/>
      <c r="LF104" s="227" t="n"/>
      <c r="LG104" s="227" t="n"/>
      <c r="LH104" s="227" t="n"/>
      <c r="LI104" s="227" t="n"/>
      <c r="LJ104" s="227" t="n"/>
      <c r="LK104" s="227" t="n"/>
      <c r="LL104" s="227" t="n"/>
      <c r="LM104" s="227" t="n"/>
      <c r="LN104" s="227" t="n"/>
      <c r="LO104" s="227" t="n"/>
      <c r="LP104" s="227" t="n"/>
      <c r="LQ104" s="227" t="n"/>
      <c r="LR104" s="227" t="n"/>
      <c r="LS104" s="227" t="n"/>
      <c r="LT104" s="227" t="n"/>
      <c r="LU104" s="227" t="n"/>
      <c r="LV104" s="227" t="n"/>
      <c r="LW104" s="227" t="n"/>
      <c r="LX104" s="227" t="n"/>
      <c r="LY104" s="227" t="n"/>
      <c r="LZ104" s="227" t="n"/>
      <c r="MA104" s="227" t="n"/>
      <c r="MB104" s="227" t="n"/>
      <c r="MC104" s="227" t="n"/>
      <c r="MD104" s="227" t="n"/>
      <c r="ME104" s="227" t="n"/>
      <c r="MF104" s="227" t="n"/>
      <c r="MG104" s="227" t="n"/>
      <c r="MH104" s="227" t="n"/>
      <c r="MI104" s="227" t="n"/>
      <c r="MJ104" s="227" t="n"/>
      <c r="MK104" s="227" t="n"/>
      <c r="ML104" s="227" t="n"/>
      <c r="MM104" s="227" t="n"/>
      <c r="MN104" s="227" t="n"/>
      <c r="MO104" s="227" t="n"/>
      <c r="MP104" s="227" t="n"/>
      <c r="MQ104" s="227" t="n"/>
      <c r="MR104" s="227" t="n"/>
      <c r="MS104" s="227" t="n"/>
      <c r="MT104" s="227" t="n"/>
      <c r="MU104" s="227" t="n"/>
      <c r="MV104" s="227" t="n"/>
      <c r="MW104" s="227" t="n"/>
      <c r="MX104" s="227" t="n"/>
      <c r="MY104" s="227" t="n"/>
      <c r="MZ104" s="227" t="n"/>
      <c r="NA104" s="227" t="n"/>
      <c r="NB104" s="227" t="n"/>
      <c r="NC104" s="228">
        <f>SUM(B104:NB104)</f>
        <v/>
      </c>
    </row>
    <row r="105" ht="14.25" customHeight="1" s="166">
      <c r="A105" s="214" t="inlineStr">
        <is>
          <t>BTU-29-06-03</t>
        </is>
      </c>
      <c r="B105" s="227" t="n"/>
      <c r="C105" s="227" t="n"/>
      <c r="D105" s="227" t="n"/>
      <c r="E105" s="227" t="n"/>
      <c r="F105" s="227" t="n"/>
      <c r="G105" s="227" t="n"/>
      <c r="H105" s="227" t="n"/>
      <c r="I105" s="227" t="n"/>
      <c r="J105" s="227" t="n"/>
      <c r="K105" s="227" t="n"/>
      <c r="L105" s="227" t="n"/>
      <c r="M105" s="227" t="n"/>
      <c r="N105" s="227" t="n"/>
      <c r="O105" s="227" t="n"/>
      <c r="P105" s="227" t="n"/>
      <c r="Q105" s="227" t="n"/>
      <c r="R105" s="227" t="n"/>
      <c r="S105" s="227" t="n"/>
      <c r="T105" s="227" t="n"/>
      <c r="U105" s="227" t="n"/>
      <c r="V105" s="227" t="n"/>
      <c r="W105" s="227" t="n"/>
      <c r="X105" s="227" t="n"/>
      <c r="Y105" s="227" t="n"/>
      <c r="Z105" s="227" t="n"/>
      <c r="AA105" s="227" t="n"/>
      <c r="AB105" s="227" t="n"/>
      <c r="AC105" s="227" t="n"/>
      <c r="AD105" s="227" t="n"/>
      <c r="AE105" s="227" t="n"/>
      <c r="AF105" s="227" t="n"/>
      <c r="AG105" s="227" t="n"/>
      <c r="AH105" s="227" t="n"/>
      <c r="AI105" s="227" t="n"/>
      <c r="AJ105" s="227" t="n"/>
      <c r="AK105" s="227" t="n"/>
      <c r="AL105" s="227" t="n"/>
      <c r="AM105" s="227" t="n"/>
      <c r="AN105" s="227" t="n"/>
      <c r="AO105" s="227" t="n"/>
      <c r="AP105" s="227" t="n"/>
      <c r="AQ105" s="227" t="n"/>
      <c r="AR105" s="227" t="n"/>
      <c r="AS105" s="227" t="n"/>
      <c r="AT105" s="227" t="n"/>
      <c r="AU105" s="227" t="n"/>
      <c r="AV105" s="227" t="n"/>
      <c r="AW105" s="227" t="n"/>
      <c r="AX105" s="227" t="n"/>
      <c r="AY105" s="227" t="n"/>
      <c r="AZ105" s="227" t="n"/>
      <c r="BA105" s="227" t="n"/>
      <c r="BB105" s="227" t="n"/>
      <c r="BC105" s="227" t="n"/>
      <c r="BD105" s="227" t="n"/>
      <c r="BE105" s="227" t="n"/>
      <c r="BF105" s="227" t="n"/>
      <c r="BG105" s="227" t="n"/>
      <c r="BH105" s="227" t="n"/>
      <c r="BI105" s="227" t="n"/>
      <c r="BJ105" s="227" t="n"/>
      <c r="BK105" s="227" t="n"/>
      <c r="BL105" s="227" t="n"/>
      <c r="BM105" s="227" t="n"/>
      <c r="BN105" s="227" t="n"/>
      <c r="BO105" s="227" t="n"/>
      <c r="BP105" s="227" t="n"/>
      <c r="BQ105" s="227" t="n"/>
      <c r="BR105" s="227" t="n"/>
      <c r="BS105" s="227" t="n"/>
      <c r="BT105" s="227" t="n"/>
      <c r="BU105" s="227" t="n"/>
      <c r="BV105" s="227" t="n"/>
      <c r="BW105" s="227" t="n"/>
      <c r="BX105" s="227" t="n"/>
      <c r="BY105" s="227" t="n"/>
      <c r="BZ105" s="227" t="n"/>
      <c r="CA105" s="227" t="n"/>
      <c r="CB105" s="227" t="n"/>
      <c r="CC105" s="227" t="n"/>
      <c r="CD105" s="227" t="n"/>
      <c r="CE105" s="227" t="n"/>
      <c r="CF105" s="227" t="n"/>
      <c r="CG105" s="227" t="n"/>
      <c r="CH105" s="227" t="n"/>
      <c r="CI105" s="227" t="n"/>
      <c r="CJ105" s="227" t="n"/>
      <c r="CK105" s="227" t="n"/>
      <c r="CL105" s="227" t="n"/>
      <c r="CM105" s="227" t="n"/>
      <c r="CN105" s="227" t="n"/>
      <c r="CO105" s="227" t="n"/>
      <c r="CP105" s="227" t="n"/>
      <c r="CQ105" s="227" t="n"/>
      <c r="CR105" s="227" t="n"/>
      <c r="CS105" s="227" t="n"/>
      <c r="CT105" s="227" t="n"/>
      <c r="CU105" s="227" t="n"/>
      <c r="CV105" s="227" t="n"/>
      <c r="CW105" s="227" t="n"/>
      <c r="CX105" s="227" t="n"/>
      <c r="CY105" s="227" t="n"/>
      <c r="CZ105" s="227" t="n"/>
      <c r="DA105" s="227" t="n"/>
      <c r="DB105" s="227" t="n"/>
      <c r="DC105" s="227" t="n"/>
      <c r="DD105" s="227" t="n"/>
      <c r="DE105" s="227" t="n"/>
      <c r="DF105" s="227" t="n"/>
      <c r="DG105" s="227" t="n"/>
      <c r="DH105" s="227" t="n"/>
      <c r="DI105" s="227" t="n"/>
      <c r="DJ105" s="227" t="n"/>
      <c r="DK105" s="227" t="n"/>
      <c r="DL105" s="227" t="n"/>
      <c r="DM105" s="227" t="n"/>
      <c r="DN105" s="227" t="n"/>
      <c r="DO105" s="227" t="n"/>
      <c r="DP105" s="227" t="n"/>
      <c r="DQ105" s="227" t="n"/>
      <c r="DR105" s="227" t="n"/>
      <c r="DS105" s="227" t="n"/>
      <c r="DT105" s="227" t="n"/>
      <c r="DU105" s="227" t="n"/>
      <c r="DV105" s="227" t="n"/>
      <c r="DW105" s="227" t="n"/>
      <c r="DX105" s="227" t="n"/>
      <c r="DY105" s="227" t="n"/>
      <c r="DZ105" s="227" t="n"/>
      <c r="EA105" s="227" t="n"/>
      <c r="EB105" s="227" t="n"/>
      <c r="EC105" s="227" t="n"/>
      <c r="ED105" s="227" t="n"/>
      <c r="EE105" s="227" t="n"/>
      <c r="EF105" s="227" t="n"/>
      <c r="EG105" s="227" t="n"/>
      <c r="EH105" s="227" t="n"/>
      <c r="EI105" s="227" t="n"/>
      <c r="EJ105" s="227" t="n"/>
      <c r="EK105" s="227" t="n"/>
      <c r="EL105" s="227" t="n"/>
      <c r="EM105" s="227" t="n"/>
      <c r="EN105" s="227" t="n"/>
      <c r="EO105" s="227" t="n"/>
      <c r="EP105" s="227" t="n"/>
      <c r="EQ105" s="227" t="n"/>
      <c r="ER105" s="227" t="n"/>
      <c r="ES105" s="227" t="n"/>
      <c r="ET105" s="227" t="n"/>
      <c r="EU105" s="227" t="n"/>
      <c r="EV105" s="227" t="n"/>
      <c r="EW105" s="227" t="n"/>
      <c r="EX105" s="227" t="n"/>
      <c r="EY105" s="227" t="n"/>
      <c r="EZ105" s="227" t="n"/>
      <c r="FA105" s="227" t="n"/>
      <c r="FB105" s="227" t="n"/>
      <c r="FC105" s="227" t="n"/>
      <c r="FD105" s="227" t="n"/>
      <c r="FE105" s="227" t="n"/>
      <c r="FF105" s="227" t="n"/>
      <c r="FG105" s="227" t="n"/>
      <c r="FH105" s="227" t="n"/>
      <c r="FI105" s="227" t="n"/>
      <c r="FJ105" s="227" t="n"/>
      <c r="FK105" s="227" t="n"/>
      <c r="FL105" s="227" t="n"/>
      <c r="FM105" s="227" t="n"/>
      <c r="FN105" s="227" t="n"/>
      <c r="FO105" s="227" t="n"/>
      <c r="FP105" s="227" t="n"/>
      <c r="FQ105" s="227" t="n"/>
      <c r="FR105" s="227" t="n"/>
      <c r="FS105" s="227" t="n"/>
      <c r="FT105" s="227" t="n"/>
      <c r="FU105" s="227" t="n"/>
      <c r="FV105" s="227" t="n"/>
      <c r="FW105" s="227" t="n"/>
      <c r="FX105" s="227" t="n"/>
      <c r="FY105" s="227" t="n"/>
      <c r="FZ105" s="227" t="n"/>
      <c r="GA105" s="227" t="n"/>
      <c r="GB105" s="227" t="n"/>
      <c r="GC105" s="227" t="n"/>
      <c r="GD105" s="227" t="n"/>
      <c r="GE105" s="227" t="n"/>
      <c r="GF105" s="227" t="n"/>
      <c r="GG105" s="227" t="n"/>
      <c r="GH105" s="227" t="n"/>
      <c r="GI105" s="227" t="n"/>
      <c r="GJ105" s="227" t="n"/>
      <c r="GK105" s="227" t="n"/>
      <c r="GL105" s="227" t="n"/>
      <c r="GM105" s="227" t="n"/>
      <c r="GN105" s="227" t="n"/>
      <c r="GO105" s="227" t="n"/>
      <c r="GP105" s="227" t="n"/>
      <c r="GQ105" s="227" t="n"/>
      <c r="GR105" s="227" t="n"/>
      <c r="GS105" s="227" t="n"/>
      <c r="GT105" s="227" t="n"/>
      <c r="GU105" s="227" t="n"/>
      <c r="GV105" s="227" t="n"/>
      <c r="GW105" s="227" t="n"/>
      <c r="GX105" s="227" t="n"/>
      <c r="GY105" s="227" t="n"/>
      <c r="GZ105" s="227" t="n"/>
      <c r="HA105" s="227" t="n"/>
      <c r="HB105" s="227" t="n"/>
      <c r="HC105" s="227" t="n"/>
      <c r="HD105" s="227" t="n"/>
      <c r="HE105" s="227" t="n"/>
      <c r="HF105" s="227" t="n"/>
      <c r="HG105" s="227" t="n"/>
      <c r="HH105" s="227" t="n"/>
      <c r="HI105" s="227" t="n"/>
      <c r="HJ105" s="227" t="n"/>
      <c r="HK105" s="227" t="n"/>
      <c r="HL105" s="227" t="n"/>
      <c r="HM105" s="227" t="n"/>
      <c r="HN105" s="227" t="n"/>
      <c r="HO105" s="227" t="n"/>
      <c r="HP105" s="227" t="n"/>
      <c r="HQ105" s="227" t="n"/>
      <c r="HR105" s="227" t="n"/>
      <c r="HS105" s="227" t="n"/>
      <c r="HT105" s="227" t="n"/>
      <c r="HU105" s="227" t="n"/>
      <c r="HV105" s="227" t="n"/>
      <c r="HW105" s="227" t="n"/>
      <c r="HX105" s="227" t="n"/>
      <c r="HY105" s="227" t="n"/>
      <c r="HZ105" s="227" t="n"/>
      <c r="IA105" s="227" t="n"/>
      <c r="IB105" s="227" t="n"/>
      <c r="IC105" s="227" t="n"/>
      <c r="ID105" s="227" t="n"/>
      <c r="IE105" s="227" t="n"/>
      <c r="IF105" s="227" t="n"/>
      <c r="IG105" s="227" t="n"/>
      <c r="IH105" s="227" t="n"/>
      <c r="II105" s="227" t="n"/>
      <c r="IJ105" s="227" t="n"/>
      <c r="IK105" s="227" t="n"/>
      <c r="IL105" s="227" t="n"/>
      <c r="IM105" s="227" t="n"/>
      <c r="IN105" s="227" t="n"/>
      <c r="IO105" s="227" t="n"/>
      <c r="IP105" s="227" t="n"/>
      <c r="IQ105" s="227" t="n"/>
      <c r="IR105" s="227" t="n"/>
      <c r="IS105" s="227" t="n"/>
      <c r="IT105" s="227" t="n"/>
      <c r="IU105" s="227" t="n"/>
      <c r="IV105" s="227" t="n"/>
      <c r="IW105" s="227" t="n"/>
      <c r="IX105" s="227" t="n"/>
      <c r="IY105" s="227" t="n"/>
      <c r="IZ105" s="227" t="n"/>
      <c r="JA105" s="227" t="n"/>
      <c r="JB105" s="227" t="n"/>
      <c r="JC105" s="227" t="n"/>
      <c r="JD105" s="227" t="n"/>
      <c r="JE105" s="227" t="n"/>
      <c r="JF105" s="227" t="n"/>
      <c r="JG105" s="227" t="n"/>
      <c r="JH105" s="227" t="n"/>
      <c r="JI105" s="227" t="n"/>
      <c r="JJ105" s="227" t="n"/>
      <c r="JK105" s="227" t="n"/>
      <c r="JL105" s="227" t="n"/>
      <c r="JM105" s="227" t="n"/>
      <c r="JN105" s="227" t="n"/>
      <c r="JO105" s="227" t="n"/>
      <c r="JP105" s="227" t="n"/>
      <c r="JQ105" s="227" t="n"/>
      <c r="JR105" s="227" t="n"/>
      <c r="JS105" s="227" t="n"/>
      <c r="JT105" s="227" t="n"/>
      <c r="JU105" s="227" t="n"/>
      <c r="JV105" s="227" t="n"/>
      <c r="JW105" s="227" t="n"/>
      <c r="JX105" s="227" t="n"/>
      <c r="JY105" s="227" t="n"/>
      <c r="JZ105" s="227" t="n"/>
      <c r="KA105" s="227" t="n"/>
      <c r="KB105" s="227" t="n"/>
      <c r="KC105" s="227" t="n"/>
      <c r="KD105" s="227" t="n"/>
      <c r="KE105" s="227" t="n"/>
      <c r="KF105" s="227" t="n"/>
      <c r="KG105" s="227" t="n"/>
      <c r="KH105" s="227" t="n"/>
      <c r="KI105" s="227" t="n"/>
      <c r="KJ105" s="227" t="n"/>
      <c r="KK105" s="227" t="n"/>
      <c r="KL105" s="227" t="n"/>
      <c r="KM105" s="227" t="n"/>
      <c r="KN105" s="227" t="n"/>
      <c r="KO105" s="227" t="n"/>
      <c r="KP105" s="227" t="n"/>
      <c r="KQ105" s="227" t="n"/>
      <c r="KR105" s="227" t="n"/>
      <c r="KS105" s="227" t="n"/>
      <c r="KT105" s="227" t="n"/>
      <c r="KU105" s="227" t="n"/>
      <c r="KV105" s="227" t="n"/>
      <c r="KW105" s="227" t="n"/>
      <c r="KX105" s="227" t="n"/>
      <c r="KY105" s="227" t="n"/>
      <c r="KZ105" s="227" t="n"/>
      <c r="LA105" s="227" t="n"/>
      <c r="LB105" s="227" t="n"/>
      <c r="LC105" s="227" t="n"/>
      <c r="LD105" s="227" t="n"/>
      <c r="LE105" s="227" t="n"/>
      <c r="LF105" s="227" t="n"/>
      <c r="LG105" s="227" t="n"/>
      <c r="LH105" s="227" t="n"/>
      <c r="LI105" s="227" t="n"/>
      <c r="LJ105" s="227" t="n"/>
      <c r="LK105" s="227" t="n"/>
      <c r="LL105" s="227" t="n"/>
      <c r="LM105" s="227" t="n"/>
      <c r="LN105" s="227" t="n"/>
      <c r="LO105" s="227" t="n"/>
      <c r="LP105" s="227" t="n"/>
      <c r="LQ105" s="227" t="n"/>
      <c r="LR105" s="227" t="n"/>
      <c r="LS105" s="227" t="n"/>
      <c r="LT105" s="227" t="n"/>
      <c r="LU105" s="227" t="n"/>
      <c r="LV105" s="227" t="n"/>
      <c r="LW105" s="227" t="n"/>
      <c r="LX105" s="227" t="n"/>
      <c r="LY105" s="227" t="n"/>
      <c r="LZ105" s="227" t="n"/>
      <c r="MA105" s="227" t="n"/>
      <c r="MB105" s="227" t="n"/>
      <c r="MC105" s="227" t="n"/>
      <c r="MD105" s="227" t="n"/>
      <c r="ME105" s="227" t="n"/>
      <c r="MF105" s="227" t="n"/>
      <c r="MG105" s="227" t="n"/>
      <c r="MH105" s="227" t="n"/>
      <c r="MI105" s="227" t="n"/>
      <c r="MJ105" s="227" t="n"/>
      <c r="MK105" s="227" t="n"/>
      <c r="ML105" s="227" t="n"/>
      <c r="MM105" s="227" t="n"/>
      <c r="MN105" s="227" t="n"/>
      <c r="MO105" s="227" t="n"/>
      <c r="MP105" s="227" t="n"/>
      <c r="MQ105" s="227" t="n"/>
      <c r="MR105" s="227" t="n"/>
      <c r="MS105" s="227" t="n"/>
      <c r="MT105" s="227" t="n"/>
      <c r="MU105" s="227" t="n"/>
      <c r="MV105" s="227" t="n"/>
      <c r="MW105" s="227" t="n"/>
      <c r="MX105" s="227" t="n"/>
      <c r="MY105" s="227" t="n"/>
      <c r="MZ105" s="227" t="n"/>
      <c r="NA105" s="227" t="n"/>
      <c r="NB105" s="227" t="n"/>
      <c r="NC105" s="228">
        <f>SUM(B105:NB105)</f>
        <v/>
      </c>
    </row>
    <row r="106" ht="14.25" customHeight="1" s="166">
      <c r="A106" s="217" t="inlineStr">
        <is>
          <t>CHILLED WATER DAILY CONSUMPTION (m³)</t>
        </is>
      </c>
      <c r="B106" s="218" t="n"/>
      <c r="C106" s="218">
        <f>IF(COUNT(B51:B105,C51:C105)=0,"",SUMPRODUCT(--(B51:B105&lt;&gt;""),--(C51:C105&lt;&gt;""),C51:C105-B51:B105))</f>
        <v/>
      </c>
      <c r="D106" s="218">
        <f>IF(COUNT(C51:C105,D51:D105)=0,"",SUMPRODUCT(--(C51:C105&lt;&gt;""),--(D51:D105&lt;&gt;""),D51:D105-C51:C105))</f>
        <v/>
      </c>
      <c r="E106" s="218">
        <f>IF(COUNT(D51:D105,E51:E105)=0,"",SUMPRODUCT(--(D51:D105&lt;&gt;""),--(E51:E105&lt;&gt;""),E51:E105-D51:D105))</f>
        <v/>
      </c>
      <c r="F106" s="218">
        <f>IF(COUNT(E51:E105,F51:F105)=0,"",SUMPRODUCT(--(E51:E105&lt;&gt;""),--(F51:F105&lt;&gt;""),F51:F105-E51:E105))</f>
        <v/>
      </c>
      <c r="G106" s="218">
        <f>IF(COUNT(F51:F105,G51:G105)=0,"",SUMPRODUCT(--(F51:F105&lt;&gt;""),--(G51:G105&lt;&gt;""),G51:G105-F51:F105))</f>
        <v/>
      </c>
      <c r="H106" s="218">
        <f>IF(COUNT(G51:G105,H51:H105)=0,"",SUMPRODUCT(--(G51:G105&lt;&gt;""),--(H51:H105&lt;&gt;""),H51:H105-G51:G105))</f>
        <v/>
      </c>
      <c r="I106" s="218">
        <f>IF(COUNT(H51:H105,I51:I105)=0,"",SUMPRODUCT(--(H51:H105&lt;&gt;""),--(I51:I105&lt;&gt;""),I51:I105-H51:H105))</f>
        <v/>
      </c>
      <c r="J106" s="218">
        <f>IF(COUNT(I51:I105,J51:J105)=0,"",SUMPRODUCT(--(I51:I105&lt;&gt;""),--(J51:J105&lt;&gt;""),J51:J105-I51:I105))</f>
        <v/>
      </c>
      <c r="K106" s="218">
        <f>IF(COUNT(J51:J105,K51:K105)=0,"",SUMPRODUCT(--(J51:J105&lt;&gt;""),--(K51:K105&lt;&gt;""),K51:K105-J51:J105))</f>
        <v/>
      </c>
      <c r="L106" s="218">
        <f>IF(COUNT(K51:K105,L51:L105)=0,"",SUMPRODUCT(--(K51:K105&lt;&gt;""),--(L51:L105&lt;&gt;""),L51:L105-K51:K105))</f>
        <v/>
      </c>
      <c r="M106" s="218">
        <f>IF(COUNT(L51:L105,M51:M105)=0,"",SUMPRODUCT(--(L51:L105&lt;&gt;""),--(M51:M105&lt;&gt;""),M51:M105-L51:L105))</f>
        <v/>
      </c>
      <c r="N106" s="218">
        <f>IF(COUNT(M51:M105,N51:N105)=0,"",SUMPRODUCT(--(M51:M105&lt;&gt;""),--(N51:N105&lt;&gt;""),N51:N105-M51:M105))</f>
        <v/>
      </c>
      <c r="O106" s="218">
        <f>IF(COUNT(N51:N105,O51:O105)=0,"",SUMPRODUCT(--(N51:N105&lt;&gt;""),--(O51:O105&lt;&gt;""),O51:O105-N51:N105))</f>
        <v/>
      </c>
      <c r="P106" s="218">
        <f>IF(COUNT(O51:O105,P51:P105)=0,"",SUMPRODUCT(--(O51:O105&lt;&gt;""),--(P51:P105&lt;&gt;""),P51:P105-O51:O105))</f>
        <v/>
      </c>
      <c r="Q106" s="218">
        <f>IF(COUNT(P51:P105,Q51:Q105)=0,"",SUMPRODUCT(--(P51:P105&lt;&gt;""),--(Q51:Q105&lt;&gt;""),Q51:Q105-P51:P105))</f>
        <v/>
      </c>
      <c r="R106" s="218">
        <f>IF(COUNT(Q51:Q105,R51:R105)=0,"",SUMPRODUCT(--(Q51:Q105&lt;&gt;""),--(R51:R105&lt;&gt;""),R51:R105-Q51:Q105))</f>
        <v/>
      </c>
      <c r="S106" s="218">
        <f>IF(COUNT(R51:R105,S51:S105)=0,"",SUMPRODUCT(--(R51:R105&lt;&gt;""),--(S51:S105&lt;&gt;""),S51:S105-R51:R105))</f>
        <v/>
      </c>
      <c r="T106" s="218">
        <f>IF(COUNT(S51:S105,T51:T105)=0,"",SUMPRODUCT(--(S51:S105&lt;&gt;""),--(T51:T105&lt;&gt;""),T51:T105-S51:S105))</f>
        <v/>
      </c>
      <c r="U106" s="218">
        <f>IF(COUNT(T51:T105,U51:U105)=0,"",SUMPRODUCT(--(T51:T105&lt;&gt;""),--(U51:U105&lt;&gt;""),U51:U105-T51:T105))</f>
        <v/>
      </c>
      <c r="V106" s="218">
        <f>IF(COUNT(U51:U105,V51:V105)=0,"",SUMPRODUCT(--(U51:U105&lt;&gt;""),--(V51:V105&lt;&gt;""),V51:V105-U51:U105))</f>
        <v/>
      </c>
      <c r="W106" s="218">
        <f>IF(COUNT(V51:V105,W51:W105)=0,"",SUMPRODUCT(--(V51:V105&lt;&gt;""),--(W51:W105&lt;&gt;""),W51:W105-V51:V105))</f>
        <v/>
      </c>
      <c r="X106" s="218">
        <f>IF(COUNT(W51:W105,X51:X105)=0,"",SUMPRODUCT(--(W51:W105&lt;&gt;""),--(X51:X105&lt;&gt;""),X51:X105-W51:W105))</f>
        <v/>
      </c>
      <c r="Y106" s="218">
        <f>IF(COUNT(X51:X105,Y51:Y105)=0,"",SUMPRODUCT(--(X51:X105&lt;&gt;""),--(Y51:Y105&lt;&gt;""),Y51:Y105-X51:X105))</f>
        <v/>
      </c>
      <c r="Z106" s="218">
        <f>IF(COUNT(Y51:Y105,Z51:Z105)=0,"",SUMPRODUCT(--(Y51:Y105&lt;&gt;""),--(Z51:Z105&lt;&gt;""),Z51:Z105-Y51:Y105))</f>
        <v/>
      </c>
      <c r="AA106" s="218">
        <f>IF(COUNT(Z51:Z105,AA51:AA105)=0,"",SUMPRODUCT(--(Z51:Z105&lt;&gt;""),--(AA51:AA105&lt;&gt;""),AA51:AA105-Z51:Z105))</f>
        <v/>
      </c>
      <c r="AB106" s="218">
        <f>IF(COUNT(AA51:AA105,AB51:AB105)=0,"",SUMPRODUCT(--(AA51:AA105&lt;&gt;""),--(AB51:AB105&lt;&gt;""),AB51:AB105-AA51:AA105))</f>
        <v/>
      </c>
      <c r="AC106" s="218">
        <f>IF(COUNT(AB51:AB105,AC51:AC105)=0,"",SUMPRODUCT(--(AB51:AB105&lt;&gt;""),--(AC51:AC105&lt;&gt;""),AC51:AC105-AB51:AB105))</f>
        <v/>
      </c>
      <c r="AD106" s="218">
        <f>IF(COUNT(AC51:AC105,AD51:AD105)=0,"",SUMPRODUCT(--(AC51:AC105&lt;&gt;""),--(AD51:AD105&lt;&gt;""),AD51:AD105-AC51:AC105))</f>
        <v/>
      </c>
      <c r="AE106" s="218">
        <f>IF(COUNT(AD51:AD105,AE51:AE105)=0,"",SUMPRODUCT(--(AD51:AD105&lt;&gt;""),--(AE51:AE105&lt;&gt;""),AE51:AE105-AD51:AD105))</f>
        <v/>
      </c>
      <c r="AF106" s="218">
        <f>IF(COUNT(AE51:AE105,AF51:AF105)=0,"",SUMPRODUCT(--(AE51:AE105&lt;&gt;""),--(AF51:AF105&lt;&gt;""),AF51:AF105-AE51:AE105))</f>
        <v/>
      </c>
      <c r="AG106" s="218">
        <f>IF(COUNT(AF51:AF105,AG51:AG105)=0,"",SUMPRODUCT(--(AF51:AF105&lt;&gt;""),--(AG51:AG105&lt;&gt;""),AG51:AG105-AF51:AF105))</f>
        <v/>
      </c>
      <c r="AH106" s="218">
        <f>IF(COUNT(AG51:AG105,AH51:AH105)=0,"",SUMPRODUCT(--(AG51:AG105&lt;&gt;""),--(AH51:AH105&lt;&gt;""),AH51:AH105-AG51:AG105))</f>
        <v/>
      </c>
      <c r="AI106" s="218">
        <f>IF(COUNT(AH51:AH105,AI51:AI105)=0,"",SUMPRODUCT(--(AH51:AH105&lt;&gt;""),--(AI51:AI105&lt;&gt;""),AI51:AI105-AH51:AH105))</f>
        <v/>
      </c>
      <c r="AJ106" s="218">
        <f>IF(COUNT(AI51:AI105,AJ51:AJ105)=0,"",SUMPRODUCT(--(AI51:AI105&lt;&gt;""),--(AJ51:AJ105&lt;&gt;""),AJ51:AJ105-AI51:AI105))</f>
        <v/>
      </c>
      <c r="AK106" s="218">
        <f>IF(COUNT(AJ51:AJ105,AK51:AK105)=0,"",SUMPRODUCT(--(AJ51:AJ105&lt;&gt;""),--(AK51:AK105&lt;&gt;""),AK51:AK105-AJ51:AJ105))</f>
        <v/>
      </c>
      <c r="AL106" s="218">
        <f>IF(COUNT(AK51:AK105,AL51:AL105)=0,"",SUMPRODUCT(--(AK51:AK105&lt;&gt;""),--(AL51:AL105&lt;&gt;""),AL51:AL105-AK51:AK105))</f>
        <v/>
      </c>
      <c r="AM106" s="218">
        <f>IF(COUNT(AL51:AL105,AM51:AM105)=0,"",SUMPRODUCT(--(AL51:AL105&lt;&gt;""),--(AM51:AM105&lt;&gt;""),AM51:AM105-AL51:AL105))</f>
        <v/>
      </c>
      <c r="AN106" s="218">
        <f>IF(COUNT(AM51:AM105,AN51:AN105)=0,"",SUMPRODUCT(--(AM51:AM105&lt;&gt;""),--(AN51:AN105&lt;&gt;""),AN51:AN105-AM51:AM105))</f>
        <v/>
      </c>
      <c r="AO106" s="218">
        <f>IF(COUNT(AN51:AN105,AO51:AO105)=0,"",SUMPRODUCT(--(AN51:AN105&lt;&gt;""),--(AO51:AO105&lt;&gt;""),AO51:AO105-AN51:AN105))</f>
        <v/>
      </c>
      <c r="AP106" s="218">
        <f>IF(COUNT(AO51:AO105,AP51:AP105)=0,"",SUMPRODUCT(--(AO51:AO105&lt;&gt;""),--(AP51:AP105&lt;&gt;""),AP51:AP105-AO51:AO105))</f>
        <v/>
      </c>
      <c r="AQ106" s="218">
        <f>IF(COUNT(AP51:AP105,AQ51:AQ105)=0,"",SUMPRODUCT(--(AP51:AP105&lt;&gt;""),--(AQ51:AQ105&lt;&gt;""),AQ51:AQ105-AP51:AP105))</f>
        <v/>
      </c>
      <c r="AR106" s="218">
        <f>IF(COUNT(AQ51:AQ105,AR51:AR105)=0,"",SUMPRODUCT(--(AQ51:AQ105&lt;&gt;""),--(AR51:AR105&lt;&gt;""),AR51:AR105-AQ51:AQ105))</f>
        <v/>
      </c>
      <c r="AS106" s="218">
        <f>IF(COUNT(AR51:AR105,AS51:AS105)=0,"",SUMPRODUCT(--(AR51:AR105&lt;&gt;""),--(AS51:AS105&lt;&gt;""),AS51:AS105-AR51:AR105))</f>
        <v/>
      </c>
      <c r="AT106" s="218">
        <f>IF(COUNT(AS51:AS105,AT51:AT105)=0,"",SUMPRODUCT(--(AS51:AS105&lt;&gt;""),--(AT51:AT105&lt;&gt;""),AT51:AT105-AS51:AS105))</f>
        <v/>
      </c>
      <c r="AU106" s="218">
        <f>IF(COUNT(AT51:AT105,AU51:AU105)=0,"",SUMPRODUCT(--(AT51:AT105&lt;&gt;""),--(AU51:AU105&lt;&gt;""),AU51:AU105-AT51:AT105))</f>
        <v/>
      </c>
      <c r="AV106" s="218">
        <f>IF(COUNT(AU51:AU105,AV51:AV105)=0,"",SUMPRODUCT(--(AU51:AU105&lt;&gt;""),--(AV51:AV105&lt;&gt;""),AV51:AV105-AU51:AU105))</f>
        <v/>
      </c>
      <c r="AW106" s="218">
        <f>IF(COUNT(AV51:AV105,AW51:AW105)=0,"",SUMPRODUCT(--(AV51:AV105&lt;&gt;""),--(AW51:AW105&lt;&gt;""),AW51:AW105-AV51:AV105))</f>
        <v/>
      </c>
      <c r="AX106" s="218">
        <f>IF(COUNT(AW51:AW105,AX51:AX105)=0,"",SUMPRODUCT(--(AW51:AW105&lt;&gt;""),--(AX51:AX105&lt;&gt;""),AX51:AX105-AW51:AW105))</f>
        <v/>
      </c>
      <c r="AY106" s="218">
        <f>IF(COUNT(AX51:AX105,AY51:AY105)=0,"",SUMPRODUCT(--(AX51:AX105&lt;&gt;""),--(AY51:AY105&lt;&gt;""),AY51:AY105-AX51:AX105))</f>
        <v/>
      </c>
      <c r="AZ106" s="218">
        <f>IF(COUNT(AY51:AY105,AZ51:AZ105)=0,"",SUMPRODUCT(--(AY51:AY105&lt;&gt;""),--(AZ51:AZ105&lt;&gt;""),AZ51:AZ105-AY51:AY105))</f>
        <v/>
      </c>
      <c r="BA106" s="218">
        <f>IF(COUNT(AZ51:AZ105,BA51:BA105)=0,"",SUMPRODUCT(--(AZ51:AZ105&lt;&gt;""),--(BA51:BA105&lt;&gt;""),BA51:BA105-AZ51:AZ105))</f>
        <v/>
      </c>
      <c r="BB106" s="218">
        <f>IF(COUNT(BA51:BA105,BB51:BB105)=0,"",SUMPRODUCT(--(BA51:BA105&lt;&gt;""),--(BB51:BB105&lt;&gt;""),BB51:BB105-BA51:BA105))</f>
        <v/>
      </c>
      <c r="BC106" s="218">
        <f>IF(COUNT(BB51:BB105,BC51:BC105)=0,"",SUMPRODUCT(--(BB51:BB105&lt;&gt;""),--(BC51:BC105&lt;&gt;""),BC51:BC105-BB51:BB105))</f>
        <v/>
      </c>
      <c r="BD106" s="218">
        <f>IF(COUNT(BC51:BC105,BD51:BD105)=0,"",SUMPRODUCT(--(BC51:BC105&lt;&gt;""),--(BD51:BD105&lt;&gt;""),BD51:BD105-BC51:BC105))</f>
        <v/>
      </c>
      <c r="BE106" s="218">
        <f>IF(COUNT(BD51:BD105,BE51:BE105)=0,"",SUMPRODUCT(--(BD51:BD105&lt;&gt;""),--(BE51:BE105&lt;&gt;""),BE51:BE105-BD51:BD105))</f>
        <v/>
      </c>
      <c r="BF106" s="218">
        <f>IF(COUNT(BE51:BE105,BF51:BF105)=0,"",SUMPRODUCT(--(BE51:BE105&lt;&gt;""),--(BF51:BF105&lt;&gt;""),BF51:BF105-BE51:BE105))</f>
        <v/>
      </c>
      <c r="BG106" s="218">
        <f>IF(COUNT(BF51:BF105,BG51:BG105)=0,"",SUMPRODUCT(--(BF51:BF105&lt;&gt;""),--(BG51:BG105&lt;&gt;""),BG51:BG105-BF51:BF105))</f>
        <v/>
      </c>
      <c r="BH106" s="218">
        <f>IF(COUNT(BG51:BG105,BH51:BH105)=0,"",SUMPRODUCT(--(BG51:BG105&lt;&gt;""),--(BH51:BH105&lt;&gt;""),BH51:BH105-BG51:BG105))</f>
        <v/>
      </c>
      <c r="BI106" s="218">
        <f>IF(COUNT(BH51:BH105,BI51:BI105)=0,"",SUMPRODUCT(--(BH51:BH105&lt;&gt;""),--(BI51:BI105&lt;&gt;""),BI51:BI105-BH51:BH105))</f>
        <v/>
      </c>
      <c r="BJ106" s="218">
        <f>IF(COUNT(BI51:BI105,BJ51:BJ105)=0,"",SUMPRODUCT(--(BI51:BI105&lt;&gt;""),--(BJ51:BJ105&lt;&gt;""),BJ51:BJ105-BI51:BI105))</f>
        <v/>
      </c>
      <c r="BK106" s="218">
        <f>IF(COUNT(BJ51:BJ105,BK51:BK105)=0,"",SUMPRODUCT(--(BJ51:BJ105&lt;&gt;""),--(BK51:BK105&lt;&gt;""),BK51:BK105-BJ51:BJ105))</f>
        <v/>
      </c>
      <c r="BL106" s="218">
        <f>IF(COUNT(BK51:BK105,BL51:BL105)=0,"",SUMPRODUCT(--(BK51:BK105&lt;&gt;""),--(BL51:BL105&lt;&gt;""),BL51:BL105-BK51:BK105))</f>
        <v/>
      </c>
      <c r="BM106" s="218">
        <f>IF(COUNT(BL51:BL105,BM51:BM105)=0,"",SUMPRODUCT(--(BL51:BL105&lt;&gt;""),--(BM51:BM105&lt;&gt;""),BM51:BM105-BL51:BL105))</f>
        <v/>
      </c>
      <c r="BN106" s="218">
        <f>IF(COUNT(BM51:BM105,BN51:BN105)=0,"",SUMPRODUCT(--(BM51:BM105&lt;&gt;""),--(BN51:BN105&lt;&gt;""),BN51:BN105-BM51:BM105))</f>
        <v/>
      </c>
      <c r="BO106" s="218">
        <f>IF(COUNT(BN51:BN105,BO51:BO105)=0,"",SUMPRODUCT(--(BN51:BN105&lt;&gt;""),--(BO51:BO105&lt;&gt;""),BO51:BO105-BN51:BN105))</f>
        <v/>
      </c>
      <c r="BP106" s="218">
        <f>IF(COUNT(BO51:BO105,BP51:BP105)=0,"",SUMPRODUCT(--(BO51:BO105&lt;&gt;""),--(BP51:BP105&lt;&gt;""),BP51:BP105-BO51:BO105))</f>
        <v/>
      </c>
      <c r="BQ106" s="218">
        <f>IF(COUNT(BP51:BP105,BQ51:BQ105)=0,"",SUMPRODUCT(--(BP51:BP105&lt;&gt;""),--(BQ51:BQ105&lt;&gt;""),BQ51:BQ105-BP51:BP105))</f>
        <v/>
      </c>
      <c r="BR106" s="218">
        <f>IF(COUNT(BQ51:BQ105,BR51:BR105)=0,"",SUMPRODUCT(--(BQ51:BQ105&lt;&gt;""),--(BR51:BR105&lt;&gt;""),BR51:BR105-BQ51:BQ105))</f>
        <v/>
      </c>
      <c r="BS106" s="218">
        <f>IF(COUNT(BR51:BR105,BS51:BS105)=0,"",SUMPRODUCT(--(BR51:BR105&lt;&gt;""),--(BS51:BS105&lt;&gt;""),BS51:BS105-BR51:BR105))</f>
        <v/>
      </c>
      <c r="BT106" s="218">
        <f>IF(COUNT(BS51:BS105,BT51:BT105)=0,"",SUMPRODUCT(--(BS51:BS105&lt;&gt;""),--(BT51:BT105&lt;&gt;""),BT51:BT105-BS51:BS105))</f>
        <v/>
      </c>
      <c r="BU106" s="218">
        <f>IF(COUNT(BT51:BT105,BU51:BU105)=0,"",SUMPRODUCT(--(BT51:BT105&lt;&gt;""),--(BU51:BU105&lt;&gt;""),BU51:BU105-BT51:BT105))</f>
        <v/>
      </c>
      <c r="BV106" s="218">
        <f>IF(COUNT(BU51:BU105,BV51:BV105)=0,"",SUMPRODUCT(--(BU51:BU105&lt;&gt;""),--(BV51:BV105&lt;&gt;""),BV51:BV105-BU51:BU105))</f>
        <v/>
      </c>
      <c r="BW106" s="218">
        <f>IF(COUNT(BV51:BV105,BW51:BW105)=0,"",SUMPRODUCT(--(BV51:BV105&lt;&gt;""),--(BW51:BW105&lt;&gt;""),BW51:BW105-BV51:BV105))</f>
        <v/>
      </c>
      <c r="BX106" s="218">
        <f>IF(COUNT(BW51:BW105,BX51:BX105)=0,"",SUMPRODUCT(--(BW51:BW105&lt;&gt;""),--(BX51:BX105&lt;&gt;""),BX51:BX105-BW51:BW105))</f>
        <v/>
      </c>
      <c r="BY106" s="218">
        <f>IF(COUNT(BX51:BX105,BY51:BY105)=0,"",SUMPRODUCT(--(BX51:BX105&lt;&gt;""),--(BY51:BY105&lt;&gt;""),BY51:BY105-BX51:BX105))</f>
        <v/>
      </c>
      <c r="BZ106" s="218">
        <f>IF(COUNT(BY51:BY105,BZ51:BZ105)=0,"",SUMPRODUCT(--(BY51:BY105&lt;&gt;""),--(BZ51:BZ105&lt;&gt;""),BZ51:BZ105-BY51:BY105))</f>
        <v/>
      </c>
      <c r="CA106" s="218">
        <f>IF(COUNT(BZ51:BZ105,CA51:CA105)=0,"",SUMPRODUCT(--(BZ51:BZ105&lt;&gt;""),--(CA51:CA105&lt;&gt;""),CA51:CA105-BZ51:BZ105))</f>
        <v/>
      </c>
      <c r="CB106" s="218">
        <f>IF(COUNT(CA51:CA105,CB51:CB105)=0,"",SUMPRODUCT(--(CA51:CA105&lt;&gt;""),--(CB51:CB105&lt;&gt;""),CB51:CB105-CA51:CA105))</f>
        <v/>
      </c>
      <c r="CC106" s="218">
        <f>IF(COUNT(CB51:CB105,CC51:CC105)=0,"",SUMPRODUCT(--(CB51:CB105&lt;&gt;""),--(CC51:CC105&lt;&gt;""),CC51:CC105-CB51:CB105))</f>
        <v/>
      </c>
      <c r="CD106" s="218">
        <f>IF(COUNT(CC51:CC105,CD51:CD105)=0,"",SUMPRODUCT(--(CC51:CC105&lt;&gt;""),--(CD51:CD105&lt;&gt;""),CD51:CD105-CC51:CC105))</f>
        <v/>
      </c>
      <c r="CE106" s="218">
        <f>IF(COUNT(CD51:CD105,CE51:CE105)=0,"",SUMPRODUCT(--(CD51:CD105&lt;&gt;""),--(CE51:CE105&lt;&gt;""),CE51:CE105-CD51:CD105))</f>
        <v/>
      </c>
      <c r="CF106" s="218">
        <f>IF(COUNT(CE51:CE105,CF51:CF105)=0,"",SUMPRODUCT(--(CE51:CE105&lt;&gt;""),--(CF51:CF105&lt;&gt;""),CF51:CF105-CE51:CE105))</f>
        <v/>
      </c>
      <c r="CG106" s="218">
        <f>IF(COUNT(CF51:CF105,CG51:CG105)=0,"",SUMPRODUCT(--(CF51:CF105&lt;&gt;""),--(CG51:CG105&lt;&gt;""),CG51:CG105-CF51:CF105))</f>
        <v/>
      </c>
      <c r="CH106" s="218">
        <f>IF(COUNT(CG51:CG105,CH51:CH105)=0,"",SUMPRODUCT(--(CG51:CG105&lt;&gt;""),--(CH51:CH105&lt;&gt;""),CH51:CH105-CG51:CG105))</f>
        <v/>
      </c>
      <c r="CI106" s="218">
        <f>IF(COUNT(CH51:CH105,CI51:CI105)=0,"",SUMPRODUCT(--(CH51:CH105&lt;&gt;""),--(CI51:CI105&lt;&gt;""),CI51:CI105-CH51:CH105))</f>
        <v/>
      </c>
      <c r="CJ106" s="218">
        <f>IF(COUNT(CI51:CI105,CJ51:CJ105)=0,"",SUMPRODUCT(--(CI51:CI105&lt;&gt;""),--(CJ51:CJ105&lt;&gt;""),CJ51:CJ105-CI51:CI105))</f>
        <v/>
      </c>
      <c r="CK106" s="218">
        <f>IF(COUNT(CJ51:CJ105,CK51:CK105)=0,"",SUMPRODUCT(--(CJ51:CJ105&lt;&gt;""),--(CK51:CK105&lt;&gt;""),CK51:CK105-CJ51:CJ105))</f>
        <v/>
      </c>
      <c r="CL106" s="218">
        <f>IF(COUNT(CK51:CK105,CL51:CL105)=0,"",SUMPRODUCT(--(CK51:CK105&lt;&gt;""),--(CL51:CL105&lt;&gt;""),CL51:CL105-CK51:CK105))</f>
        <v/>
      </c>
      <c r="CM106" s="218">
        <f>IF(COUNT(CL51:CL105,CM51:CM105)=0,"",SUMPRODUCT(--(CL51:CL105&lt;&gt;""),--(CM51:CM105&lt;&gt;""),CM51:CM105-CL51:CL105))</f>
        <v/>
      </c>
      <c r="CN106" s="218">
        <f>IF(COUNT(CM51:CM105,CN51:CN105)=0,"",SUMPRODUCT(--(CM51:CM105&lt;&gt;""),--(CN51:CN105&lt;&gt;""),CN51:CN105-CM51:CM105))</f>
        <v/>
      </c>
      <c r="CO106" s="218">
        <f>IF(COUNT(CN51:CN105,CO51:CO105)=0,"",SUMPRODUCT(--(CN51:CN105&lt;&gt;""),--(CO51:CO105&lt;&gt;""),CO51:CO105-CN51:CN105))</f>
        <v/>
      </c>
      <c r="CP106" s="218">
        <f>IF(COUNT(CO51:CO105,CP51:CP105)=0,"",SUMPRODUCT(--(CO51:CO105&lt;&gt;""),--(CP51:CP105&lt;&gt;""),CP51:CP105-CO51:CO105))</f>
        <v/>
      </c>
      <c r="CQ106" s="218">
        <f>IF(COUNT(CP51:CP105,CQ51:CQ105)=0,"",SUMPRODUCT(--(CP51:CP105&lt;&gt;""),--(CQ51:CQ105&lt;&gt;""),CQ51:CQ105-CP51:CP105))</f>
        <v/>
      </c>
      <c r="CR106" s="218">
        <f>IF(COUNT(CQ51:CQ105,CR51:CR105)=0,"",SUMPRODUCT(--(CQ51:CQ105&lt;&gt;""),--(CR51:CR105&lt;&gt;""),CR51:CR105-CQ51:CQ105))</f>
        <v/>
      </c>
      <c r="CS106" s="218">
        <f>IF(COUNT(CR51:CR105,CS51:CS105)=0,"",SUMPRODUCT(--(CR51:CR105&lt;&gt;""),--(CS51:CS105&lt;&gt;""),CS51:CS105-CR51:CR105))</f>
        <v/>
      </c>
      <c r="CT106" s="218">
        <f>IF(COUNT(CS51:CS105,CT51:CT105)=0,"",SUMPRODUCT(--(CS51:CS105&lt;&gt;""),--(CT51:CT105&lt;&gt;""),CT51:CT105-CS51:CS105))</f>
        <v/>
      </c>
      <c r="CU106" s="218">
        <f>IF(COUNT(CT51:CT105,CU51:CU105)=0,"",SUMPRODUCT(--(CT51:CT105&lt;&gt;""),--(CU51:CU105&lt;&gt;""),CU51:CU105-CT51:CT105))</f>
        <v/>
      </c>
      <c r="CV106" s="218">
        <f>IF(COUNT(CU51:CU105,CV51:CV105)=0,"",SUMPRODUCT(--(CU51:CU105&lt;&gt;""),--(CV51:CV105&lt;&gt;""),CV51:CV105-CU51:CU105))</f>
        <v/>
      </c>
      <c r="CW106" s="218">
        <f>IF(COUNT(CV51:CV105,CW51:CW105)=0,"",SUMPRODUCT(--(CV51:CV105&lt;&gt;""),--(CW51:CW105&lt;&gt;""),CW51:CW105-CV51:CV105))</f>
        <v/>
      </c>
      <c r="CX106" s="218">
        <f>IF(COUNT(CW51:CW105,CX51:CX105)=0,"",SUMPRODUCT(--(CW51:CW105&lt;&gt;""),--(CX51:CX105&lt;&gt;""),CX51:CX105-CW51:CW105))</f>
        <v/>
      </c>
      <c r="CY106" s="218">
        <f>IF(COUNT(CX51:CX105,CY51:CY105)=0,"",SUMPRODUCT(--(CX51:CX105&lt;&gt;""),--(CY51:CY105&lt;&gt;""),CY51:CY105-CX51:CX105))</f>
        <v/>
      </c>
      <c r="CZ106" s="218">
        <f>IF(COUNT(CY51:CY105,CZ51:CZ105)=0,"",SUMPRODUCT(--(CY51:CY105&lt;&gt;""),--(CZ51:CZ105&lt;&gt;""),CZ51:CZ105-CY51:CY105))</f>
        <v/>
      </c>
      <c r="DA106" s="218">
        <f>IF(COUNT(CZ51:CZ105,DA51:DA105)=0,"",SUMPRODUCT(--(CZ51:CZ105&lt;&gt;""),--(DA51:DA105&lt;&gt;""),DA51:DA105-CZ51:CZ105))</f>
        <v/>
      </c>
      <c r="DB106" s="218">
        <f>IF(COUNT(DA51:DA105,DB51:DB105)=0,"",SUMPRODUCT(--(DA51:DA105&lt;&gt;""),--(DB51:DB105&lt;&gt;""),DB51:DB105-DA51:DA105))</f>
        <v/>
      </c>
      <c r="DC106" s="218">
        <f>IF(COUNT(DB51:DB105,DC51:DC105)=0,"",SUMPRODUCT(--(DB51:DB105&lt;&gt;""),--(DC51:DC105&lt;&gt;""),DC51:DC105-DB51:DB105))</f>
        <v/>
      </c>
      <c r="DD106" s="218">
        <f>IF(COUNT(DC51:DC105,DD51:DD105)=0,"",SUMPRODUCT(--(DC51:DC105&lt;&gt;""),--(DD51:DD105&lt;&gt;""),DD51:DD105-DC51:DC105))</f>
        <v/>
      </c>
      <c r="DE106" s="218">
        <f>IF(COUNT(DD51:DD105,DE51:DE105)=0,"",SUMPRODUCT(--(DD51:DD105&lt;&gt;""),--(DE51:DE105&lt;&gt;""),DE51:DE105-DD51:DD105))</f>
        <v/>
      </c>
      <c r="DF106" s="218">
        <f>IF(COUNT(DE51:DE105,DF51:DF105)=0,"",SUMPRODUCT(--(DE51:DE105&lt;&gt;""),--(DF51:DF105&lt;&gt;""),DF51:DF105-DE51:DE105))</f>
        <v/>
      </c>
      <c r="DG106" s="218">
        <f>IF(COUNT(DF51:DF105,DG51:DG105)=0,"",SUMPRODUCT(--(DF51:DF105&lt;&gt;""),--(DG51:DG105&lt;&gt;""),DG51:DG105-DF51:DF105))</f>
        <v/>
      </c>
      <c r="DH106" s="218">
        <f>IF(COUNT(DG51:DG105,DH51:DH105)=0,"",SUMPRODUCT(--(DG51:DG105&lt;&gt;""),--(DH51:DH105&lt;&gt;""),DH51:DH105-DG51:DG105))</f>
        <v/>
      </c>
      <c r="DI106" s="218">
        <f>IF(COUNT(DH51:DH105,DI51:DI105)=0,"",SUMPRODUCT(--(DH51:DH105&lt;&gt;""),--(DI51:DI105&lt;&gt;""),DI51:DI105-DH51:DH105))</f>
        <v/>
      </c>
      <c r="DJ106" s="218">
        <f>IF(COUNT(DI51:DI105,DJ51:DJ105)=0,"",SUMPRODUCT(--(DI51:DI105&lt;&gt;""),--(DJ51:DJ105&lt;&gt;""),DJ51:DJ105-DI51:DI105))</f>
        <v/>
      </c>
      <c r="DK106" s="218">
        <f>IF(COUNT(DJ51:DJ105,DK51:DK105)=0,"",SUMPRODUCT(--(DJ51:DJ105&lt;&gt;""),--(DK51:DK105&lt;&gt;""),DK51:DK105-DJ51:DJ105))</f>
        <v/>
      </c>
      <c r="DL106" s="218">
        <f>IF(COUNT(DK51:DK105,DL51:DL105)=0,"",SUMPRODUCT(--(DK51:DK105&lt;&gt;""),--(DL51:DL105&lt;&gt;""),DL51:DL105-DK51:DK105))</f>
        <v/>
      </c>
      <c r="DM106" s="218">
        <f>IF(COUNT(DL51:DL105,DM51:DM105)=0,"",SUMPRODUCT(--(DL51:DL105&lt;&gt;""),--(DM51:DM105&lt;&gt;""),DM51:DM105-DL51:DL105))</f>
        <v/>
      </c>
      <c r="DN106" s="218">
        <f>IF(COUNT(DM51:DM105,DN51:DN105)=0,"",SUMPRODUCT(--(DM51:DM105&lt;&gt;""),--(DN51:DN105&lt;&gt;""),DN51:DN105-DM51:DM105))</f>
        <v/>
      </c>
      <c r="DO106" s="218">
        <f>IF(COUNT(DN51:DN105,DO51:DO105)=0,"",SUMPRODUCT(--(DN51:DN105&lt;&gt;""),--(DO51:DO105&lt;&gt;""),DO51:DO105-DN51:DN105))</f>
        <v/>
      </c>
      <c r="DP106" s="218">
        <f>IF(COUNT(DO51:DO105,DP51:DP105)=0,"",SUMPRODUCT(--(DO51:DO105&lt;&gt;""),--(DP51:DP105&lt;&gt;""),DP51:DP105-DO51:DO105))</f>
        <v/>
      </c>
      <c r="DQ106" s="218">
        <f>IF(COUNT(DP51:DP105,DQ51:DQ105)=0,"",SUMPRODUCT(--(DP51:DP105&lt;&gt;""),--(DQ51:DQ105&lt;&gt;""),DQ51:DQ105-DP51:DP105))</f>
        <v/>
      </c>
      <c r="DR106" s="218">
        <f>IF(COUNT(DQ51:DQ105,DR51:DR105)=0,"",SUMPRODUCT(--(DQ51:DQ105&lt;&gt;""),--(DR51:DR105&lt;&gt;""),DR51:DR105-DQ51:DQ105))</f>
        <v/>
      </c>
      <c r="DS106" s="218">
        <f>IF(COUNT(DR51:DR105,DS51:DS105)=0,"",SUMPRODUCT(--(DR51:DR105&lt;&gt;""),--(DS51:DS105&lt;&gt;""),DS51:DS105-DR51:DR105))</f>
        <v/>
      </c>
      <c r="DT106" s="218">
        <f>IF(COUNT(DS51:DS105,DT51:DT105)=0,"",SUMPRODUCT(--(DS51:DS105&lt;&gt;""),--(DT51:DT105&lt;&gt;""),DT51:DT105-DS51:DS105))</f>
        <v/>
      </c>
      <c r="DU106" s="218">
        <f>IF(COUNT(DT51:DT105,DU51:DU105)=0,"",SUMPRODUCT(--(DT51:DT105&lt;&gt;""),--(DU51:DU105&lt;&gt;""),DU51:DU105-DT51:DT105))</f>
        <v/>
      </c>
      <c r="DV106" s="218">
        <f>IF(COUNT(DU51:DU105,DV51:DV105)=0,"",SUMPRODUCT(--(DU51:DU105&lt;&gt;""),--(DV51:DV105&lt;&gt;""),DV51:DV105-DU51:DU105))</f>
        <v/>
      </c>
      <c r="DW106" s="218">
        <f>IF(COUNT(DV51:DV105,DW51:DW105)=0,"",SUMPRODUCT(--(DV51:DV105&lt;&gt;""),--(DW51:DW105&lt;&gt;""),DW51:DW105-DV51:DV105))</f>
        <v/>
      </c>
      <c r="DX106" s="218">
        <f>IF(COUNT(DW51:DW105,DX51:DX105)=0,"",SUMPRODUCT(--(DW51:DW105&lt;&gt;""),--(DX51:DX105&lt;&gt;""),DX51:DX105-DW51:DW105))</f>
        <v/>
      </c>
      <c r="DY106" s="218">
        <f>IF(COUNT(DX51:DX105,DY51:DY105)=0,"",SUMPRODUCT(--(DX51:DX105&lt;&gt;""),--(DY51:DY105&lt;&gt;""),DY51:DY105-DX51:DX105))</f>
        <v/>
      </c>
      <c r="DZ106" s="218">
        <f>IF(COUNT(DY51:DY105,DZ51:DZ105)=0,"",SUMPRODUCT(--(DY51:DY105&lt;&gt;""),--(DZ51:DZ105&lt;&gt;""),DZ51:DZ105-DY51:DY105))</f>
        <v/>
      </c>
      <c r="EA106" s="218">
        <f>IF(COUNT(DZ51:DZ105,EA51:EA105)=0,"",SUMPRODUCT(--(DZ51:DZ105&lt;&gt;""),--(EA51:EA105&lt;&gt;""),EA51:EA105-DZ51:DZ105))</f>
        <v/>
      </c>
      <c r="EB106" s="218">
        <f>IF(COUNT(EA51:EA105,EB51:EB105)=0,"",SUMPRODUCT(--(EA51:EA105&lt;&gt;""),--(EB51:EB105&lt;&gt;""),EB51:EB105-EA51:EA105))</f>
        <v/>
      </c>
      <c r="EC106" s="218">
        <f>IF(COUNT(EB51:EB105,EC51:EC105)=0,"",SUMPRODUCT(--(EB51:EB105&lt;&gt;""),--(EC51:EC105&lt;&gt;""),EC51:EC105-EB51:EB105))</f>
        <v/>
      </c>
      <c r="ED106" s="218">
        <f>IF(COUNT(EC51:EC105,ED51:ED105)=0,"",SUMPRODUCT(--(EC51:EC105&lt;&gt;""),--(ED51:ED105&lt;&gt;""),ED51:ED105-EC51:EC105))</f>
        <v/>
      </c>
      <c r="EE106" s="218">
        <f>IF(COUNT(ED51:ED105,EE51:EE105)=0,"",SUMPRODUCT(--(ED51:ED105&lt;&gt;""),--(EE51:EE105&lt;&gt;""),EE51:EE105-ED51:ED105))</f>
        <v/>
      </c>
      <c r="EF106" s="218">
        <f>IF(COUNT(EE51:EE105,EF51:EF105)=0,"",SUMPRODUCT(--(EE51:EE105&lt;&gt;""),--(EF51:EF105&lt;&gt;""),EF51:EF105-EE51:EE105))</f>
        <v/>
      </c>
      <c r="EG106" s="218">
        <f>IF(COUNT(EF51:EF105,EG51:EG105)=0,"",SUMPRODUCT(--(EF51:EF105&lt;&gt;""),--(EG51:EG105&lt;&gt;""),EG51:EG105-EF51:EF105))</f>
        <v/>
      </c>
      <c r="EH106" s="218">
        <f>IF(COUNT(EG51:EG105,EH51:EH105)=0,"",SUMPRODUCT(--(EG51:EG105&lt;&gt;""),--(EH51:EH105&lt;&gt;""),EH51:EH105-EG51:EG105))</f>
        <v/>
      </c>
      <c r="EI106" s="218">
        <f>IF(COUNT(EH51:EH105,EI51:EI105)=0,"",SUMPRODUCT(--(EH51:EH105&lt;&gt;""),--(EI51:EI105&lt;&gt;""),EI51:EI105-EH51:EH105))</f>
        <v/>
      </c>
      <c r="EJ106" s="218">
        <f>IF(COUNT(EI51:EI105,EJ51:EJ105)=0,"",SUMPRODUCT(--(EI51:EI105&lt;&gt;""),--(EJ51:EJ105&lt;&gt;""),EJ51:EJ105-EI51:EI105))</f>
        <v/>
      </c>
      <c r="EK106" s="218">
        <f>IF(COUNT(EJ51:EJ105,EK51:EK105)=0,"",SUMPRODUCT(--(EJ51:EJ105&lt;&gt;""),--(EK51:EK105&lt;&gt;""),EK51:EK105-EJ51:EJ105))</f>
        <v/>
      </c>
      <c r="EL106" s="218">
        <f>IF(COUNT(EK51:EK105,EL51:EL105)=0,"",SUMPRODUCT(--(EK51:EK105&lt;&gt;""),--(EL51:EL105&lt;&gt;""),EL51:EL105-EK51:EK105))</f>
        <v/>
      </c>
      <c r="EM106" s="218">
        <f>IF(COUNT(EL51:EL105,EM51:EM105)=0,"",SUMPRODUCT(--(EL51:EL105&lt;&gt;""),--(EM51:EM105&lt;&gt;""),EM51:EM105-EL51:EL105))</f>
        <v/>
      </c>
      <c r="EN106" s="218">
        <f>IF(COUNT(EM51:EM105,EN51:EN105)=0,"",SUMPRODUCT(--(EM51:EM105&lt;&gt;""),--(EN51:EN105&lt;&gt;""),EN51:EN105-EM51:EM105))</f>
        <v/>
      </c>
      <c r="EO106" s="218">
        <f>IF(COUNT(EN51:EN105,EO51:EO105)=0,"",SUMPRODUCT(--(EN51:EN105&lt;&gt;""),--(EO51:EO105&lt;&gt;""),EO51:EO105-EN51:EN105))</f>
        <v/>
      </c>
      <c r="EP106" s="218">
        <f>IF(COUNT(EO51:EO105,EP51:EP105)=0,"",SUMPRODUCT(--(EO51:EO105&lt;&gt;""),--(EP51:EP105&lt;&gt;""),EP51:EP105-EO51:EO105))</f>
        <v/>
      </c>
      <c r="EQ106" s="218">
        <f>IF(COUNT(EP51:EP105,EQ51:EQ105)=0,"",SUMPRODUCT(--(EP51:EP105&lt;&gt;""),--(EQ51:EQ105&lt;&gt;""),EQ51:EQ105-EP51:EP105))</f>
        <v/>
      </c>
      <c r="ER106" s="218">
        <f>IF(COUNT(EQ51:EQ105,ER51:ER105)=0,"",SUMPRODUCT(--(EQ51:EQ105&lt;&gt;""),--(ER51:ER105&lt;&gt;""),ER51:ER105-EQ51:EQ105))</f>
        <v/>
      </c>
      <c r="ES106" s="218">
        <f>IF(COUNT(ER51:ER105,ES51:ES105)=0,"",SUMPRODUCT(--(ER51:ER105&lt;&gt;""),--(ES51:ES105&lt;&gt;""),ES51:ES105-ER51:ER105))</f>
        <v/>
      </c>
      <c r="ET106" s="218">
        <f>IF(COUNT(ES51:ES105,ET51:ET105)=0,"",SUMPRODUCT(--(ES51:ES105&lt;&gt;""),--(ET51:ET105&lt;&gt;""),ET51:ET105-ES51:ES105))</f>
        <v/>
      </c>
      <c r="EU106" s="218">
        <f>IF(COUNT(ET51:ET105,EU51:EU105)=0,"",SUMPRODUCT(--(ET51:ET105&lt;&gt;""),--(EU51:EU105&lt;&gt;""),EU51:EU105-ET51:ET105))</f>
        <v/>
      </c>
      <c r="EV106" s="218">
        <f>IF(COUNT(EU51:EU105,EV51:EV105)=0,"",SUMPRODUCT(--(EU51:EU105&lt;&gt;""),--(EV51:EV105&lt;&gt;""),EV51:EV105-EU51:EU105))</f>
        <v/>
      </c>
      <c r="EW106" s="218">
        <f>IF(COUNT(EV51:EV105,EW51:EW105)=0,"",SUMPRODUCT(--(EV51:EV105&lt;&gt;""),--(EW51:EW105&lt;&gt;""),EW51:EW105-EV51:EV105))</f>
        <v/>
      </c>
      <c r="EX106" s="218">
        <f>IF(COUNT(EW51:EW105,EX51:EX105)=0,"",SUMPRODUCT(--(EW51:EW105&lt;&gt;""),--(EX51:EX105&lt;&gt;""),EX51:EX105-EW51:EW105))</f>
        <v/>
      </c>
      <c r="EY106" s="218">
        <f>IF(COUNT(EX51:EX105,EY51:EY105)=0,"",SUMPRODUCT(--(EX51:EX105&lt;&gt;""),--(EY51:EY105&lt;&gt;""),EY51:EY105-EX51:EX105))</f>
        <v/>
      </c>
      <c r="EZ106" s="218">
        <f>IF(COUNT(EY51:EY105,EZ51:EZ105)=0,"",SUMPRODUCT(--(EY51:EY105&lt;&gt;""),--(EZ51:EZ105&lt;&gt;""),EZ51:EZ105-EY51:EY105))</f>
        <v/>
      </c>
      <c r="FA106" s="218">
        <f>IF(COUNT(EZ51:EZ105,FA51:FA105)=0,"",SUMPRODUCT(--(EZ51:EZ105&lt;&gt;""),--(FA51:FA105&lt;&gt;""),FA51:FA105-EZ51:EZ105))</f>
        <v/>
      </c>
      <c r="FB106" s="218">
        <f>IF(COUNT(FA51:FA105,FB51:FB105)=0,"",SUMPRODUCT(--(FA51:FA105&lt;&gt;""),--(FB51:FB105&lt;&gt;""),FB51:FB105-FA51:FA105))</f>
        <v/>
      </c>
      <c r="FC106" s="218">
        <f>IF(COUNT(FB51:FB105,FC51:FC105)=0,"",SUMPRODUCT(--(FB51:FB105&lt;&gt;""),--(FC51:FC105&lt;&gt;""),FC51:FC105-FB51:FB105))</f>
        <v/>
      </c>
      <c r="FD106" s="218">
        <f>IF(COUNT(FC51:FC105,FD51:FD105)=0,"",SUMPRODUCT(--(FC51:FC105&lt;&gt;""),--(FD51:FD105&lt;&gt;""),FD51:FD105-FC51:FC105))</f>
        <v/>
      </c>
      <c r="FE106" s="218">
        <f>IF(COUNT(FD51:FD105,FE51:FE105)=0,"",SUMPRODUCT(--(FD51:FD105&lt;&gt;""),--(FE51:FE105&lt;&gt;""),FE51:FE105-FD51:FD105))</f>
        <v/>
      </c>
      <c r="FF106" s="218">
        <f>IF(COUNT(FE51:FE105,FF51:FF105)=0,"",SUMPRODUCT(--(FE51:FE105&lt;&gt;""),--(FF51:FF105&lt;&gt;""),FF51:FF105-FE51:FE105))</f>
        <v/>
      </c>
      <c r="FG106" s="218">
        <f>IF(COUNT(FF51:FF105,FG51:FG105)=0,"",SUMPRODUCT(--(FF51:FF105&lt;&gt;""),--(FG51:FG105&lt;&gt;""),FG51:FG105-FF51:FF105))</f>
        <v/>
      </c>
      <c r="FH106" s="218">
        <f>IF(COUNT(FG51:FG105,FH51:FH105)=0,"",SUMPRODUCT(--(FG51:FG105&lt;&gt;""),--(FH51:FH105&lt;&gt;""),FH51:FH105-FG51:FG105))</f>
        <v/>
      </c>
      <c r="FI106" s="218">
        <f>IF(COUNT(FH51:FH105,FI51:FI105)=0,"",SUMPRODUCT(--(FH51:FH105&lt;&gt;""),--(FI51:FI105&lt;&gt;""),FI51:FI105-FH51:FH105))</f>
        <v/>
      </c>
      <c r="FJ106" s="218">
        <f>IF(COUNT(FI51:FI105,FJ51:FJ105)=0,"",SUMPRODUCT(--(FI51:FI105&lt;&gt;""),--(FJ51:FJ105&lt;&gt;""),FJ51:FJ105-FI51:FI105))</f>
        <v/>
      </c>
      <c r="FK106" s="218">
        <f>IF(COUNT(FJ51:FJ105,FK51:FK105)=0,"",SUMPRODUCT(--(FJ51:FJ105&lt;&gt;""),--(FK51:FK105&lt;&gt;""),FK51:FK105-FJ51:FJ105))</f>
        <v/>
      </c>
      <c r="FL106" s="218">
        <f>IF(COUNT(FK51:FK105,FL51:FL105)=0,"",SUMPRODUCT(--(FK51:FK105&lt;&gt;""),--(FL51:FL105&lt;&gt;""),FL51:FL105-FK51:FK105))</f>
        <v/>
      </c>
      <c r="FM106" s="218">
        <f>IF(COUNT(FL51:FL105,FM51:FM105)=0,"",SUMPRODUCT(--(FL51:FL105&lt;&gt;""),--(FM51:FM105&lt;&gt;""),FM51:FM105-FL51:FL105))</f>
        <v/>
      </c>
      <c r="FN106" s="218">
        <f>IF(COUNT(FM51:FM105,FN51:FN105)=0,"",SUMPRODUCT(--(FM51:FM105&lt;&gt;""),--(FN51:FN105&lt;&gt;""),FN51:FN105-FM51:FM105))</f>
        <v/>
      </c>
      <c r="FO106" s="218">
        <f>IF(COUNT(FN51:FN105,FO51:FO105)=0,"",SUMPRODUCT(--(FN51:FN105&lt;&gt;""),--(FO51:FO105&lt;&gt;""),FO51:FO105-FN51:FN105))</f>
        <v/>
      </c>
      <c r="FP106" s="218">
        <f>IF(COUNT(FO51:FO105,FP51:FP105)=0,"",SUMPRODUCT(--(FO51:FO105&lt;&gt;""),--(FP51:FP105&lt;&gt;""),FP51:FP105-FO51:FO105))</f>
        <v/>
      </c>
      <c r="FQ106" s="218">
        <f>IF(COUNT(FP51:FP105,FQ51:FQ105)=0,"",SUMPRODUCT(--(FP51:FP105&lt;&gt;""),--(FQ51:FQ105&lt;&gt;""),FQ51:FQ105-FP51:FP105))</f>
        <v/>
      </c>
      <c r="FR106" s="218">
        <f>IF(COUNT(FQ51:FQ105,FR51:FR105)=0,"",SUMPRODUCT(--(FQ51:FQ105&lt;&gt;""),--(FR51:FR105&lt;&gt;""),FR51:FR105-FQ51:FQ105))</f>
        <v/>
      </c>
      <c r="FS106" s="218">
        <f>IF(COUNT(FR51:FR105,FS51:FS105)=0,"",SUMPRODUCT(--(FR51:FR105&lt;&gt;""),--(FS51:FS105&lt;&gt;""),FS51:FS105-FR51:FR105))</f>
        <v/>
      </c>
      <c r="FT106" s="218">
        <f>IF(COUNT(FS51:FS105,FT51:FT105)=0,"",SUMPRODUCT(--(FS51:FS105&lt;&gt;""),--(FT51:FT105&lt;&gt;""),FT51:FT105-FS51:FS105))</f>
        <v/>
      </c>
      <c r="FU106" s="218">
        <f>IF(COUNT(FT51:FT105,FU51:FU105)=0,"",SUMPRODUCT(--(FT51:FT105&lt;&gt;""),--(FU51:FU105&lt;&gt;""),FU51:FU105-FT51:FT105))</f>
        <v/>
      </c>
      <c r="FV106" s="218">
        <f>IF(COUNT(FU51:FU105,FV51:FV105)=0,"",SUMPRODUCT(--(FU51:FU105&lt;&gt;""),--(FV51:FV105&lt;&gt;""),FV51:FV105-FU51:FU105))</f>
        <v/>
      </c>
      <c r="FW106" s="218">
        <f>IF(COUNT(FV51:FV105,FW51:FW105)=0,"",SUMPRODUCT(--(FV51:FV105&lt;&gt;""),--(FW51:FW105&lt;&gt;""),FW51:FW105-FV51:FV105))</f>
        <v/>
      </c>
      <c r="FX106" s="218">
        <f>IF(COUNT(FW51:FW105,FX51:FX105)=0,"",SUMPRODUCT(--(FW51:FW105&lt;&gt;""),--(FX51:FX105&lt;&gt;""),FX51:FX105-FW51:FW105))</f>
        <v/>
      </c>
      <c r="FY106" s="218">
        <f>IF(COUNT(FX51:FX105,FY51:FY105)=0,"",SUMPRODUCT(--(FX51:FX105&lt;&gt;""),--(FY51:FY105&lt;&gt;""),FY51:FY105-FX51:FX105))</f>
        <v/>
      </c>
      <c r="FZ106" s="218">
        <f>IF(COUNT(FY51:FY105,FZ51:FZ105)=0,"",SUMPRODUCT(--(FY51:FY105&lt;&gt;""),--(FZ51:FZ105&lt;&gt;""),FZ51:FZ105-FY51:FY105))</f>
        <v/>
      </c>
      <c r="GA106" s="218">
        <f>IF(COUNT(FZ51:FZ105,GA51:GA105)=0,"",SUMPRODUCT(--(FZ51:FZ105&lt;&gt;""),--(GA51:GA105&lt;&gt;""),GA51:GA105-FZ51:FZ105))</f>
        <v/>
      </c>
      <c r="GB106" s="218">
        <f>IF(COUNT(GA51:GA105,GB51:GB105)=0,"",SUMPRODUCT(--(GA51:GA105&lt;&gt;""),--(GB51:GB105&lt;&gt;""),GB51:GB105-GA51:GA105))</f>
        <v/>
      </c>
      <c r="GC106" s="218">
        <f>IF(COUNT(GB51:GB105,GC51:GC105)=0,"",SUMPRODUCT(--(GB51:GB105&lt;&gt;""),--(GC51:GC105&lt;&gt;""),GC51:GC105-GB51:GB105))</f>
        <v/>
      </c>
      <c r="GD106" s="218">
        <f>IF(COUNT(GC51:GC105,GD51:GD105)=0,"",SUMPRODUCT(--(GC51:GC105&lt;&gt;""),--(GD51:GD105&lt;&gt;""),GD51:GD105-GC51:GC105))</f>
        <v/>
      </c>
      <c r="GE106" s="218">
        <f>IF(COUNT(GD51:GD105,GE51:GE105)=0,"",SUMPRODUCT(--(GD51:GD105&lt;&gt;""),--(GE51:GE105&lt;&gt;""),GE51:GE105-GD51:GD105))</f>
        <v/>
      </c>
      <c r="GF106" s="218">
        <f>IF(COUNT(GE51:GE105,GF51:GF105)=0,"",SUMPRODUCT(--(GE51:GE105&lt;&gt;""),--(GF51:GF105&lt;&gt;""),GF51:GF105-GE51:GE105))</f>
        <v/>
      </c>
      <c r="GG106" s="218">
        <f>IF(COUNT(GF51:GF105,GG51:GG105)=0,"",SUMPRODUCT(--(GF51:GF105&lt;&gt;""),--(GG51:GG105&lt;&gt;""),GG51:GG105-GF51:GF105))</f>
        <v/>
      </c>
      <c r="GH106" s="218">
        <f>IF(COUNT(GG51:GG105,GH51:GH105)=0,"",SUMPRODUCT(--(GG51:GG105&lt;&gt;""),--(GH51:GH105&lt;&gt;""),GH51:GH105-GG51:GG105))</f>
        <v/>
      </c>
      <c r="GI106" s="218">
        <f>IF(COUNT(GH51:GH105,GI51:GI105)=0,"",SUMPRODUCT(--(GH51:GH105&lt;&gt;""),--(GI51:GI105&lt;&gt;""),GI51:GI105-GH51:GH105))</f>
        <v/>
      </c>
      <c r="GJ106" s="218">
        <f>IF(COUNT(GI51:GI105,GJ51:GJ105)=0,"",SUMPRODUCT(--(GI51:GI105&lt;&gt;""),--(GJ51:GJ105&lt;&gt;""),GJ51:GJ105-GI51:GI105))</f>
        <v/>
      </c>
      <c r="GK106" s="218">
        <f>IF(COUNT(GJ51:GJ105,GK51:GK105)=0,"",SUMPRODUCT(--(GJ51:GJ105&lt;&gt;""),--(GK51:GK105&lt;&gt;""),GK51:GK105-GJ51:GJ105))</f>
        <v/>
      </c>
      <c r="GL106" s="218">
        <f>IF(COUNT(GK51:GK105,GL51:GL105)=0,"",SUMPRODUCT(--(GK51:GK105&lt;&gt;""),--(GL51:GL105&lt;&gt;""),GL51:GL105-GK51:GK105))</f>
        <v/>
      </c>
      <c r="GM106" s="218">
        <f>IF(COUNT(GL51:GL105,GM51:GM105)=0,"",SUMPRODUCT(--(GL51:GL105&lt;&gt;""),--(GM51:GM105&lt;&gt;""),GM51:GM105-GL51:GL105))</f>
        <v/>
      </c>
      <c r="GN106" s="218">
        <f>IF(COUNT(GM51:GM105,GN51:GN105)=0,"",SUMPRODUCT(--(GM51:GM105&lt;&gt;""),--(GN51:GN105&lt;&gt;""),GN51:GN105-GM51:GM105))</f>
        <v/>
      </c>
      <c r="GO106" s="218">
        <f>IF(COUNT(GN51:GN105,GO51:GO105)=0,"",SUMPRODUCT(--(GN51:GN105&lt;&gt;""),--(GO51:GO105&lt;&gt;""),GO51:GO105-GN51:GN105))</f>
        <v/>
      </c>
      <c r="GP106" s="218">
        <f>IF(COUNT(GO51:GO105,GP51:GP105)=0,"",SUMPRODUCT(--(GO51:GO105&lt;&gt;""),--(GP51:GP105&lt;&gt;""),GP51:GP105-GO51:GO105))</f>
        <v/>
      </c>
      <c r="GQ106" s="218">
        <f>IF(COUNT(GP51:GP105,GQ51:GQ105)=0,"",SUMPRODUCT(--(GP51:GP105&lt;&gt;""),--(GQ51:GQ105&lt;&gt;""),GQ51:GQ105-GP51:GP105))</f>
        <v/>
      </c>
      <c r="GR106" s="218">
        <f>IF(COUNT(GQ51:GQ105,GR51:GR105)=0,"",SUMPRODUCT(--(GQ51:GQ105&lt;&gt;""),--(GR51:GR105&lt;&gt;""),GR51:GR105-GQ51:GQ105))</f>
        <v/>
      </c>
      <c r="GS106" s="218">
        <f>IF(COUNT(GR51:GR105,GS51:GS105)=0,"",SUMPRODUCT(--(GR51:GR105&lt;&gt;""),--(GS51:GS105&lt;&gt;""),GS51:GS105-GR51:GR105))</f>
        <v/>
      </c>
      <c r="GT106" s="218">
        <f>IF(COUNT(GS51:GS105,GT51:GT105)=0,"",SUMPRODUCT(--(GS51:GS105&lt;&gt;""),--(GT51:GT105&lt;&gt;""),GT51:GT105-GS51:GS105))</f>
        <v/>
      </c>
      <c r="GU106" s="218">
        <f>IF(COUNT(GT51:GT105,GU51:GU105)=0,"",SUMPRODUCT(--(GT51:GT105&lt;&gt;""),--(GU51:GU105&lt;&gt;""),GU51:GU105-GT51:GT105))</f>
        <v/>
      </c>
      <c r="GV106" s="218">
        <f>IF(COUNT(GU51:GU105,GV51:GV105)=0,"",SUMPRODUCT(--(GU51:GU105&lt;&gt;""),--(GV51:GV105&lt;&gt;""),GV51:GV105-GU51:GU105))</f>
        <v/>
      </c>
      <c r="GW106" s="218">
        <f>IF(COUNT(GV51:GV105,GW51:GW105)=0,"",SUMPRODUCT(--(GV51:GV105&lt;&gt;""),--(GW51:GW105&lt;&gt;""),GW51:GW105-GV51:GV105))</f>
        <v/>
      </c>
      <c r="GX106" s="218">
        <f>IF(COUNT(GW51:GW105,GX51:GX105)=0,"",SUMPRODUCT(--(GW51:GW105&lt;&gt;""),--(GX51:GX105&lt;&gt;""),GX51:GX105-GW51:GW105))</f>
        <v/>
      </c>
      <c r="GY106" s="218">
        <f>IF(COUNT(GX51:GX105,GY51:GY105)=0,"",SUMPRODUCT(--(GX51:GX105&lt;&gt;""),--(GY51:GY105&lt;&gt;""),GY51:GY105-GX51:GX105))</f>
        <v/>
      </c>
      <c r="GZ106" s="218">
        <f>IF(COUNT(GY51:GY105,GZ51:GZ105)=0,"",SUMPRODUCT(--(GY51:GY105&lt;&gt;""),--(GZ51:GZ105&lt;&gt;""),GZ51:GZ105-GY51:GY105))</f>
        <v/>
      </c>
      <c r="HA106" s="218">
        <f>IF(COUNT(GZ51:GZ105,HA51:HA105)=0,"",SUMPRODUCT(--(GZ51:GZ105&lt;&gt;""),--(HA51:HA105&lt;&gt;""),HA51:HA105-GZ51:GZ105))</f>
        <v/>
      </c>
      <c r="HB106" s="218">
        <f>IF(COUNT(HA51:HA105,HB51:HB105)=0,"",SUMPRODUCT(--(HA51:HA105&lt;&gt;""),--(HB51:HB105&lt;&gt;""),HB51:HB105-HA51:HA105))</f>
        <v/>
      </c>
      <c r="HC106" s="218">
        <f>IF(COUNT(HB51:HB105,HC51:HC105)=0,"",SUMPRODUCT(--(HB51:HB105&lt;&gt;""),--(HC51:HC105&lt;&gt;""),HC51:HC105-HB51:HB105))</f>
        <v/>
      </c>
      <c r="HD106" s="218">
        <f>IF(COUNT(HC51:HC105,HD51:HD105)=0,"",SUMPRODUCT(--(HC51:HC105&lt;&gt;""),--(HD51:HD105&lt;&gt;""),HD51:HD105-HC51:HC105))</f>
        <v/>
      </c>
      <c r="HE106" s="218">
        <f>IF(COUNT(HD51:HD105,HE51:HE105)=0,"",SUMPRODUCT(--(HD51:HD105&lt;&gt;""),--(HE51:HE105&lt;&gt;""),HE51:HE105-HD51:HD105))</f>
        <v/>
      </c>
      <c r="HF106" s="218">
        <f>IF(COUNT(HE51:HE105,HF51:HF105)=0,"",SUMPRODUCT(--(HE51:HE105&lt;&gt;""),--(HF51:HF105&lt;&gt;""),HF51:HF105-HE51:HE105))</f>
        <v/>
      </c>
      <c r="HG106" s="218">
        <f>IF(COUNT(HF51:HF105,HG51:HG105)=0,"",SUMPRODUCT(--(HF51:HF105&lt;&gt;""),--(HG51:HG105&lt;&gt;""),HG51:HG105-HF51:HF105))</f>
        <v/>
      </c>
      <c r="HH106" s="218">
        <f>IF(COUNT(HG51:HG105,HH51:HH105)=0,"",SUMPRODUCT(--(HG51:HG105&lt;&gt;""),--(HH51:HH105&lt;&gt;""),HH51:HH105-HG51:HG105))</f>
        <v/>
      </c>
      <c r="HI106" s="218">
        <f>IF(COUNT(HH51:HH105,HI51:HI105)=0,"",SUMPRODUCT(--(HH51:HH105&lt;&gt;""),--(HI51:HI105&lt;&gt;""),HI51:HI105-HH51:HH105))</f>
        <v/>
      </c>
      <c r="HJ106" s="218">
        <f>IF(COUNT(HI51:HI105,HJ51:HJ105)=0,"",SUMPRODUCT(--(HI51:HI105&lt;&gt;""),--(HJ51:HJ105&lt;&gt;""),HJ51:HJ105-HI51:HI105))</f>
        <v/>
      </c>
      <c r="HK106" s="218">
        <f>IF(COUNT(HJ51:HJ105,HK51:HK105)=0,"",SUMPRODUCT(--(HJ51:HJ105&lt;&gt;""),--(HK51:HK105&lt;&gt;""),HK51:HK105-HJ51:HJ105))</f>
        <v/>
      </c>
      <c r="HL106" s="218">
        <f>IF(COUNT(HK51:HK105,HL51:HL105)=0,"",SUMPRODUCT(--(HK51:HK105&lt;&gt;""),--(HL51:HL105&lt;&gt;""),HL51:HL105-HK51:HK105))</f>
        <v/>
      </c>
      <c r="HM106" s="218">
        <f>IF(COUNT(HL51:HL105,HM51:HM105)=0,"",SUMPRODUCT(--(HL51:HL105&lt;&gt;""),--(HM51:HM105&lt;&gt;""),HM51:HM105-HL51:HL105))</f>
        <v/>
      </c>
      <c r="HN106" s="218">
        <f>IF(COUNT(HM51:HM105,HN51:HN105)=0,"",SUMPRODUCT(--(HM51:HM105&lt;&gt;""),--(HN51:HN105&lt;&gt;""),HN51:HN105-HM51:HM105))</f>
        <v/>
      </c>
      <c r="HO106" s="218">
        <f>IF(COUNT(HN51:HN105,HO51:HO105)=0,"",SUMPRODUCT(--(HN51:HN105&lt;&gt;""),--(HO51:HO105&lt;&gt;""),HO51:HO105-HN51:HN105))</f>
        <v/>
      </c>
      <c r="HP106" s="218">
        <f>IF(COUNT(HO51:HO105,HP51:HP105)=0,"",SUMPRODUCT(--(HO51:HO105&lt;&gt;""),--(HP51:HP105&lt;&gt;""),HP51:HP105-HO51:HO105))</f>
        <v/>
      </c>
      <c r="HQ106" s="218">
        <f>IF(COUNT(HP51:HP105,HQ51:HQ105)=0,"",SUMPRODUCT(--(HP51:HP105&lt;&gt;""),--(HQ51:HQ105&lt;&gt;""),HQ51:HQ105-HP51:HP105))</f>
        <v/>
      </c>
      <c r="HR106" s="218">
        <f>IF(COUNT(HQ51:HQ105,HR51:HR105)=0,"",SUMPRODUCT(--(HQ51:HQ105&lt;&gt;""),--(HR51:HR105&lt;&gt;""),HR51:HR105-HQ51:HQ105))</f>
        <v/>
      </c>
      <c r="HS106" s="218">
        <f>IF(COUNT(HR51:HR105,HS51:HS105)=0,"",SUMPRODUCT(--(HR51:HR105&lt;&gt;""),--(HS51:HS105&lt;&gt;""),HS51:HS105-HR51:HR105))</f>
        <v/>
      </c>
      <c r="HT106" s="218">
        <f>IF(COUNT(HS51:HS105,HT51:HT105)=0,"",SUMPRODUCT(--(HS51:HS105&lt;&gt;""),--(HT51:HT105&lt;&gt;""),HT51:HT105-HS51:HS105))</f>
        <v/>
      </c>
      <c r="HU106" s="218">
        <f>IF(COUNT(HT51:HT105,HU51:HU105)=0,"",SUMPRODUCT(--(HT51:HT105&lt;&gt;""),--(HU51:HU105&lt;&gt;""),HU51:HU105-HT51:HT105))</f>
        <v/>
      </c>
      <c r="HV106" s="218">
        <f>IF(COUNT(HU51:HU105,HV51:HV105)=0,"",SUMPRODUCT(--(HU51:HU105&lt;&gt;""),--(HV51:HV105&lt;&gt;""),HV51:HV105-HU51:HU105))</f>
        <v/>
      </c>
      <c r="HW106" s="218">
        <f>IF(COUNT(HV51:HV105,HW51:HW105)=0,"",SUMPRODUCT(--(HV51:HV105&lt;&gt;""),--(HW51:HW105&lt;&gt;""),HW51:HW105-HV51:HV105))</f>
        <v/>
      </c>
      <c r="HX106" s="218">
        <f>IF(COUNT(HW51:HW105,HX51:HX105)=0,"",SUMPRODUCT(--(HW51:HW105&lt;&gt;""),--(HX51:HX105&lt;&gt;""),HX51:HX105-HW51:HW105))</f>
        <v/>
      </c>
      <c r="HY106" s="218">
        <f>IF(COUNT(HX51:HX105,HY51:HY105)=0,"",SUMPRODUCT(--(HX51:HX105&lt;&gt;""),--(HY51:HY105&lt;&gt;""),HY51:HY105-HX51:HX105))</f>
        <v/>
      </c>
      <c r="HZ106" s="218">
        <f>IF(COUNT(HY51:HY105,HZ51:HZ105)=0,"",SUMPRODUCT(--(HY51:HY105&lt;&gt;""),--(HZ51:HZ105&lt;&gt;""),HZ51:HZ105-HY51:HY105))</f>
        <v/>
      </c>
      <c r="IA106" s="218">
        <f>IF(COUNT(HZ51:HZ105,IA51:IA105)=0,"",SUMPRODUCT(--(HZ51:HZ105&lt;&gt;""),--(IA51:IA105&lt;&gt;""),IA51:IA105-HZ51:HZ105))</f>
        <v/>
      </c>
      <c r="IB106" s="218">
        <f>IF(COUNT(IA51:IA105,IB51:IB105)=0,"",SUMPRODUCT(--(IA51:IA105&lt;&gt;""),--(IB51:IB105&lt;&gt;""),IB51:IB105-IA51:IA105))</f>
        <v/>
      </c>
      <c r="IC106" s="218">
        <f>IF(COUNT(IB51:IB105,IC51:IC105)=0,"",SUMPRODUCT(--(IB51:IB105&lt;&gt;""),--(IC51:IC105&lt;&gt;""),IC51:IC105-IB51:IB105))</f>
        <v/>
      </c>
      <c r="ID106" s="218">
        <f>IF(COUNT(IC51:IC105,ID51:ID105)=0,"",SUMPRODUCT(--(IC51:IC105&lt;&gt;""),--(ID51:ID105&lt;&gt;""),ID51:ID105-IC51:IC105))</f>
        <v/>
      </c>
      <c r="IE106" s="218">
        <f>IF(COUNT(ID51:ID105,IE51:IE105)=0,"",SUMPRODUCT(--(ID51:ID105&lt;&gt;""),--(IE51:IE105&lt;&gt;""),IE51:IE105-ID51:ID105))</f>
        <v/>
      </c>
      <c r="IF106" s="218">
        <f>IF(COUNT(IE51:IE105,IF51:IF105)=0,"",SUMPRODUCT(--(IE51:IE105&lt;&gt;""),--(IF51:IF105&lt;&gt;""),IF51:IF105-IE51:IE105))</f>
        <v/>
      </c>
      <c r="IG106" s="218">
        <f>IF(COUNT(IF51:IF105,IG51:IG105)=0,"",SUMPRODUCT(--(IF51:IF105&lt;&gt;""),--(IG51:IG105&lt;&gt;""),IG51:IG105-IF51:IF105))</f>
        <v/>
      </c>
      <c r="IH106" s="218">
        <f>IF(COUNT(IG51:IG105,IH51:IH105)=0,"",SUMPRODUCT(--(IG51:IG105&lt;&gt;""),--(IH51:IH105&lt;&gt;""),IH51:IH105-IG51:IG105))</f>
        <v/>
      </c>
      <c r="II106" s="218">
        <f>IF(COUNT(IH51:IH105,II51:II105)=0,"",SUMPRODUCT(--(IH51:IH105&lt;&gt;""),--(II51:II105&lt;&gt;""),II51:II105-IH51:IH105))</f>
        <v/>
      </c>
      <c r="IJ106" s="218">
        <f>IF(COUNT(II51:II105,IJ51:IJ105)=0,"",SUMPRODUCT(--(II51:II105&lt;&gt;""),--(IJ51:IJ105&lt;&gt;""),IJ51:IJ105-II51:II105))</f>
        <v/>
      </c>
      <c r="IK106" s="218">
        <f>IF(COUNT(IJ51:IJ105,IK51:IK105)=0,"",SUMPRODUCT(--(IJ51:IJ105&lt;&gt;""),--(IK51:IK105&lt;&gt;""),IK51:IK105-IJ51:IJ105))</f>
        <v/>
      </c>
      <c r="IL106" s="218">
        <f>IF(COUNT(IK51:IK105,IL51:IL105)=0,"",SUMPRODUCT(--(IK51:IK105&lt;&gt;""),--(IL51:IL105&lt;&gt;""),IL51:IL105-IK51:IK105))</f>
        <v/>
      </c>
      <c r="IM106" s="218">
        <f>IF(COUNT(IL51:IL105,IM51:IM105)=0,"",SUMPRODUCT(--(IL51:IL105&lt;&gt;""),--(IM51:IM105&lt;&gt;""),IM51:IM105-IL51:IL105))</f>
        <v/>
      </c>
      <c r="IN106" s="218">
        <f>IF(COUNT(IM51:IM105,IN51:IN105)=0,"",SUMPRODUCT(--(IM51:IM105&lt;&gt;""),--(IN51:IN105&lt;&gt;""),IN51:IN105-IM51:IM105))</f>
        <v/>
      </c>
      <c r="IO106" s="218">
        <f>IF(COUNT(IN51:IN105,IO51:IO105)=0,"",SUMPRODUCT(--(IN51:IN105&lt;&gt;""),--(IO51:IO105&lt;&gt;""),IO51:IO105-IN51:IN105))</f>
        <v/>
      </c>
      <c r="IP106" s="218">
        <f>IF(COUNT(IO51:IO105,IP51:IP105)=0,"",SUMPRODUCT(--(IO51:IO105&lt;&gt;""),--(IP51:IP105&lt;&gt;""),IP51:IP105-IO51:IO105))</f>
        <v/>
      </c>
      <c r="IQ106" s="218">
        <f>IF(COUNT(IP51:IP105,IQ51:IQ105)=0,"",SUMPRODUCT(--(IP51:IP105&lt;&gt;""),--(IQ51:IQ105&lt;&gt;""),IQ51:IQ105-IP51:IP105))</f>
        <v/>
      </c>
      <c r="IR106" s="218">
        <f>IF(COUNT(IQ51:IQ105,IR51:IR105)=0,"",SUMPRODUCT(--(IQ51:IQ105&lt;&gt;""),--(IR51:IR105&lt;&gt;""),IR51:IR105-IQ51:IQ105))</f>
        <v/>
      </c>
      <c r="IS106" s="218">
        <f>IF(COUNT(IR51:IR105,IS51:IS105)=0,"",SUMPRODUCT(--(IR51:IR105&lt;&gt;""),--(IS51:IS105&lt;&gt;""),IS51:IS105-IR51:IR105))</f>
        <v/>
      </c>
      <c r="IT106" s="218">
        <f>IF(COUNT(IS51:IS105,IT51:IT105)=0,"",SUMPRODUCT(--(IS51:IS105&lt;&gt;""),--(IT51:IT105&lt;&gt;""),IT51:IT105-IS51:IS105))</f>
        <v/>
      </c>
      <c r="IU106" s="218">
        <f>IF(COUNT(IT51:IT105,IU51:IU105)=0,"",SUMPRODUCT(--(IT51:IT105&lt;&gt;""),--(IU51:IU105&lt;&gt;""),IU51:IU105-IT51:IT105))</f>
        <v/>
      </c>
      <c r="IV106" s="218">
        <f>IF(COUNT(IU51:IU105,IV51:IV105)=0,"",SUMPRODUCT(--(IU51:IU105&lt;&gt;""),--(IV51:IV105&lt;&gt;""),IV51:IV105-IU51:IU105))</f>
        <v/>
      </c>
      <c r="IW106" s="218">
        <f>IF(COUNT(IV51:IV105,IW51:IW105)=0,"",SUMPRODUCT(--(IV51:IV105&lt;&gt;""),--(IW51:IW105&lt;&gt;""),IW51:IW105-IV51:IV105))</f>
        <v/>
      </c>
      <c r="IX106" s="218">
        <f>IF(COUNT(IW51:IW105,IX51:IX105)=0,"",SUMPRODUCT(--(IW51:IW105&lt;&gt;""),--(IX51:IX105&lt;&gt;""),IX51:IX105-IW51:IW105))</f>
        <v/>
      </c>
      <c r="IY106" s="218">
        <f>IF(COUNT(IX51:IX105,IY51:IY105)=0,"",SUMPRODUCT(--(IX51:IX105&lt;&gt;""),--(IY51:IY105&lt;&gt;""),IY51:IY105-IX51:IX105))</f>
        <v/>
      </c>
      <c r="IZ106" s="218">
        <f>IF(COUNT(IY51:IY105,IZ51:IZ105)=0,"",SUMPRODUCT(--(IY51:IY105&lt;&gt;""),--(IZ51:IZ105&lt;&gt;""),IZ51:IZ105-IY51:IY105))</f>
        <v/>
      </c>
      <c r="JA106" s="218">
        <f>IF(COUNT(IZ51:IZ105,JA51:JA105)=0,"",SUMPRODUCT(--(IZ51:IZ105&lt;&gt;""),--(JA51:JA105&lt;&gt;""),JA51:JA105-IZ51:IZ105))</f>
        <v/>
      </c>
      <c r="JB106" s="218">
        <f>IF(COUNT(JA51:JA105,JB51:JB105)=0,"",SUMPRODUCT(--(JA51:JA105&lt;&gt;""),--(JB51:JB105&lt;&gt;""),JB51:JB105-JA51:JA105))</f>
        <v/>
      </c>
      <c r="JC106" s="218">
        <f>IF(COUNT(JB51:JB105,JC51:JC105)=0,"",SUMPRODUCT(--(JB51:JB105&lt;&gt;""),--(JC51:JC105&lt;&gt;""),JC51:JC105-JB51:JB105))</f>
        <v/>
      </c>
      <c r="JD106" s="218">
        <f>IF(COUNT(JC51:JC105,JD51:JD105)=0,"",SUMPRODUCT(--(JC51:JC105&lt;&gt;""),--(JD51:JD105&lt;&gt;""),JD51:JD105-JC51:JC105))</f>
        <v/>
      </c>
      <c r="JE106" s="218">
        <f>IF(COUNT(JD51:JD105,JE51:JE105)=0,"",SUMPRODUCT(--(JD51:JD105&lt;&gt;""),--(JE51:JE105&lt;&gt;""),JE51:JE105-JD51:JD105))</f>
        <v/>
      </c>
      <c r="JF106" s="218">
        <f>IF(COUNT(JE51:JE105,JF51:JF105)=0,"",SUMPRODUCT(--(JE51:JE105&lt;&gt;""),--(JF51:JF105&lt;&gt;""),JF51:JF105-JE51:JE105))</f>
        <v/>
      </c>
      <c r="JG106" s="218">
        <f>IF(COUNT(JF51:JF105,JG51:JG105)=0,"",SUMPRODUCT(--(JF51:JF105&lt;&gt;""),--(JG51:JG105&lt;&gt;""),JG51:JG105-JF51:JF105))</f>
        <v/>
      </c>
      <c r="JH106" s="218">
        <f>IF(COUNT(JG51:JG105,JH51:JH105)=0,"",SUMPRODUCT(--(JG51:JG105&lt;&gt;""),--(JH51:JH105&lt;&gt;""),JH51:JH105-JG51:JG105))</f>
        <v/>
      </c>
      <c r="JI106" s="218">
        <f>IF(COUNT(JH51:JH105,JI51:JI105)=0,"",SUMPRODUCT(--(JH51:JH105&lt;&gt;""),--(JI51:JI105&lt;&gt;""),JI51:JI105-JH51:JH105))</f>
        <v/>
      </c>
      <c r="JJ106" s="218">
        <f>IF(COUNT(JI51:JI105,JJ51:JJ105)=0,"",SUMPRODUCT(--(JI51:JI105&lt;&gt;""),--(JJ51:JJ105&lt;&gt;""),JJ51:JJ105-JI51:JI105))</f>
        <v/>
      </c>
      <c r="JK106" s="218">
        <f>IF(COUNT(JJ51:JJ105,JK51:JK105)=0,"",SUMPRODUCT(--(JJ51:JJ105&lt;&gt;""),--(JK51:JK105&lt;&gt;""),JK51:JK105-JJ51:JJ105))</f>
        <v/>
      </c>
      <c r="JL106" s="218">
        <f>IF(COUNT(JK51:JK105,JL51:JL105)=0,"",SUMPRODUCT(--(JK51:JK105&lt;&gt;""),--(JL51:JL105&lt;&gt;""),JL51:JL105-JK51:JK105))</f>
        <v/>
      </c>
      <c r="JM106" s="218">
        <f>IF(COUNT(JL51:JL105,JM51:JM105)=0,"",SUMPRODUCT(--(JL51:JL105&lt;&gt;""),--(JM51:JM105&lt;&gt;""),JM51:JM105-JL51:JL105))</f>
        <v/>
      </c>
      <c r="JN106" s="218">
        <f>IF(COUNT(JM51:JM105,JN51:JN105)=0,"",SUMPRODUCT(--(JM51:JM105&lt;&gt;""),--(JN51:JN105&lt;&gt;""),JN51:JN105-JM51:JM105))</f>
        <v/>
      </c>
      <c r="JO106" s="218">
        <f>IF(COUNT(JN51:JN105,JO51:JO105)=0,"",SUMPRODUCT(--(JN51:JN105&lt;&gt;""),--(JO51:JO105&lt;&gt;""),JO51:JO105-JN51:JN105))</f>
        <v/>
      </c>
      <c r="JP106" s="218">
        <f>IF(COUNT(JO51:JO105,JP51:JP105)=0,"",SUMPRODUCT(--(JO51:JO105&lt;&gt;""),--(JP51:JP105&lt;&gt;""),JP51:JP105-JO51:JO105))</f>
        <v/>
      </c>
      <c r="JQ106" s="218">
        <f>IF(COUNT(JP51:JP105,JQ51:JQ105)=0,"",SUMPRODUCT(--(JP51:JP105&lt;&gt;""),--(JQ51:JQ105&lt;&gt;""),JQ51:JQ105-JP51:JP105))</f>
        <v/>
      </c>
      <c r="JR106" s="218">
        <f>IF(COUNT(JQ51:JQ105,JR51:JR105)=0,"",SUMPRODUCT(--(JQ51:JQ105&lt;&gt;""),--(JR51:JR105&lt;&gt;""),JR51:JR105-JQ51:JQ105))</f>
        <v/>
      </c>
      <c r="JS106" s="218">
        <f>IF(COUNT(JR51:JR105,JS51:JS105)=0,"",SUMPRODUCT(--(JR51:JR105&lt;&gt;""),--(JS51:JS105&lt;&gt;""),JS51:JS105-JR51:JR105))</f>
        <v/>
      </c>
      <c r="JT106" s="218">
        <f>IF(COUNT(JS51:JS105,JT51:JT105)=0,"",SUMPRODUCT(--(JS51:JS105&lt;&gt;""),--(JT51:JT105&lt;&gt;""),JT51:JT105-JS51:JS105))</f>
        <v/>
      </c>
      <c r="JU106" s="218">
        <f>IF(COUNT(JT51:JT105,JU51:JU105)=0,"",SUMPRODUCT(--(JT51:JT105&lt;&gt;""),--(JU51:JU105&lt;&gt;""),JU51:JU105-JT51:JT105))</f>
        <v/>
      </c>
      <c r="JV106" s="218">
        <f>IF(COUNT(JU51:JU105,JV51:JV105)=0,"",SUMPRODUCT(--(JU51:JU105&lt;&gt;""),--(JV51:JV105&lt;&gt;""),JV51:JV105-JU51:JU105))</f>
        <v/>
      </c>
      <c r="JW106" s="218">
        <f>IF(COUNT(JV51:JV105,JW51:JW105)=0,"",SUMPRODUCT(--(JV51:JV105&lt;&gt;""),--(JW51:JW105&lt;&gt;""),JW51:JW105-JV51:JV105))</f>
        <v/>
      </c>
      <c r="JX106" s="218">
        <f>IF(COUNT(JW51:JW105,JX51:JX105)=0,"",SUMPRODUCT(--(JW51:JW105&lt;&gt;""),--(JX51:JX105&lt;&gt;""),JX51:JX105-JW51:JW105))</f>
        <v/>
      </c>
      <c r="JY106" s="218">
        <f>IF(COUNT(JX51:JX105,JY51:JY105)=0,"",SUMPRODUCT(--(JX51:JX105&lt;&gt;""),--(JY51:JY105&lt;&gt;""),JY51:JY105-JX51:JX105))</f>
        <v/>
      </c>
      <c r="JZ106" s="218">
        <f>IF(COUNT(JY51:JY105,JZ51:JZ105)=0,"",SUMPRODUCT(--(JY51:JY105&lt;&gt;""),--(JZ51:JZ105&lt;&gt;""),JZ51:JZ105-JY51:JY105))</f>
        <v/>
      </c>
      <c r="KA106" s="218">
        <f>IF(COUNT(JZ51:JZ105,KA51:KA105)=0,"",SUMPRODUCT(--(JZ51:JZ105&lt;&gt;""),--(KA51:KA105&lt;&gt;""),KA51:KA105-JZ51:JZ105))</f>
        <v/>
      </c>
      <c r="KB106" s="218">
        <f>IF(COUNT(KA51:KA105,KB51:KB105)=0,"",SUMPRODUCT(--(KA51:KA105&lt;&gt;""),--(KB51:KB105&lt;&gt;""),KB51:KB105-KA51:KA105))</f>
        <v/>
      </c>
      <c r="KC106" s="218">
        <f>IF(COUNT(KB51:KB105,KC51:KC105)=0,"",SUMPRODUCT(--(KB51:KB105&lt;&gt;""),--(KC51:KC105&lt;&gt;""),KC51:KC105-KB51:KB105))</f>
        <v/>
      </c>
      <c r="KD106" s="218">
        <f>IF(COUNT(KC51:KC105,KD51:KD105)=0,"",SUMPRODUCT(--(KC51:KC105&lt;&gt;""),--(KD51:KD105&lt;&gt;""),KD51:KD105-KC51:KC105))</f>
        <v/>
      </c>
      <c r="KE106" s="218">
        <f>IF(COUNT(KD51:KD105,KE51:KE105)=0,"",SUMPRODUCT(--(KD51:KD105&lt;&gt;""),--(KE51:KE105&lt;&gt;""),KE51:KE105-KD51:KD105))</f>
        <v/>
      </c>
      <c r="KF106" s="218">
        <f>IF(COUNT(KE51:KE105,KF51:KF105)=0,"",SUMPRODUCT(--(KE51:KE105&lt;&gt;""),--(KF51:KF105&lt;&gt;""),KF51:KF105-KE51:KE105))</f>
        <v/>
      </c>
      <c r="KG106" s="218">
        <f>IF(COUNT(KF51:KF105,KG51:KG105)=0,"",SUMPRODUCT(--(KF51:KF105&lt;&gt;""),--(KG51:KG105&lt;&gt;""),KG51:KG105-KF51:KF105))</f>
        <v/>
      </c>
      <c r="KH106" s="218">
        <f>IF(COUNT(KG51:KG105,KH51:KH105)=0,"",SUMPRODUCT(--(KG51:KG105&lt;&gt;""),--(KH51:KH105&lt;&gt;""),KH51:KH105-KG51:KG105))</f>
        <v/>
      </c>
      <c r="KI106" s="218">
        <f>IF(COUNT(KH51:KH105,KI51:KI105)=0,"",SUMPRODUCT(--(KH51:KH105&lt;&gt;""),--(KI51:KI105&lt;&gt;""),KI51:KI105-KH51:KH105))</f>
        <v/>
      </c>
      <c r="KJ106" s="218">
        <f>IF(COUNT(KI51:KI105,KJ51:KJ105)=0,"",SUMPRODUCT(--(KI51:KI105&lt;&gt;""),--(KJ51:KJ105&lt;&gt;""),KJ51:KJ105-KI51:KI105))</f>
        <v/>
      </c>
      <c r="KK106" s="218">
        <f>IF(COUNT(KJ51:KJ105,KK51:KK105)=0,"",SUMPRODUCT(--(KJ51:KJ105&lt;&gt;""),--(KK51:KK105&lt;&gt;""),KK51:KK105-KJ51:KJ105))</f>
        <v/>
      </c>
      <c r="KL106" s="218">
        <f>IF(COUNT(KK51:KK105,KL51:KL105)=0,"",SUMPRODUCT(--(KK51:KK105&lt;&gt;""),--(KL51:KL105&lt;&gt;""),KL51:KL105-KK51:KK105))</f>
        <v/>
      </c>
      <c r="KM106" s="218">
        <f>IF(COUNT(KL51:KL105,KM51:KM105)=0,"",SUMPRODUCT(--(KL51:KL105&lt;&gt;""),--(KM51:KM105&lt;&gt;""),KM51:KM105-KL51:KL105))</f>
        <v/>
      </c>
      <c r="KN106" s="218">
        <f>IF(COUNT(KM51:KM105,KN51:KN105)=0,"",SUMPRODUCT(--(KM51:KM105&lt;&gt;""),--(KN51:KN105&lt;&gt;""),KN51:KN105-KM51:KM105))</f>
        <v/>
      </c>
      <c r="KO106" s="218">
        <f>IF(COUNT(KN51:KN105,KO51:KO105)=0,"",SUMPRODUCT(--(KN51:KN105&lt;&gt;""),--(KO51:KO105&lt;&gt;""),KO51:KO105-KN51:KN105))</f>
        <v/>
      </c>
      <c r="KP106" s="218">
        <f>IF(COUNT(KO51:KO105,KP51:KP105)=0,"",SUMPRODUCT(--(KO51:KO105&lt;&gt;""),--(KP51:KP105&lt;&gt;""),KP51:KP105-KO51:KO105))</f>
        <v/>
      </c>
      <c r="KQ106" s="218">
        <f>IF(COUNT(KP51:KP105,KQ51:KQ105)=0,"",SUMPRODUCT(--(KP51:KP105&lt;&gt;""),--(KQ51:KQ105&lt;&gt;""),KQ51:KQ105-KP51:KP105))</f>
        <v/>
      </c>
      <c r="KR106" s="218">
        <f>IF(COUNT(KQ51:KQ105,KR51:KR105)=0,"",SUMPRODUCT(--(KQ51:KQ105&lt;&gt;""),--(KR51:KR105&lt;&gt;""),KR51:KR105-KQ51:KQ105))</f>
        <v/>
      </c>
      <c r="KS106" s="218">
        <f>IF(COUNT(KR51:KR105,KS51:KS105)=0,"",SUMPRODUCT(--(KR51:KR105&lt;&gt;""),--(KS51:KS105&lt;&gt;""),KS51:KS105-KR51:KR105))</f>
        <v/>
      </c>
      <c r="KT106" s="218">
        <f>IF(COUNT(KS51:KS105,KT51:KT105)=0,"",SUMPRODUCT(--(KS51:KS105&lt;&gt;""),--(KT51:KT105&lt;&gt;""),KT51:KT105-KS51:KS105))</f>
        <v/>
      </c>
      <c r="KU106" s="218">
        <f>IF(COUNT(KT51:KT105,KU51:KU105)=0,"",SUMPRODUCT(--(KT51:KT105&lt;&gt;""),--(KU51:KU105&lt;&gt;""),KU51:KU105-KT51:KT105))</f>
        <v/>
      </c>
      <c r="KV106" s="218">
        <f>IF(COUNT(KU51:KU105,KV51:KV105)=0,"",SUMPRODUCT(--(KU51:KU105&lt;&gt;""),--(KV51:KV105&lt;&gt;""),KV51:KV105-KU51:KU105))</f>
        <v/>
      </c>
      <c r="KW106" s="218">
        <f>IF(COUNT(KV51:KV105,KW51:KW105)=0,"",SUMPRODUCT(--(KV51:KV105&lt;&gt;""),--(KW51:KW105&lt;&gt;""),KW51:KW105-KV51:KV105))</f>
        <v/>
      </c>
      <c r="KX106" s="218">
        <f>IF(COUNT(KW51:KW105,KX51:KX105)=0,"",SUMPRODUCT(--(KW51:KW105&lt;&gt;""),--(KX51:KX105&lt;&gt;""),KX51:KX105-KW51:KW105))</f>
        <v/>
      </c>
      <c r="KY106" s="218">
        <f>IF(COUNT(KX51:KX105,KY51:KY105)=0,"",SUMPRODUCT(--(KX51:KX105&lt;&gt;""),--(KY51:KY105&lt;&gt;""),KY51:KY105-KX51:KX105))</f>
        <v/>
      </c>
      <c r="KZ106" s="218">
        <f>IF(COUNT(KY51:KY105,KZ51:KZ105)=0,"",SUMPRODUCT(--(KY51:KY105&lt;&gt;""),--(KZ51:KZ105&lt;&gt;""),KZ51:KZ105-KY51:KY105))</f>
        <v/>
      </c>
      <c r="LA106" s="218">
        <f>IF(COUNT(KZ51:KZ105,LA51:LA105)=0,"",SUMPRODUCT(--(KZ51:KZ105&lt;&gt;""),--(LA51:LA105&lt;&gt;""),LA51:LA105-KZ51:KZ105))</f>
        <v/>
      </c>
      <c r="LB106" s="218">
        <f>IF(COUNT(LA51:LA105,LB51:LB105)=0,"",SUMPRODUCT(--(LA51:LA105&lt;&gt;""),--(LB51:LB105&lt;&gt;""),LB51:LB105-LA51:LA105))</f>
        <v/>
      </c>
      <c r="LC106" s="218">
        <f>IF(COUNT(LB51:LB105,LC51:LC105)=0,"",SUMPRODUCT(--(LB51:LB105&lt;&gt;""),--(LC51:LC105&lt;&gt;""),LC51:LC105-LB51:LB105))</f>
        <v/>
      </c>
      <c r="LD106" s="218">
        <f>IF(COUNT(LC51:LC105,LD51:LD105)=0,"",SUMPRODUCT(--(LC51:LC105&lt;&gt;""),--(LD51:LD105&lt;&gt;""),LD51:LD105-LC51:LC105))</f>
        <v/>
      </c>
      <c r="LE106" s="218">
        <f>IF(COUNT(LD51:LD105,LE51:LE105)=0,"",SUMPRODUCT(--(LD51:LD105&lt;&gt;""),--(LE51:LE105&lt;&gt;""),LE51:LE105-LD51:LD105))</f>
        <v/>
      </c>
      <c r="LF106" s="218">
        <f>IF(COUNT(LE51:LE105,LF51:LF105)=0,"",SUMPRODUCT(--(LE51:LE105&lt;&gt;""),--(LF51:LF105&lt;&gt;""),LF51:LF105-LE51:LE105))</f>
        <v/>
      </c>
      <c r="LG106" s="218">
        <f>IF(COUNT(LF51:LF105,LG51:LG105)=0,"",SUMPRODUCT(--(LF51:LF105&lt;&gt;""),--(LG51:LG105&lt;&gt;""),LG51:LG105-LF51:LF105))</f>
        <v/>
      </c>
      <c r="LH106" s="218">
        <f>IF(COUNT(LG51:LG105,LH51:LH105)=0,"",SUMPRODUCT(--(LG51:LG105&lt;&gt;""),--(LH51:LH105&lt;&gt;""),LH51:LH105-LG51:LG105))</f>
        <v/>
      </c>
      <c r="LI106" s="218">
        <f>IF(COUNT(LH51:LH105,LI51:LI105)=0,"",SUMPRODUCT(--(LH51:LH105&lt;&gt;""),--(LI51:LI105&lt;&gt;""),LI51:LI105-LH51:LH105))</f>
        <v/>
      </c>
      <c r="LJ106" s="218">
        <f>IF(COUNT(LI51:LI105,LJ51:LJ105)=0,"",SUMPRODUCT(--(LI51:LI105&lt;&gt;""),--(LJ51:LJ105&lt;&gt;""),LJ51:LJ105-LI51:LI105))</f>
        <v/>
      </c>
      <c r="LK106" s="218">
        <f>IF(COUNT(LJ51:LJ105,LK51:LK105)=0,"",SUMPRODUCT(--(LJ51:LJ105&lt;&gt;""),--(LK51:LK105&lt;&gt;""),LK51:LK105-LJ51:LJ105))</f>
        <v/>
      </c>
      <c r="LL106" s="218">
        <f>IF(COUNT(LK51:LK105,LL51:LL105)=0,"",SUMPRODUCT(--(LK51:LK105&lt;&gt;""),--(LL51:LL105&lt;&gt;""),LL51:LL105-LK51:LK105))</f>
        <v/>
      </c>
      <c r="LM106" s="218">
        <f>IF(COUNT(LL51:LL105,LM51:LM105)=0,"",SUMPRODUCT(--(LL51:LL105&lt;&gt;""),--(LM51:LM105&lt;&gt;""),LM51:LM105-LL51:LL105))</f>
        <v/>
      </c>
      <c r="LN106" s="218">
        <f>IF(COUNT(LM51:LM105,LN51:LN105)=0,"",SUMPRODUCT(--(LM51:LM105&lt;&gt;""),--(LN51:LN105&lt;&gt;""),LN51:LN105-LM51:LM105))</f>
        <v/>
      </c>
      <c r="LO106" s="218">
        <f>IF(COUNT(LN51:LN105,LO51:LO105)=0,"",SUMPRODUCT(--(LN51:LN105&lt;&gt;""),--(LO51:LO105&lt;&gt;""),LO51:LO105-LN51:LN105))</f>
        <v/>
      </c>
      <c r="LP106" s="218">
        <f>IF(COUNT(LO51:LO105,LP51:LP105)=0,"",SUMPRODUCT(--(LO51:LO105&lt;&gt;""),--(LP51:LP105&lt;&gt;""),LP51:LP105-LO51:LO105))</f>
        <v/>
      </c>
      <c r="LQ106" s="218">
        <f>IF(COUNT(LP51:LP105,LQ51:LQ105)=0,"",SUMPRODUCT(--(LP51:LP105&lt;&gt;""),--(LQ51:LQ105&lt;&gt;""),LQ51:LQ105-LP51:LP105))</f>
        <v/>
      </c>
      <c r="LR106" s="218">
        <f>IF(COUNT(LQ51:LQ105,LR51:LR105)=0,"",SUMPRODUCT(--(LQ51:LQ105&lt;&gt;""),--(LR51:LR105&lt;&gt;""),LR51:LR105-LQ51:LQ105))</f>
        <v/>
      </c>
      <c r="LS106" s="218">
        <f>IF(COUNT(LR51:LR105,LS51:LS105)=0,"",SUMPRODUCT(--(LR51:LR105&lt;&gt;""),--(LS51:LS105&lt;&gt;""),LS51:LS105-LR51:LR105))</f>
        <v/>
      </c>
      <c r="LT106" s="218">
        <f>IF(COUNT(LS51:LS105,LT51:LT105)=0,"",SUMPRODUCT(--(LS51:LS105&lt;&gt;""),--(LT51:LT105&lt;&gt;""),LT51:LT105-LS51:LS105))</f>
        <v/>
      </c>
      <c r="LU106" s="218">
        <f>IF(COUNT(LT51:LT105,LU51:LU105)=0,"",SUMPRODUCT(--(LT51:LT105&lt;&gt;""),--(LU51:LU105&lt;&gt;""),LU51:LU105-LT51:LT105))</f>
        <v/>
      </c>
      <c r="LV106" s="218">
        <f>IF(COUNT(LU51:LU105,LV51:LV105)=0,"",SUMPRODUCT(--(LU51:LU105&lt;&gt;""),--(LV51:LV105&lt;&gt;""),LV51:LV105-LU51:LU105))</f>
        <v/>
      </c>
      <c r="LW106" s="218">
        <f>IF(COUNT(LV51:LV105,LW51:LW105)=0,"",SUMPRODUCT(--(LV51:LV105&lt;&gt;""),--(LW51:LW105&lt;&gt;""),LW51:LW105-LV51:LV105))</f>
        <v/>
      </c>
      <c r="LX106" s="218">
        <f>IF(COUNT(LW51:LW105,LX51:LX105)=0,"",SUMPRODUCT(--(LW51:LW105&lt;&gt;""),--(LX51:LX105&lt;&gt;""),LX51:LX105-LW51:LW105))</f>
        <v/>
      </c>
      <c r="LY106" s="218">
        <f>IF(COUNT(LX51:LX105,LY51:LY105)=0,"",SUMPRODUCT(--(LX51:LX105&lt;&gt;""),--(LY51:LY105&lt;&gt;""),LY51:LY105-LX51:LX105))</f>
        <v/>
      </c>
      <c r="LZ106" s="218">
        <f>IF(COUNT(LY51:LY105,LZ51:LZ105)=0,"",SUMPRODUCT(--(LY51:LY105&lt;&gt;""),--(LZ51:LZ105&lt;&gt;""),LZ51:LZ105-LY51:LY105))</f>
        <v/>
      </c>
      <c r="MA106" s="218">
        <f>IF(COUNT(LZ51:LZ105,MA51:MA105)=0,"",SUMPRODUCT(--(LZ51:LZ105&lt;&gt;""),--(MA51:MA105&lt;&gt;""),MA51:MA105-LZ51:LZ105))</f>
        <v/>
      </c>
      <c r="MB106" s="218">
        <f>IF(COUNT(MA51:MA105,MB51:MB105)=0,"",SUMPRODUCT(--(MA51:MA105&lt;&gt;""),--(MB51:MB105&lt;&gt;""),MB51:MB105-MA51:MA105))</f>
        <v/>
      </c>
      <c r="MC106" s="218">
        <f>IF(COUNT(MB51:MB105,MC51:MC105)=0,"",SUMPRODUCT(--(MB51:MB105&lt;&gt;""),--(MC51:MC105&lt;&gt;""),MC51:MC105-MB51:MB105))</f>
        <v/>
      </c>
      <c r="MD106" s="218">
        <f>IF(COUNT(MC51:MC105,MD51:MD105)=0,"",SUMPRODUCT(--(MC51:MC105&lt;&gt;""),--(MD51:MD105&lt;&gt;""),MD51:MD105-MC51:MC105))</f>
        <v/>
      </c>
      <c r="ME106" s="218">
        <f>IF(COUNT(MD51:MD105,ME51:ME105)=0,"",SUMPRODUCT(--(MD51:MD105&lt;&gt;""),--(ME51:ME105&lt;&gt;""),ME51:ME105-MD51:MD105))</f>
        <v/>
      </c>
      <c r="MF106" s="218">
        <f>IF(COUNT(ME51:ME105,MF51:MF105)=0,"",SUMPRODUCT(--(ME51:ME105&lt;&gt;""),--(MF51:MF105&lt;&gt;""),MF51:MF105-ME51:ME105))</f>
        <v/>
      </c>
      <c r="MG106" s="218">
        <f>IF(COUNT(MF51:MF105,MG51:MG105)=0,"",SUMPRODUCT(--(MF51:MF105&lt;&gt;""),--(MG51:MG105&lt;&gt;""),MG51:MG105-MF51:MF105))</f>
        <v/>
      </c>
      <c r="MH106" s="218">
        <f>IF(COUNT(MG51:MG105,MH51:MH105)=0,"",SUMPRODUCT(--(MG51:MG105&lt;&gt;""),--(MH51:MH105&lt;&gt;""),MH51:MH105-MG51:MG105))</f>
        <v/>
      </c>
      <c r="MI106" s="218">
        <f>IF(COUNT(MH51:MH105,MI51:MI105)=0,"",SUMPRODUCT(--(MH51:MH105&lt;&gt;""),--(MI51:MI105&lt;&gt;""),MI51:MI105-MH51:MH105))</f>
        <v/>
      </c>
      <c r="MJ106" s="218">
        <f>IF(COUNT(MI51:MI105,MJ51:MJ105)=0,"",SUMPRODUCT(--(MI51:MI105&lt;&gt;""),--(MJ51:MJ105&lt;&gt;""),MJ51:MJ105-MI51:MI105))</f>
        <v/>
      </c>
      <c r="MK106" s="218">
        <f>IF(COUNT(MJ51:MJ105,MK51:MK105)=0,"",SUMPRODUCT(--(MJ51:MJ105&lt;&gt;""),--(MK51:MK105&lt;&gt;""),MK51:MK105-MJ51:MJ105))</f>
        <v/>
      </c>
      <c r="ML106" s="218">
        <f>IF(COUNT(MK51:MK105,ML51:ML105)=0,"",SUMPRODUCT(--(MK51:MK105&lt;&gt;""),--(ML51:ML105&lt;&gt;""),ML51:ML105-MK51:MK105))</f>
        <v/>
      </c>
      <c r="MM106" s="218">
        <f>IF(COUNT(ML51:ML105,MM51:MM105)=0,"",SUMPRODUCT(--(ML51:ML105&lt;&gt;""),--(MM51:MM105&lt;&gt;""),MM51:MM105-ML51:ML105))</f>
        <v/>
      </c>
      <c r="MN106" s="218">
        <f>IF(COUNT(MM51:MM105,MN51:MN105)=0,"",SUMPRODUCT(--(MM51:MM105&lt;&gt;""),--(MN51:MN105&lt;&gt;""),MN51:MN105-MM51:MM105))</f>
        <v/>
      </c>
      <c r="MO106" s="218">
        <f>IF(COUNT(MN51:MN105,MO51:MO105)=0,"",SUMPRODUCT(--(MN51:MN105&lt;&gt;""),--(MO51:MO105&lt;&gt;""),MO51:MO105-MN51:MN105))</f>
        <v/>
      </c>
      <c r="MP106" s="218">
        <f>IF(COUNT(MO51:MO105,MP51:MP105)=0,"",SUMPRODUCT(--(MO51:MO105&lt;&gt;""),--(MP51:MP105&lt;&gt;""),MP51:MP105-MO51:MO105))</f>
        <v/>
      </c>
      <c r="MQ106" s="218">
        <f>IF(COUNT(MP51:MP105,MQ51:MQ105)=0,"",SUMPRODUCT(--(MP51:MP105&lt;&gt;""),--(MQ51:MQ105&lt;&gt;""),MQ51:MQ105-MP51:MP105))</f>
        <v/>
      </c>
      <c r="MR106" s="218">
        <f>IF(COUNT(MQ51:MQ105,MR51:MR105)=0,"",SUMPRODUCT(--(MQ51:MQ105&lt;&gt;""),--(MR51:MR105&lt;&gt;""),MR51:MR105-MQ51:MQ105))</f>
        <v/>
      </c>
      <c r="MS106" s="218">
        <f>IF(COUNT(MR51:MR105,MS51:MS105)=0,"",SUMPRODUCT(--(MR51:MR105&lt;&gt;""),--(MS51:MS105&lt;&gt;""),MS51:MS105-MR51:MR105))</f>
        <v/>
      </c>
      <c r="MT106" s="218">
        <f>IF(COUNT(MS51:MS105,MT51:MT105)=0,"",SUMPRODUCT(--(MS51:MS105&lt;&gt;""),--(MT51:MT105&lt;&gt;""),MT51:MT105-MS51:MS105))</f>
        <v/>
      </c>
      <c r="MU106" s="218">
        <f>IF(COUNT(MT51:MT105,MU51:MU105)=0,"",SUMPRODUCT(--(MT51:MT105&lt;&gt;""),--(MU51:MU105&lt;&gt;""),MU51:MU105-MT51:MT105))</f>
        <v/>
      </c>
      <c r="MV106" s="218">
        <f>IF(COUNT(MU51:MU105,MV51:MV105)=0,"",SUMPRODUCT(--(MU51:MU105&lt;&gt;""),--(MV51:MV105&lt;&gt;""),MV51:MV105-MU51:MU105))</f>
        <v/>
      </c>
      <c r="MW106" s="218">
        <f>IF(COUNT(MV51:MV105,MW51:MW105)=0,"",SUMPRODUCT(--(MV51:MV105&lt;&gt;""),--(MW51:MW105&lt;&gt;""),MW51:MW105-MV51:MV105))</f>
        <v/>
      </c>
      <c r="MX106" s="218">
        <f>IF(COUNT(MW51:MW105,MX51:MX105)=0,"",SUMPRODUCT(--(MW51:MW105&lt;&gt;""),--(MX51:MX105&lt;&gt;""),MX51:MX105-MW51:MW105))</f>
        <v/>
      </c>
      <c r="MY106" s="218">
        <f>IF(COUNT(MX51:MX105,MY51:MY105)=0,"",SUMPRODUCT(--(MX51:MX105&lt;&gt;""),--(MY51:MY105&lt;&gt;""),MY51:MY105-MX51:MX105))</f>
        <v/>
      </c>
      <c r="MZ106" s="218">
        <f>IF(COUNT(MY51:MY105,MZ51:MZ105)=0,"",SUMPRODUCT(--(MY51:MY105&lt;&gt;""),--(MZ51:MZ105&lt;&gt;""),MZ51:MZ105-MY51:MY105))</f>
        <v/>
      </c>
      <c r="NA106" s="218">
        <f>IF(COUNT(MZ51:MZ105,NA51:NA105)=0,"",SUMPRODUCT(--(MZ51:MZ105&lt;&gt;""),--(NA51:NA105&lt;&gt;""),NA51:NA105-MZ51:MZ105))</f>
        <v/>
      </c>
      <c r="NB106" s="218">
        <f>IF(COUNT(NA51:NA105,NB51:NB105)=0,"",SUMPRODUCT(--(NA51:NA105&lt;&gt;""),--(NB51:NB105&lt;&gt;""),NB51:NB105-NA51:NA105))</f>
        <v/>
      </c>
      <c r="NC106" s="219">
        <f>SUM(B106:NB106)</f>
        <v/>
      </c>
    </row>
    <row r="108" ht="23.25" customHeight="1" s="166">
      <c r="A108" s="220" t="inlineStr">
        <is>
          <t>Climate Data</t>
        </is>
      </c>
    </row>
    <row r="109" ht="9" customHeight="1" s="166"/>
    <row r="110" ht="14.25" customFormat="1" customHeight="1" s="229">
      <c r="A110" s="230" t="inlineStr">
        <is>
          <t>Average Daily Temperature (°C) — INPUT</t>
        </is>
      </c>
      <c r="B110" s="231" t="n"/>
      <c r="C110" s="231" t="n"/>
      <c r="D110" s="231" t="n"/>
      <c r="E110" s="231" t="n"/>
      <c r="F110" s="231" t="n"/>
      <c r="G110" s="231" t="n"/>
      <c r="H110" s="231" t="n"/>
      <c r="I110" s="231" t="n"/>
      <c r="J110" s="231" t="n"/>
      <c r="K110" s="231" t="n"/>
      <c r="L110" s="231" t="n"/>
      <c r="M110" s="231" t="n"/>
      <c r="N110" s="231" t="n"/>
      <c r="O110" s="231" t="n"/>
      <c r="P110" s="231" t="n"/>
      <c r="Q110" s="231" t="n"/>
      <c r="R110" s="231" t="n"/>
      <c r="S110" s="231" t="n"/>
      <c r="T110" s="231" t="n"/>
      <c r="U110" s="231" t="n"/>
      <c r="V110" s="231" t="n"/>
      <c r="W110" s="231" t="n"/>
      <c r="X110" s="231" t="n"/>
      <c r="Y110" s="231" t="n"/>
      <c r="Z110" s="231" t="n"/>
      <c r="AA110" s="231" t="n"/>
      <c r="AB110" s="231" t="n"/>
      <c r="AC110" s="231" t="n"/>
      <c r="AD110" s="231" t="n"/>
      <c r="AE110" s="231" t="n"/>
      <c r="AF110" s="231" t="n"/>
      <c r="AG110" s="231" t="n"/>
      <c r="AH110" s="231" t="n"/>
      <c r="AI110" s="231" t="n"/>
      <c r="AJ110" s="231" t="n"/>
      <c r="AK110" s="231" t="n"/>
      <c r="AL110" s="231" t="n"/>
      <c r="AM110" s="231" t="n"/>
      <c r="AN110" s="231" t="n"/>
      <c r="AO110" s="231" t="n"/>
      <c r="AP110" s="231" t="n"/>
      <c r="AQ110" s="231" t="n"/>
      <c r="AR110" s="231" t="n"/>
      <c r="AS110" s="231" t="n"/>
      <c r="AT110" s="231" t="n"/>
      <c r="AU110" s="231" t="n"/>
      <c r="AV110" s="231" t="n"/>
      <c r="AW110" s="231" t="n"/>
      <c r="AX110" s="231" t="n"/>
      <c r="AY110" s="231" t="n"/>
      <c r="AZ110" s="231" t="n"/>
      <c r="BA110" s="231" t="n"/>
      <c r="BB110" s="231" t="n"/>
      <c r="BC110" s="231" t="n"/>
      <c r="BD110" s="231" t="n"/>
      <c r="BE110" s="231" t="n"/>
      <c r="BF110" s="231" t="n"/>
      <c r="BG110" s="231" t="n"/>
      <c r="BH110" s="231" t="n"/>
      <c r="BI110" s="231" t="n"/>
      <c r="BJ110" s="231" t="n"/>
      <c r="BK110" s="231" t="n"/>
      <c r="BL110" s="231" t="n"/>
      <c r="BM110" s="231" t="n"/>
      <c r="BN110" s="231" t="n"/>
      <c r="BO110" s="231" t="n"/>
      <c r="BP110" s="231" t="n"/>
      <c r="BQ110" s="231" t="n"/>
      <c r="BR110" s="231" t="n"/>
      <c r="BS110" s="231" t="n"/>
      <c r="BT110" s="231" t="n"/>
      <c r="BU110" s="231" t="n"/>
      <c r="BV110" s="231" t="n"/>
      <c r="BW110" s="231" t="n"/>
      <c r="BX110" s="231" t="n"/>
      <c r="BY110" s="231" t="n"/>
      <c r="BZ110" s="231" t="n"/>
      <c r="CA110" s="231" t="n"/>
      <c r="CB110" s="231" t="n"/>
      <c r="CC110" s="231" t="n"/>
      <c r="CD110" s="231" t="n"/>
      <c r="CE110" s="231" t="n"/>
      <c r="CF110" s="231" t="n"/>
      <c r="CG110" s="231" t="n"/>
      <c r="CH110" s="231" t="n"/>
      <c r="CI110" s="231" t="n"/>
      <c r="CJ110" s="231" t="n"/>
      <c r="CK110" s="231" t="n"/>
      <c r="CL110" s="231" t="n"/>
      <c r="CM110" s="231" t="n"/>
      <c r="CN110" s="231" t="n"/>
      <c r="CO110" s="231" t="n"/>
      <c r="CP110" s="231" t="n"/>
      <c r="CQ110" s="231" t="n"/>
      <c r="CR110" s="231" t="n"/>
      <c r="CS110" s="231" t="n"/>
      <c r="CT110" s="231" t="n"/>
      <c r="CU110" s="231" t="n"/>
      <c r="CV110" s="231" t="n"/>
      <c r="CW110" s="231" t="n"/>
      <c r="CX110" s="231" t="n"/>
      <c r="CY110" s="231" t="n"/>
      <c r="CZ110" s="231" t="n"/>
      <c r="DA110" s="231" t="n"/>
      <c r="DB110" s="231" t="n"/>
      <c r="DC110" s="231" t="n"/>
      <c r="DD110" s="231" t="n"/>
      <c r="DE110" s="231" t="n"/>
      <c r="DF110" s="231" t="n"/>
      <c r="DG110" s="231" t="n"/>
      <c r="DH110" s="231" t="n"/>
      <c r="DI110" s="231" t="n"/>
      <c r="DJ110" s="231" t="n"/>
      <c r="DK110" s="231" t="n"/>
      <c r="DL110" s="231" t="n"/>
      <c r="DM110" s="231" t="n"/>
      <c r="DN110" s="231" t="n"/>
      <c r="DO110" s="231" t="n"/>
      <c r="DP110" s="231" t="n"/>
      <c r="DQ110" s="231" t="n"/>
      <c r="DR110" s="231" t="n"/>
      <c r="DS110" s="231" t="n"/>
      <c r="DT110" s="231" t="n"/>
      <c r="DU110" s="231" t="n"/>
      <c r="DV110" s="231" t="n"/>
      <c r="DW110" s="231" t="n"/>
      <c r="DX110" s="231" t="n"/>
      <c r="DY110" s="231" t="n"/>
      <c r="DZ110" s="231" t="n"/>
      <c r="EA110" s="231" t="n"/>
      <c r="EB110" s="231" t="n"/>
      <c r="EC110" s="231" t="n"/>
      <c r="ED110" s="231" t="n"/>
      <c r="EE110" s="231" t="n"/>
      <c r="EF110" s="231" t="n"/>
      <c r="EG110" s="231" t="n"/>
      <c r="EH110" s="231" t="n"/>
      <c r="EI110" s="231" t="n"/>
      <c r="EJ110" s="231" t="n"/>
      <c r="EK110" s="231" t="n"/>
      <c r="EL110" s="231" t="n"/>
      <c r="EM110" s="231" t="n"/>
      <c r="EN110" s="231" t="n"/>
      <c r="EO110" s="231" t="n"/>
      <c r="EP110" s="231" t="n"/>
      <c r="EQ110" s="231" t="n"/>
      <c r="ER110" s="231" t="n"/>
      <c r="ES110" s="231" t="n"/>
      <c r="ET110" s="231" t="n"/>
      <c r="EU110" s="231" t="n"/>
      <c r="EV110" s="231" t="n"/>
      <c r="EW110" s="231" t="n"/>
      <c r="EX110" s="231" t="n"/>
      <c r="EY110" s="231" t="n"/>
      <c r="EZ110" s="231" t="n"/>
      <c r="FA110" s="231" t="n"/>
      <c r="FB110" s="231" t="n"/>
      <c r="FC110" s="231" t="n"/>
      <c r="FD110" s="231" t="n"/>
      <c r="FE110" s="231" t="n"/>
      <c r="FF110" s="231" t="n"/>
      <c r="FG110" s="231" t="n"/>
      <c r="FH110" s="231" t="n"/>
      <c r="FI110" s="231" t="n"/>
      <c r="FJ110" s="231" t="n"/>
      <c r="FK110" s="231" t="n"/>
      <c r="FL110" s="231" t="n"/>
      <c r="FM110" s="231" t="n"/>
      <c r="FN110" s="231" t="n"/>
      <c r="FO110" s="231" t="n"/>
      <c r="FP110" s="231" t="n"/>
      <c r="FQ110" s="231" t="n"/>
      <c r="FR110" s="231" t="n"/>
      <c r="FS110" s="231" t="n"/>
      <c r="FT110" s="231" t="n"/>
      <c r="FU110" s="231" t="n"/>
      <c r="FV110" s="231" t="n"/>
      <c r="FW110" s="231" t="n"/>
      <c r="FX110" s="231" t="n"/>
      <c r="FY110" s="231" t="n"/>
      <c r="FZ110" s="231" t="n"/>
      <c r="GA110" s="231" t="n"/>
      <c r="GB110" s="231" t="n"/>
      <c r="GC110" s="231" t="n"/>
      <c r="GD110" s="231" t="n"/>
      <c r="GE110" s="231" t="n"/>
      <c r="GF110" s="231" t="n"/>
      <c r="GG110" s="231" t="n"/>
      <c r="GH110" s="231" t="n"/>
      <c r="GI110" s="231" t="n"/>
      <c r="GJ110" s="231" t="n"/>
      <c r="GK110" s="231" t="n"/>
      <c r="GL110" s="231" t="n"/>
      <c r="GM110" s="231" t="n"/>
      <c r="GN110" s="231" t="n"/>
      <c r="GO110" s="231" t="n"/>
      <c r="GP110" s="231" t="n"/>
      <c r="GQ110" s="231" t="n"/>
      <c r="GR110" s="231" t="n"/>
      <c r="GS110" s="231" t="n"/>
      <c r="GT110" s="231" t="n"/>
      <c r="GU110" s="231" t="n"/>
      <c r="GV110" s="231" t="n"/>
      <c r="GW110" s="231" t="n"/>
      <c r="GX110" s="231" t="n"/>
      <c r="GY110" s="231" t="n"/>
      <c r="GZ110" s="231" t="n"/>
      <c r="HA110" s="231" t="n"/>
      <c r="HB110" s="231" t="n"/>
      <c r="HC110" s="231" t="n"/>
      <c r="HD110" s="231" t="n"/>
      <c r="HE110" s="231" t="n"/>
      <c r="HF110" s="231" t="n"/>
      <c r="HG110" s="231" t="n"/>
      <c r="HH110" s="231" t="n"/>
      <c r="HI110" s="231" t="n"/>
      <c r="HJ110" s="231" t="n"/>
      <c r="HK110" s="231" t="n"/>
      <c r="HL110" s="231" t="n"/>
      <c r="HM110" s="231" t="n"/>
      <c r="HN110" s="231" t="n"/>
      <c r="HO110" s="231" t="n"/>
      <c r="HP110" s="231" t="n"/>
      <c r="HQ110" s="231" t="n"/>
      <c r="HR110" s="231" t="n"/>
      <c r="HS110" s="231" t="n"/>
      <c r="HT110" s="231" t="n"/>
      <c r="HU110" s="231" t="n"/>
      <c r="HV110" s="231" t="n"/>
      <c r="HW110" s="231" t="n"/>
      <c r="HX110" s="231" t="n"/>
      <c r="HY110" s="231" t="n"/>
      <c r="HZ110" s="231" t="n"/>
      <c r="IA110" s="231" t="n"/>
      <c r="IB110" s="231" t="n"/>
      <c r="IC110" s="231" t="n"/>
      <c r="ID110" s="231" t="n"/>
      <c r="IE110" s="231" t="n"/>
      <c r="IF110" s="231" t="n"/>
      <c r="IG110" s="231" t="n"/>
      <c r="IH110" s="231" t="n"/>
      <c r="II110" s="231" t="n"/>
      <c r="IJ110" s="231" t="n"/>
      <c r="IK110" s="231" t="n"/>
      <c r="IL110" s="231" t="n"/>
      <c r="IM110" s="231" t="n"/>
      <c r="IN110" s="231" t="n"/>
      <c r="IO110" s="231" t="n"/>
      <c r="IP110" s="231" t="n"/>
      <c r="IQ110" s="231" t="n"/>
      <c r="IR110" s="231" t="n"/>
      <c r="IS110" s="231" t="n"/>
      <c r="IT110" s="231" t="n"/>
      <c r="IU110" s="231" t="n"/>
      <c r="IV110" s="231" t="n"/>
      <c r="IW110" s="231" t="n"/>
      <c r="IX110" s="231" t="n"/>
      <c r="IY110" s="231" t="n"/>
      <c r="IZ110" s="231" t="n"/>
      <c r="JA110" s="231" t="n"/>
      <c r="JB110" s="231" t="n"/>
      <c r="JC110" s="231" t="n"/>
      <c r="JD110" s="231" t="n"/>
      <c r="JE110" s="231" t="n"/>
      <c r="JF110" s="231" t="n"/>
      <c r="JG110" s="231" t="n"/>
      <c r="JH110" s="231" t="n"/>
      <c r="JI110" s="231" t="n"/>
      <c r="JJ110" s="231" t="n"/>
      <c r="JK110" s="231" t="n"/>
      <c r="JL110" s="231" t="n"/>
      <c r="JM110" s="231" t="n"/>
      <c r="JN110" s="231" t="n"/>
      <c r="JO110" s="231" t="n"/>
      <c r="JP110" s="231" t="n"/>
      <c r="JQ110" s="231" t="n"/>
      <c r="JR110" s="231" t="n"/>
      <c r="JS110" s="231" t="n"/>
      <c r="JT110" s="231" t="n"/>
      <c r="JU110" s="231" t="n"/>
      <c r="JV110" s="231" t="n"/>
      <c r="JW110" s="231" t="n"/>
      <c r="JX110" s="231" t="n"/>
      <c r="JY110" s="231" t="n"/>
      <c r="JZ110" s="231" t="n"/>
      <c r="KA110" s="231" t="n"/>
      <c r="KB110" s="231" t="n"/>
      <c r="KC110" s="231" t="n"/>
      <c r="KD110" s="231" t="n"/>
      <c r="KE110" s="231" t="n"/>
      <c r="KF110" s="231" t="n"/>
      <c r="KG110" s="231" t="n"/>
      <c r="KH110" s="231" t="n"/>
      <c r="KI110" s="231" t="n"/>
      <c r="KJ110" s="231" t="n"/>
      <c r="KK110" s="231" t="n"/>
      <c r="KL110" s="231" t="n"/>
      <c r="KM110" s="231" t="n"/>
      <c r="KN110" s="231" t="n"/>
      <c r="KO110" s="231" t="n"/>
      <c r="KP110" s="231" t="n"/>
      <c r="KQ110" s="231" t="n"/>
      <c r="KR110" s="231" t="n"/>
      <c r="KS110" s="231" t="n"/>
      <c r="KT110" s="231" t="n"/>
      <c r="KU110" s="231" t="n"/>
      <c r="KV110" s="231" t="n"/>
      <c r="KW110" s="231" t="n"/>
      <c r="KX110" s="231" t="n"/>
      <c r="KY110" s="231" t="n"/>
      <c r="KZ110" s="231" t="n"/>
      <c r="LA110" s="231" t="n"/>
      <c r="LB110" s="231" t="n"/>
      <c r="LC110" s="231" t="n"/>
      <c r="LD110" s="231" t="n"/>
      <c r="LE110" s="231" t="n"/>
      <c r="LF110" s="231" t="n"/>
      <c r="LG110" s="231" t="n"/>
      <c r="LH110" s="231" t="n"/>
      <c r="LI110" s="231" t="n"/>
      <c r="LJ110" s="231" t="n"/>
      <c r="LK110" s="231" t="n"/>
      <c r="LL110" s="231" t="n"/>
      <c r="LM110" s="231" t="n"/>
      <c r="LN110" s="231" t="n"/>
      <c r="LO110" s="231" t="n"/>
      <c r="LP110" s="231" t="n"/>
      <c r="LQ110" s="231" t="n"/>
      <c r="LR110" s="231" t="n"/>
      <c r="LS110" s="231" t="n"/>
      <c r="LT110" s="231" t="n"/>
      <c r="LU110" s="231" t="n"/>
      <c r="LV110" s="231" t="n"/>
      <c r="LW110" s="231" t="n"/>
      <c r="LX110" s="231" t="n"/>
      <c r="LY110" s="231" t="n"/>
      <c r="LZ110" s="231" t="n"/>
      <c r="MA110" s="231" t="n"/>
      <c r="MB110" s="231" t="n"/>
      <c r="MC110" s="231" t="n"/>
      <c r="MD110" s="231" t="n"/>
      <c r="ME110" s="231" t="n"/>
      <c r="MF110" s="231" t="n"/>
      <c r="MG110" s="231" t="n"/>
      <c r="MH110" s="231" t="n"/>
      <c r="MI110" s="231" t="n"/>
      <c r="MJ110" s="231" t="n"/>
      <c r="MK110" s="231" t="n"/>
      <c r="ML110" s="231" t="n"/>
      <c r="MM110" s="231" t="n"/>
      <c r="MN110" s="231" t="n"/>
      <c r="MO110" s="231" t="n"/>
      <c r="MP110" s="231" t="n"/>
      <c r="MQ110" s="231" t="n"/>
      <c r="MR110" s="231" t="n"/>
      <c r="MS110" s="231" t="n"/>
      <c r="MT110" s="231" t="n"/>
      <c r="MU110" s="231" t="n"/>
      <c r="MV110" s="231" t="n"/>
      <c r="MW110" s="231" t="n"/>
      <c r="MX110" s="231" t="n"/>
      <c r="MY110" s="231" t="n"/>
      <c r="MZ110" s="231" t="n"/>
      <c r="NA110" s="231" t="n"/>
      <c r="NB110" s="231" t="n"/>
    </row>
    <row r="111" ht="14.25" customHeight="1" s="166">
      <c r="A111" s="232" t="n"/>
    </row>
    <row r="112" ht="14.25" customFormat="1" customHeight="1" s="229">
      <c r="A112" s="230" t="inlineStr">
        <is>
          <t>Occupancy Rate — INPUT</t>
        </is>
      </c>
      <c r="B112" s="233" t="n"/>
      <c r="C112" s="233" t="n"/>
      <c r="D112" s="233" t="n"/>
      <c r="E112" s="233" t="n"/>
      <c r="F112" s="233" t="n"/>
      <c r="G112" s="233" t="n"/>
      <c r="H112" s="233" t="n"/>
      <c r="I112" s="233" t="n"/>
      <c r="J112" s="233" t="n"/>
      <c r="K112" s="233" t="n"/>
      <c r="L112" s="233" t="n"/>
      <c r="M112" s="233" t="n"/>
      <c r="N112" s="233" t="n"/>
      <c r="O112" s="233" t="n"/>
      <c r="P112" s="233" t="n"/>
      <c r="Q112" s="233" t="n"/>
      <c r="R112" s="233" t="n"/>
      <c r="S112" s="233" t="n"/>
      <c r="T112" s="233" t="n"/>
      <c r="U112" s="233" t="n"/>
      <c r="V112" s="233" t="n"/>
      <c r="W112" s="233" t="n"/>
      <c r="X112" s="233" t="n"/>
      <c r="Y112" s="233" t="n"/>
      <c r="Z112" s="233" t="n"/>
      <c r="AA112" s="233" t="n"/>
      <c r="AB112" s="233" t="n"/>
      <c r="AC112" s="233" t="n"/>
      <c r="AD112" s="233" t="n"/>
      <c r="AE112" s="233" t="n"/>
      <c r="AF112" s="233" t="n"/>
      <c r="AG112" s="233" t="n"/>
      <c r="AH112" s="233" t="n"/>
      <c r="AI112" s="233" t="n"/>
      <c r="AJ112" s="233" t="n"/>
      <c r="AK112" s="233" t="n"/>
      <c r="AL112" s="233" t="n"/>
      <c r="AM112" s="233" t="n"/>
      <c r="AN112" s="233" t="n"/>
      <c r="AO112" s="233" t="n"/>
      <c r="AP112" s="233" t="n"/>
      <c r="AQ112" s="233" t="n"/>
      <c r="AR112" s="233" t="n"/>
      <c r="AS112" s="233" t="n"/>
      <c r="AT112" s="233" t="n"/>
      <c r="AU112" s="233" t="n"/>
      <c r="AV112" s="233" t="n"/>
      <c r="AW112" s="233" t="n"/>
      <c r="AX112" s="233" t="n"/>
      <c r="AY112" s="233" t="n"/>
      <c r="AZ112" s="233" t="n"/>
      <c r="BA112" s="233" t="n"/>
      <c r="BB112" s="233" t="n"/>
      <c r="BC112" s="233" t="n"/>
      <c r="BD112" s="233" t="n"/>
      <c r="BE112" s="233" t="n"/>
      <c r="BF112" s="233" t="n"/>
      <c r="BG112" s="233" t="n"/>
      <c r="BH112" s="233" t="n"/>
      <c r="BI112" s="233" t="n"/>
      <c r="BJ112" s="233" t="n"/>
      <c r="BK112" s="233" t="n"/>
      <c r="BL112" s="233" t="n"/>
      <c r="BM112" s="233" t="n"/>
      <c r="BN112" s="233" t="n"/>
      <c r="BO112" s="233" t="n"/>
      <c r="BP112" s="233" t="n"/>
      <c r="BQ112" s="233" t="n"/>
      <c r="BR112" s="233" t="n"/>
      <c r="BS112" s="233" t="n"/>
      <c r="BT112" s="233" t="n"/>
      <c r="BU112" s="233" t="n"/>
      <c r="BV112" s="233" t="n"/>
      <c r="BW112" s="233" t="n"/>
      <c r="BX112" s="233" t="n"/>
      <c r="BY112" s="233" t="n"/>
      <c r="BZ112" s="233" t="n"/>
      <c r="CA112" s="233" t="n"/>
      <c r="CB112" s="233" t="n"/>
      <c r="CC112" s="233" t="n"/>
      <c r="CD112" s="233" t="n"/>
      <c r="CE112" s="233" t="n"/>
      <c r="CF112" s="233" t="n"/>
      <c r="CG112" s="233" t="n"/>
      <c r="CH112" s="233" t="n"/>
      <c r="CI112" s="233" t="n"/>
      <c r="CJ112" s="233" t="n"/>
      <c r="CK112" s="233" t="n"/>
      <c r="CL112" s="233" t="n"/>
      <c r="CM112" s="233" t="n"/>
      <c r="CN112" s="233" t="n"/>
      <c r="CO112" s="233" t="n"/>
      <c r="CP112" s="233" t="n"/>
      <c r="CQ112" s="233" t="n"/>
      <c r="CR112" s="233" t="n"/>
      <c r="CS112" s="233" t="n"/>
      <c r="CT112" s="233" t="n"/>
      <c r="CU112" s="233" t="n"/>
      <c r="CV112" s="233" t="n"/>
      <c r="CW112" s="233" t="n"/>
      <c r="CX112" s="233" t="n"/>
      <c r="CY112" s="233" t="n"/>
      <c r="CZ112" s="233" t="n"/>
      <c r="DA112" s="233" t="n"/>
      <c r="DB112" s="233" t="n"/>
      <c r="DC112" s="233" t="n"/>
      <c r="DD112" s="233" t="n"/>
      <c r="DE112" s="233" t="n"/>
      <c r="DF112" s="233" t="n"/>
      <c r="DG112" s="233" t="n"/>
      <c r="DH112" s="233" t="n"/>
      <c r="DI112" s="233" t="n"/>
      <c r="DJ112" s="233" t="n"/>
      <c r="DK112" s="233" t="n"/>
      <c r="DL112" s="233" t="n"/>
      <c r="DM112" s="233" t="n"/>
      <c r="DN112" s="233" t="n"/>
      <c r="DO112" s="233" t="n"/>
      <c r="DP112" s="233" t="n"/>
      <c r="DQ112" s="233" t="n"/>
      <c r="DR112" s="233" t="n"/>
      <c r="DS112" s="233" t="n"/>
      <c r="DT112" s="233" t="n"/>
      <c r="DU112" s="233" t="n"/>
      <c r="DV112" s="233" t="n"/>
      <c r="DW112" s="233" t="n"/>
      <c r="DX112" s="233" t="n"/>
      <c r="DY112" s="233" t="n"/>
      <c r="DZ112" s="233" t="n"/>
      <c r="EA112" s="233" t="n"/>
      <c r="EB112" s="233" t="n"/>
      <c r="EC112" s="233" t="n"/>
      <c r="ED112" s="233" t="n"/>
      <c r="EE112" s="233" t="n"/>
      <c r="EF112" s="233" t="n"/>
      <c r="EG112" s="233" t="n"/>
      <c r="EH112" s="233" t="n"/>
      <c r="EI112" s="233" t="n"/>
      <c r="EJ112" s="233" t="n"/>
      <c r="EK112" s="233" t="n"/>
      <c r="EL112" s="233" t="n"/>
      <c r="EM112" s="233" t="n"/>
      <c r="EN112" s="233" t="n"/>
      <c r="EO112" s="233" t="n"/>
      <c r="EP112" s="233" t="n"/>
      <c r="EQ112" s="233" t="n"/>
      <c r="ER112" s="233" t="n"/>
      <c r="ES112" s="233" t="n"/>
      <c r="ET112" s="233" t="n"/>
      <c r="EU112" s="233" t="n"/>
      <c r="EV112" s="233" t="n"/>
      <c r="EW112" s="233" t="n"/>
      <c r="EX112" s="233" t="n"/>
      <c r="EY112" s="233" t="n"/>
      <c r="EZ112" s="233" t="n"/>
      <c r="FA112" s="233" t="n"/>
      <c r="FB112" s="233" t="n"/>
      <c r="FC112" s="233" t="n"/>
      <c r="FD112" s="233" t="n"/>
      <c r="FE112" s="233" t="n"/>
      <c r="FF112" s="233" t="n"/>
      <c r="FG112" s="233" t="n"/>
      <c r="FH112" s="233" t="n"/>
      <c r="FI112" s="233" t="n"/>
      <c r="FJ112" s="233" t="n"/>
      <c r="FK112" s="233" t="n"/>
      <c r="FL112" s="233" t="n"/>
      <c r="FM112" s="233" t="n"/>
      <c r="FN112" s="233" t="n"/>
      <c r="FO112" s="233" t="n"/>
      <c r="FP112" s="233" t="n"/>
      <c r="FQ112" s="233" t="n"/>
      <c r="FR112" s="233" t="n"/>
      <c r="FS112" s="233" t="n"/>
      <c r="FT112" s="233" t="n"/>
      <c r="FU112" s="233" t="n"/>
      <c r="FV112" s="233" t="n"/>
      <c r="FW112" s="233" t="n"/>
      <c r="FX112" s="233" t="n"/>
      <c r="FY112" s="233" t="n"/>
      <c r="FZ112" s="233" t="n"/>
      <c r="GA112" s="233" t="n"/>
      <c r="GB112" s="233" t="n"/>
      <c r="GC112" s="233" t="n"/>
      <c r="GD112" s="233" t="n"/>
      <c r="GE112" s="233" t="n"/>
      <c r="GF112" s="233" t="n"/>
      <c r="GG112" s="233" t="n"/>
      <c r="GH112" s="233" t="n"/>
      <c r="GI112" s="233" t="n"/>
      <c r="GJ112" s="233" t="n"/>
      <c r="GK112" s="233" t="n"/>
      <c r="GL112" s="233" t="n"/>
      <c r="GM112" s="233" t="n"/>
      <c r="GN112" s="233" t="n"/>
      <c r="GO112" s="233" t="n"/>
      <c r="GP112" s="233" t="n"/>
      <c r="GQ112" s="233" t="n"/>
      <c r="GR112" s="233" t="n"/>
      <c r="GS112" s="233" t="n"/>
      <c r="GT112" s="233" t="n"/>
      <c r="GU112" s="233" t="n"/>
      <c r="GV112" s="233" t="n"/>
      <c r="GW112" s="233" t="n"/>
      <c r="GX112" s="233" t="n"/>
      <c r="GY112" s="233" t="n"/>
      <c r="GZ112" s="233" t="n"/>
      <c r="HA112" s="233" t="n"/>
      <c r="HB112" s="233" t="n"/>
      <c r="HC112" s="233" t="n"/>
      <c r="HD112" s="233" t="n"/>
      <c r="HE112" s="233" t="n"/>
      <c r="HF112" s="233" t="n"/>
      <c r="HG112" s="233" t="n"/>
      <c r="HH112" s="233" t="n"/>
      <c r="HI112" s="233" t="n"/>
      <c r="HJ112" s="233" t="n"/>
      <c r="HK112" s="233" t="n"/>
      <c r="HL112" s="233" t="n"/>
      <c r="HM112" s="233" t="n"/>
      <c r="HN112" s="233" t="n"/>
      <c r="HO112" s="233" t="n"/>
      <c r="HP112" s="233" t="n"/>
      <c r="HQ112" s="233" t="n"/>
      <c r="HR112" s="233" t="n"/>
      <c r="HS112" s="233" t="n"/>
      <c r="HT112" s="233" t="n"/>
      <c r="HU112" s="233" t="n"/>
      <c r="HV112" s="233" t="n"/>
      <c r="HW112" s="233" t="n"/>
      <c r="HX112" s="233" t="n"/>
      <c r="HY112" s="233" t="n"/>
      <c r="HZ112" s="233" t="n"/>
      <c r="IA112" s="233" t="n"/>
      <c r="IB112" s="233" t="n"/>
      <c r="IC112" s="233" t="n"/>
      <c r="ID112" s="233" t="n"/>
      <c r="IE112" s="233" t="n"/>
      <c r="IF112" s="233" t="n"/>
      <c r="IG112" s="233" t="n"/>
      <c r="IH112" s="233" t="n"/>
      <c r="II112" s="233" t="n"/>
      <c r="IJ112" s="233" t="n"/>
      <c r="IK112" s="233" t="n"/>
      <c r="IL112" s="233" t="n"/>
      <c r="IM112" s="233" t="n"/>
      <c r="IN112" s="233" t="n"/>
      <c r="IO112" s="233" t="n"/>
      <c r="IP112" s="233" t="n"/>
      <c r="IQ112" s="233" t="n"/>
      <c r="IR112" s="233" t="n"/>
      <c r="IS112" s="233" t="n"/>
      <c r="IT112" s="233" t="n"/>
      <c r="IU112" s="233" t="n"/>
      <c r="IV112" s="233" t="n"/>
      <c r="IW112" s="233" t="n"/>
      <c r="IX112" s="233" t="n"/>
      <c r="IY112" s="233" t="n"/>
      <c r="IZ112" s="233" t="n"/>
      <c r="JA112" s="233" t="n"/>
      <c r="JB112" s="233" t="n"/>
      <c r="JC112" s="233" t="n"/>
      <c r="JD112" s="233" t="n"/>
      <c r="JE112" s="233" t="n"/>
      <c r="JF112" s="233" t="n"/>
      <c r="JG112" s="233" t="n"/>
      <c r="JH112" s="233" t="n"/>
      <c r="JI112" s="233" t="n"/>
      <c r="JJ112" s="233" t="n"/>
      <c r="JK112" s="233" t="n"/>
      <c r="JL112" s="233" t="n"/>
      <c r="JM112" s="233" t="n"/>
      <c r="JN112" s="233" t="n"/>
      <c r="JO112" s="233" t="n"/>
      <c r="JP112" s="233" t="n"/>
      <c r="JQ112" s="233" t="n"/>
      <c r="JR112" s="233" t="n"/>
      <c r="JS112" s="233" t="n"/>
      <c r="JT112" s="233" t="n"/>
      <c r="JU112" s="233" t="n"/>
      <c r="JV112" s="233" t="n"/>
      <c r="JW112" s="233" t="n"/>
      <c r="JX112" s="233" t="n"/>
      <c r="JY112" s="233" t="n"/>
      <c r="JZ112" s="233" t="n"/>
      <c r="KA112" s="233" t="n"/>
      <c r="KB112" s="233" t="n"/>
      <c r="KC112" s="233" t="n"/>
      <c r="KD112" s="233" t="n"/>
      <c r="KE112" s="233" t="n"/>
      <c r="KF112" s="233" t="n"/>
      <c r="KG112" s="233" t="n"/>
      <c r="KH112" s="233" t="n"/>
      <c r="KI112" s="233" t="n"/>
      <c r="KJ112" s="233" t="n"/>
      <c r="KK112" s="233" t="n"/>
      <c r="KL112" s="233" t="n"/>
      <c r="KM112" s="233" t="n"/>
      <c r="KN112" s="233" t="n"/>
      <c r="KO112" s="233" t="n"/>
      <c r="KP112" s="233" t="n"/>
      <c r="KQ112" s="233" t="n"/>
      <c r="KR112" s="233" t="n"/>
      <c r="KS112" s="233" t="n"/>
      <c r="KT112" s="233" t="n"/>
      <c r="KU112" s="233" t="n"/>
      <c r="KV112" s="233" t="n"/>
      <c r="KW112" s="233" t="n"/>
      <c r="KX112" s="233" t="n"/>
      <c r="KY112" s="233" t="n"/>
      <c r="KZ112" s="233" t="n"/>
      <c r="LA112" s="233" t="n"/>
      <c r="LB112" s="233" t="n"/>
      <c r="LC112" s="233" t="n"/>
      <c r="LD112" s="233" t="n"/>
      <c r="LE112" s="233" t="n"/>
      <c r="LF112" s="233" t="n"/>
      <c r="LG112" s="233" t="n"/>
      <c r="LH112" s="233" t="n"/>
      <c r="LI112" s="233" t="n"/>
      <c r="LJ112" s="233" t="n"/>
      <c r="LK112" s="233" t="n"/>
      <c r="LL112" s="233" t="n"/>
      <c r="LM112" s="233" t="n"/>
      <c r="LN112" s="233" t="n"/>
      <c r="LO112" s="233" t="n"/>
      <c r="LP112" s="233" t="n"/>
      <c r="LQ112" s="233" t="n"/>
      <c r="LR112" s="233" t="n"/>
      <c r="LS112" s="233" t="n"/>
      <c r="LT112" s="233" t="n"/>
      <c r="LU112" s="233" t="n"/>
      <c r="LV112" s="233" t="n"/>
      <c r="LW112" s="233" t="n"/>
      <c r="LX112" s="233" t="n"/>
      <c r="LY112" s="233" t="n"/>
      <c r="LZ112" s="233" t="n"/>
      <c r="MA112" s="233" t="n"/>
      <c r="MB112" s="233" t="n"/>
      <c r="MC112" s="233" t="n"/>
      <c r="MD112" s="233" t="n"/>
      <c r="ME112" s="233" t="n"/>
      <c r="MF112" s="233" t="n"/>
      <c r="MG112" s="233" t="n"/>
      <c r="MH112" s="233" t="n"/>
      <c r="MI112" s="233" t="n"/>
      <c r="MJ112" s="233" t="n"/>
      <c r="MK112" s="233" t="n"/>
      <c r="ML112" s="233" t="n"/>
      <c r="MM112" s="233" t="n"/>
      <c r="MN112" s="233" t="n"/>
      <c r="MO112" s="233" t="n"/>
      <c r="MP112" s="233" t="n"/>
      <c r="MQ112" s="233" t="n"/>
      <c r="MR112" s="233" t="n"/>
      <c r="MS112" s="233" t="n"/>
      <c r="MT112" s="233" t="n"/>
      <c r="MU112" s="233" t="n"/>
      <c r="MV112" s="233" t="n"/>
      <c r="MW112" s="233" t="n"/>
      <c r="MX112" s="233" t="n"/>
      <c r="MY112" s="233" t="n"/>
      <c r="MZ112" s="233" t="n"/>
      <c r="NA112" s="233" t="n"/>
      <c r="NB112" s="233" t="n"/>
    </row>
    <row r="113" ht="14.25" customFormat="1" customHeight="1" s="229">
      <c r="A113" s="230" t="inlineStr">
        <is>
          <t>Occupied Rooms — INPUT</t>
        </is>
      </c>
      <c r="B113" s="234" t="n"/>
      <c r="C113" s="234" t="n"/>
      <c r="D113" s="234" t="n"/>
      <c r="E113" s="234" t="n"/>
      <c r="F113" s="234" t="n"/>
      <c r="G113" s="234" t="n"/>
      <c r="H113" s="234" t="n"/>
      <c r="I113" s="234" t="n"/>
      <c r="J113" s="234" t="n"/>
      <c r="K113" s="234" t="n"/>
      <c r="L113" s="234" t="n"/>
      <c r="M113" s="234" t="n"/>
      <c r="N113" s="234" t="n"/>
      <c r="O113" s="234" t="n"/>
      <c r="P113" s="234" t="n"/>
      <c r="Q113" s="234" t="n"/>
      <c r="R113" s="234" t="n"/>
      <c r="S113" s="234" t="n"/>
      <c r="T113" s="234" t="n"/>
      <c r="U113" s="234" t="n"/>
      <c r="V113" s="234" t="n"/>
      <c r="W113" s="234" t="n"/>
      <c r="X113" s="234" t="n"/>
      <c r="Y113" s="234" t="n"/>
      <c r="Z113" s="234" t="n"/>
      <c r="AA113" s="234" t="n"/>
      <c r="AB113" s="234" t="n"/>
      <c r="AC113" s="234" t="n"/>
      <c r="AD113" s="234" t="n"/>
      <c r="AE113" s="234" t="n"/>
      <c r="AF113" s="234" t="n"/>
      <c r="AG113" s="234" t="n"/>
      <c r="AH113" s="234" t="n"/>
      <c r="AI113" s="234" t="n"/>
      <c r="AJ113" s="234" t="n"/>
      <c r="AK113" s="234" t="n"/>
      <c r="AL113" s="234" t="n"/>
      <c r="AM113" s="234" t="n"/>
      <c r="AN113" s="234" t="n"/>
      <c r="AO113" s="234" t="n"/>
      <c r="AP113" s="234" t="n"/>
      <c r="AQ113" s="234" t="n"/>
      <c r="AR113" s="234" t="n"/>
      <c r="AS113" s="234" t="n"/>
      <c r="AT113" s="234" t="n"/>
      <c r="AU113" s="234" t="n"/>
      <c r="AV113" s="234" t="n"/>
      <c r="AW113" s="234" t="n"/>
      <c r="AX113" s="234" t="n"/>
      <c r="AY113" s="234" t="n"/>
      <c r="AZ113" s="234" t="n"/>
      <c r="BA113" s="234" t="n"/>
      <c r="BB113" s="234" t="n"/>
      <c r="BC113" s="234" t="n"/>
      <c r="BD113" s="234" t="n"/>
      <c r="BE113" s="234" t="n"/>
      <c r="BF113" s="234" t="n"/>
      <c r="BG113" s="234" t="n"/>
      <c r="BH113" s="234" t="n"/>
      <c r="BI113" s="234" t="n"/>
      <c r="BJ113" s="234" t="n"/>
      <c r="BK113" s="234" t="n"/>
      <c r="BL113" s="234" t="n"/>
      <c r="BM113" s="234" t="n"/>
      <c r="BN113" s="234" t="n"/>
      <c r="BO113" s="234" t="n"/>
      <c r="BP113" s="234" t="n"/>
      <c r="BQ113" s="234" t="n"/>
      <c r="BR113" s="234" t="n"/>
      <c r="BS113" s="234" t="n"/>
      <c r="BT113" s="234" t="n"/>
      <c r="BU113" s="234" t="n"/>
      <c r="BV113" s="234" t="n"/>
      <c r="BW113" s="234" t="n"/>
      <c r="BX113" s="234" t="n"/>
      <c r="BY113" s="234" t="n"/>
      <c r="BZ113" s="234" t="n"/>
      <c r="CA113" s="234" t="n"/>
      <c r="CB113" s="234" t="n"/>
      <c r="CC113" s="234" t="n"/>
      <c r="CD113" s="234" t="n"/>
      <c r="CE113" s="234" t="n"/>
      <c r="CF113" s="234" t="n"/>
      <c r="CG113" s="234" t="n"/>
      <c r="CH113" s="234" t="n"/>
      <c r="CI113" s="234" t="n"/>
      <c r="CJ113" s="234" t="n"/>
      <c r="CK113" s="234" t="n"/>
      <c r="CL113" s="234" t="n"/>
      <c r="CM113" s="234" t="n"/>
      <c r="CN113" s="234" t="n"/>
      <c r="CO113" s="234" t="n"/>
      <c r="CP113" s="234" t="n"/>
      <c r="CQ113" s="234" t="n"/>
      <c r="CR113" s="234" t="n"/>
      <c r="CS113" s="234" t="n"/>
      <c r="CT113" s="234" t="n"/>
      <c r="CU113" s="234" t="n"/>
      <c r="CV113" s="234" t="n"/>
      <c r="CW113" s="234" t="n"/>
      <c r="CX113" s="234" t="n"/>
      <c r="CY113" s="234" t="n"/>
      <c r="CZ113" s="234" t="n"/>
      <c r="DA113" s="234" t="n"/>
      <c r="DB113" s="234" t="n"/>
      <c r="DC113" s="234" t="n"/>
      <c r="DD113" s="234" t="n"/>
      <c r="DE113" s="234" t="n"/>
      <c r="DF113" s="234" t="n"/>
      <c r="DG113" s="234" t="n"/>
      <c r="DH113" s="234" t="n"/>
      <c r="DI113" s="234" t="n"/>
      <c r="DJ113" s="234" t="n"/>
      <c r="DK113" s="234" t="n"/>
      <c r="DL113" s="234" t="n"/>
      <c r="DM113" s="234" t="n"/>
      <c r="DN113" s="234" t="n"/>
      <c r="DO113" s="234" t="n"/>
      <c r="DP113" s="234" t="n"/>
      <c r="DQ113" s="234" t="n"/>
      <c r="DR113" s="234" t="n"/>
      <c r="DS113" s="234" t="n"/>
      <c r="DT113" s="234" t="n"/>
      <c r="DU113" s="234" t="n"/>
      <c r="DV113" s="234" t="n"/>
      <c r="DW113" s="234" t="n"/>
      <c r="DX113" s="234" t="n"/>
      <c r="DY113" s="234" t="n"/>
      <c r="DZ113" s="234" t="n"/>
      <c r="EA113" s="234" t="n"/>
      <c r="EB113" s="234" t="n"/>
      <c r="EC113" s="234" t="n"/>
      <c r="ED113" s="234" t="n"/>
      <c r="EE113" s="234" t="n"/>
      <c r="EF113" s="234" t="n"/>
      <c r="EG113" s="234" t="n"/>
      <c r="EH113" s="234" t="n"/>
      <c r="EI113" s="234" t="n"/>
      <c r="EJ113" s="234" t="n"/>
      <c r="EK113" s="234" t="n"/>
      <c r="EL113" s="234" t="n"/>
      <c r="EM113" s="234" t="n"/>
      <c r="EN113" s="234" t="n"/>
      <c r="EO113" s="234" t="n"/>
      <c r="EP113" s="234" t="n"/>
      <c r="EQ113" s="234" t="n"/>
      <c r="ER113" s="234" t="n"/>
      <c r="ES113" s="234" t="n"/>
      <c r="ET113" s="234" t="n"/>
      <c r="EU113" s="234" t="n"/>
      <c r="EV113" s="234" t="n"/>
      <c r="EW113" s="234" t="n"/>
      <c r="EX113" s="234" t="n"/>
      <c r="EY113" s="234" t="n"/>
      <c r="EZ113" s="234" t="n"/>
      <c r="FA113" s="234" t="n"/>
      <c r="FB113" s="234" t="n"/>
      <c r="FC113" s="234" t="n"/>
      <c r="FD113" s="234" t="n"/>
      <c r="FE113" s="234" t="n"/>
      <c r="FF113" s="234" t="n"/>
      <c r="FG113" s="234" t="n"/>
      <c r="FH113" s="234" t="n"/>
      <c r="FI113" s="234" t="n"/>
      <c r="FJ113" s="234" t="n"/>
      <c r="FK113" s="234" t="n"/>
      <c r="FL113" s="234" t="n"/>
      <c r="FM113" s="234" t="n"/>
      <c r="FN113" s="234" t="n"/>
      <c r="FO113" s="234" t="n"/>
      <c r="FP113" s="234" t="n"/>
      <c r="FQ113" s="234" t="n"/>
      <c r="FR113" s="234" t="n"/>
      <c r="FS113" s="234" t="n"/>
      <c r="FT113" s="234" t="n"/>
      <c r="FU113" s="234" t="n"/>
      <c r="FV113" s="234" t="n"/>
      <c r="FW113" s="234" t="n"/>
      <c r="FX113" s="234" t="n"/>
      <c r="FY113" s="234" t="n"/>
      <c r="FZ113" s="234" t="n"/>
      <c r="GA113" s="234" t="n"/>
      <c r="GB113" s="234" t="n"/>
      <c r="GC113" s="234" t="n"/>
      <c r="GD113" s="234" t="n"/>
      <c r="GE113" s="234" t="n"/>
      <c r="GF113" s="234" t="n"/>
      <c r="GG113" s="234" t="n"/>
      <c r="GH113" s="234" t="n"/>
      <c r="GI113" s="234" t="n"/>
      <c r="GJ113" s="234" t="n"/>
      <c r="GK113" s="234" t="n"/>
      <c r="GL113" s="234" t="n"/>
      <c r="GM113" s="234" t="n"/>
      <c r="GN113" s="234" t="n"/>
      <c r="GO113" s="234" t="n"/>
      <c r="GP113" s="234" t="n"/>
      <c r="GQ113" s="234" t="n"/>
      <c r="GR113" s="234" t="n"/>
      <c r="GS113" s="234" t="n"/>
      <c r="GT113" s="234" t="n"/>
      <c r="GU113" s="234" t="n"/>
      <c r="GV113" s="234" t="n"/>
      <c r="GW113" s="234" t="n"/>
      <c r="GX113" s="234" t="n"/>
      <c r="GY113" s="234" t="n"/>
      <c r="GZ113" s="234" t="n"/>
      <c r="HA113" s="234" t="n"/>
      <c r="HB113" s="234" t="n"/>
      <c r="HC113" s="234" t="n"/>
      <c r="HD113" s="234" t="n"/>
      <c r="HE113" s="234" t="n"/>
      <c r="HF113" s="234" t="n"/>
      <c r="HG113" s="234" t="n"/>
      <c r="HH113" s="234" t="n"/>
      <c r="HI113" s="234" t="n"/>
      <c r="HJ113" s="234" t="n"/>
      <c r="HK113" s="234" t="n"/>
      <c r="HL113" s="234" t="n"/>
      <c r="HM113" s="234" t="n"/>
      <c r="HN113" s="234" t="n"/>
      <c r="HO113" s="234" t="n"/>
      <c r="HP113" s="234" t="n"/>
      <c r="HQ113" s="234" t="n"/>
      <c r="HR113" s="234" t="n"/>
      <c r="HS113" s="234" t="n"/>
      <c r="HT113" s="234" t="n"/>
      <c r="HU113" s="234" t="n"/>
      <c r="HV113" s="234" t="n"/>
      <c r="HW113" s="234" t="n"/>
      <c r="HX113" s="234" t="n"/>
      <c r="HY113" s="234" t="n"/>
      <c r="HZ113" s="234" t="n"/>
      <c r="IA113" s="234" t="n"/>
      <c r="IB113" s="234" t="n"/>
      <c r="IC113" s="234" t="n"/>
      <c r="ID113" s="234" t="n"/>
      <c r="IE113" s="234" t="n"/>
      <c r="IF113" s="234" t="n"/>
      <c r="IG113" s="234" t="n"/>
      <c r="IH113" s="234" t="n"/>
      <c r="II113" s="234" t="n"/>
      <c r="IJ113" s="234" t="n"/>
      <c r="IK113" s="234" t="n"/>
      <c r="IL113" s="234" t="n"/>
      <c r="IM113" s="234" t="n"/>
      <c r="IN113" s="234" t="n"/>
      <c r="IO113" s="234" t="n"/>
      <c r="IP113" s="234" t="n"/>
      <c r="IQ113" s="234" t="n"/>
      <c r="IR113" s="234" t="n"/>
      <c r="IS113" s="234" t="n"/>
      <c r="IT113" s="234" t="n"/>
      <c r="IU113" s="234" t="n"/>
      <c r="IV113" s="234" t="n"/>
      <c r="IW113" s="234" t="n"/>
      <c r="IX113" s="234" t="n"/>
      <c r="IY113" s="234" t="n"/>
      <c r="IZ113" s="234" t="n"/>
      <c r="JA113" s="234" t="n"/>
      <c r="JB113" s="234" t="n"/>
      <c r="JC113" s="234" t="n"/>
      <c r="JD113" s="234" t="n"/>
      <c r="JE113" s="234" t="n"/>
      <c r="JF113" s="234" t="n"/>
      <c r="JG113" s="234" t="n"/>
      <c r="JH113" s="234" t="n"/>
      <c r="JI113" s="234" t="n"/>
      <c r="JJ113" s="234" t="n"/>
      <c r="JK113" s="234" t="n"/>
      <c r="JL113" s="234" t="n"/>
      <c r="JM113" s="234" t="n"/>
      <c r="JN113" s="234" t="n"/>
      <c r="JO113" s="234" t="n"/>
      <c r="JP113" s="234" t="n"/>
      <c r="JQ113" s="234" t="n"/>
      <c r="JR113" s="234" t="n"/>
      <c r="JS113" s="234" t="n"/>
      <c r="JT113" s="234" t="n"/>
      <c r="JU113" s="234" t="n"/>
      <c r="JV113" s="234" t="n"/>
      <c r="JW113" s="234" t="n"/>
      <c r="JX113" s="234" t="n"/>
      <c r="JY113" s="234" t="n"/>
      <c r="JZ113" s="234" t="n"/>
      <c r="KA113" s="234" t="n"/>
      <c r="KB113" s="234" t="n"/>
      <c r="KC113" s="234" t="n"/>
      <c r="KD113" s="234" t="n"/>
      <c r="KE113" s="234" t="n"/>
      <c r="KF113" s="234" t="n"/>
      <c r="KG113" s="234" t="n"/>
      <c r="KH113" s="234" t="n"/>
      <c r="KI113" s="234" t="n"/>
      <c r="KJ113" s="234" t="n"/>
      <c r="KK113" s="234" t="n"/>
      <c r="KL113" s="234" t="n"/>
      <c r="KM113" s="234" t="n"/>
      <c r="KN113" s="234" t="n"/>
      <c r="KO113" s="234" t="n"/>
      <c r="KP113" s="234" t="n"/>
      <c r="KQ113" s="234" t="n"/>
      <c r="KR113" s="234" t="n"/>
      <c r="KS113" s="234" t="n"/>
      <c r="KT113" s="234" t="n"/>
      <c r="KU113" s="234" t="n"/>
      <c r="KV113" s="234" t="n"/>
      <c r="KW113" s="234" t="n"/>
      <c r="KX113" s="234" t="n"/>
      <c r="KY113" s="234" t="n"/>
      <c r="KZ113" s="234" t="n"/>
      <c r="LA113" s="234" t="n"/>
      <c r="LB113" s="234" t="n"/>
      <c r="LC113" s="234" t="n"/>
      <c r="LD113" s="234" t="n"/>
      <c r="LE113" s="234" t="n"/>
      <c r="LF113" s="234" t="n"/>
      <c r="LG113" s="234" t="n"/>
      <c r="LH113" s="234" t="n"/>
      <c r="LI113" s="234" t="n"/>
      <c r="LJ113" s="234" t="n"/>
      <c r="LK113" s="234" t="n"/>
      <c r="LL113" s="234" t="n"/>
      <c r="LM113" s="234" t="n"/>
      <c r="LN113" s="234" t="n"/>
      <c r="LO113" s="234" t="n"/>
      <c r="LP113" s="234" t="n"/>
      <c r="LQ113" s="234" t="n"/>
      <c r="LR113" s="234" t="n"/>
      <c r="LS113" s="234" t="n"/>
      <c r="LT113" s="234" t="n"/>
      <c r="LU113" s="234" t="n"/>
      <c r="LV113" s="234" t="n"/>
      <c r="LW113" s="234" t="n"/>
      <c r="LX113" s="234" t="n"/>
      <c r="LY113" s="234" t="n"/>
      <c r="LZ113" s="234" t="n"/>
      <c r="MA113" s="234" t="n"/>
      <c r="MB113" s="234" t="n"/>
      <c r="MC113" s="234" t="n"/>
      <c r="MD113" s="234" t="n"/>
      <c r="ME113" s="234" t="n"/>
      <c r="MF113" s="234" t="n"/>
      <c r="MG113" s="234" t="n"/>
      <c r="MH113" s="234" t="n"/>
      <c r="MI113" s="234" t="n"/>
      <c r="MJ113" s="234" t="n"/>
      <c r="MK113" s="234" t="n"/>
      <c r="ML113" s="234" t="n"/>
      <c r="MM113" s="234" t="n"/>
      <c r="MN113" s="234" t="n"/>
      <c r="MO113" s="234" t="n"/>
      <c r="MP113" s="234" t="n"/>
      <c r="MQ113" s="234" t="n"/>
      <c r="MR113" s="234" t="n"/>
      <c r="MS113" s="234" t="n"/>
      <c r="MT113" s="234" t="n"/>
      <c r="MU113" s="234" t="n"/>
      <c r="MV113" s="234" t="n"/>
      <c r="MW113" s="234" t="n"/>
      <c r="MX113" s="234" t="n"/>
      <c r="MY113" s="234" t="n"/>
      <c r="MZ113" s="234" t="n"/>
      <c r="NA113" s="234" t="n"/>
      <c r="NB113" s="234" t="n"/>
    </row>
    <row r="114" ht="14.25" customFormat="1" customHeight="1" s="229">
      <c r="A114" s="230" t="inlineStr">
        <is>
          <t>Hotel Nights / Guests — INPUT</t>
        </is>
      </c>
      <c r="B114" s="234" t="n"/>
      <c r="C114" s="234" t="n"/>
      <c r="D114" s="234" t="n"/>
      <c r="E114" s="234" t="n"/>
      <c r="F114" s="234" t="n"/>
      <c r="G114" s="234" t="n"/>
      <c r="H114" s="234" t="n"/>
      <c r="I114" s="234" t="n"/>
      <c r="J114" s="234" t="n"/>
      <c r="K114" s="234" t="n"/>
      <c r="L114" s="234" t="n"/>
      <c r="M114" s="234" t="n"/>
      <c r="N114" s="234" t="n"/>
      <c r="O114" s="234" t="n"/>
      <c r="P114" s="234" t="n"/>
      <c r="Q114" s="234" t="n"/>
      <c r="R114" s="234" t="n"/>
      <c r="S114" s="234" t="n"/>
      <c r="T114" s="234" t="n"/>
      <c r="U114" s="234" t="n"/>
      <c r="V114" s="234" t="n"/>
      <c r="W114" s="234" t="n"/>
      <c r="X114" s="234" t="n"/>
      <c r="Y114" s="234" t="n"/>
      <c r="Z114" s="234" t="n"/>
      <c r="AA114" s="234" t="n"/>
      <c r="AB114" s="234" t="n"/>
      <c r="AC114" s="234" t="n"/>
      <c r="AD114" s="234" t="n"/>
      <c r="AE114" s="234" t="n"/>
      <c r="AF114" s="234" t="n"/>
      <c r="AG114" s="234" t="n"/>
      <c r="AH114" s="234" t="n"/>
      <c r="AI114" s="234" t="n"/>
      <c r="AJ114" s="234" t="n"/>
      <c r="AK114" s="234" t="n"/>
      <c r="AL114" s="234" t="n"/>
      <c r="AM114" s="234" t="n"/>
      <c r="AN114" s="234" t="n"/>
      <c r="AO114" s="234" t="n"/>
      <c r="AP114" s="234" t="n"/>
      <c r="AQ114" s="234" t="n"/>
      <c r="AR114" s="234" t="n"/>
      <c r="AS114" s="234" t="n"/>
      <c r="AT114" s="234" t="n"/>
      <c r="AU114" s="234" t="n"/>
      <c r="AV114" s="234" t="n"/>
      <c r="AW114" s="234" t="n"/>
      <c r="AX114" s="234" t="n"/>
      <c r="AY114" s="234" t="n"/>
      <c r="AZ114" s="234" t="n"/>
      <c r="BA114" s="234" t="n"/>
      <c r="BB114" s="234" t="n"/>
      <c r="BC114" s="234" t="n"/>
      <c r="BD114" s="234" t="n"/>
      <c r="BE114" s="234" t="n"/>
      <c r="BF114" s="234" t="n"/>
      <c r="BG114" s="234" t="n"/>
      <c r="BH114" s="234" t="n"/>
      <c r="BI114" s="234" t="n"/>
      <c r="BJ114" s="234" t="n"/>
      <c r="BK114" s="234" t="n"/>
      <c r="BL114" s="234" t="n"/>
      <c r="BM114" s="234" t="n"/>
      <c r="BN114" s="234" t="n"/>
      <c r="BO114" s="234" t="n"/>
      <c r="BP114" s="234" t="n"/>
      <c r="BQ114" s="234" t="n"/>
      <c r="BR114" s="234" t="n"/>
      <c r="BS114" s="234" t="n"/>
      <c r="BT114" s="234" t="n"/>
      <c r="BU114" s="234" t="n"/>
      <c r="BV114" s="234" t="n"/>
      <c r="BW114" s="234" t="n"/>
      <c r="BX114" s="234" t="n"/>
      <c r="BY114" s="234" t="n"/>
      <c r="BZ114" s="234" t="n"/>
      <c r="CA114" s="234" t="n"/>
      <c r="CB114" s="234" t="n"/>
      <c r="CC114" s="234" t="n"/>
      <c r="CD114" s="234" t="n"/>
      <c r="CE114" s="234" t="n"/>
      <c r="CF114" s="234" t="n"/>
      <c r="CG114" s="234" t="n"/>
      <c r="CH114" s="234" t="n"/>
      <c r="CI114" s="234" t="n"/>
      <c r="CJ114" s="234" t="n"/>
      <c r="CK114" s="234" t="n"/>
      <c r="CL114" s="234" t="n"/>
      <c r="CM114" s="234" t="n"/>
      <c r="CN114" s="234" t="n"/>
      <c r="CO114" s="234" t="n"/>
      <c r="CP114" s="234" t="n"/>
      <c r="CQ114" s="234" t="n"/>
      <c r="CR114" s="234" t="n"/>
      <c r="CS114" s="234" t="n"/>
      <c r="CT114" s="234" t="n"/>
      <c r="CU114" s="234" t="n"/>
      <c r="CV114" s="234" t="n"/>
      <c r="CW114" s="234" t="n"/>
      <c r="CX114" s="234" t="n"/>
      <c r="CY114" s="234" t="n"/>
      <c r="CZ114" s="234" t="n"/>
      <c r="DA114" s="234" t="n"/>
      <c r="DB114" s="234" t="n"/>
      <c r="DC114" s="234" t="n"/>
      <c r="DD114" s="234" t="n"/>
      <c r="DE114" s="234" t="n"/>
      <c r="DF114" s="234" t="n"/>
      <c r="DG114" s="234" t="n"/>
      <c r="DH114" s="234" t="n"/>
      <c r="DI114" s="234" t="n"/>
      <c r="DJ114" s="234" t="n"/>
      <c r="DK114" s="234" t="n"/>
      <c r="DL114" s="234" t="n"/>
      <c r="DM114" s="234" t="n"/>
      <c r="DN114" s="234" t="n"/>
      <c r="DO114" s="234" t="n"/>
      <c r="DP114" s="234" t="n"/>
      <c r="DQ114" s="234" t="n"/>
      <c r="DR114" s="234" t="n"/>
      <c r="DS114" s="234" t="n"/>
      <c r="DT114" s="234" t="n"/>
      <c r="DU114" s="234" t="n"/>
      <c r="DV114" s="234" t="n"/>
      <c r="DW114" s="234" t="n"/>
      <c r="DX114" s="234" t="n"/>
      <c r="DY114" s="234" t="n"/>
      <c r="DZ114" s="234" t="n"/>
      <c r="EA114" s="234" t="n"/>
      <c r="EB114" s="234" t="n"/>
      <c r="EC114" s="234" t="n"/>
      <c r="ED114" s="234" t="n"/>
      <c r="EE114" s="234" t="n"/>
      <c r="EF114" s="234" t="n"/>
      <c r="EG114" s="234" t="n"/>
      <c r="EH114" s="234" t="n"/>
      <c r="EI114" s="234" t="n"/>
      <c r="EJ114" s="234" t="n"/>
      <c r="EK114" s="234" t="n"/>
      <c r="EL114" s="234" t="n"/>
      <c r="EM114" s="234" t="n"/>
      <c r="EN114" s="234" t="n"/>
      <c r="EO114" s="234" t="n"/>
      <c r="EP114" s="234" t="n"/>
      <c r="EQ114" s="234" t="n"/>
      <c r="ER114" s="234" t="n"/>
      <c r="ES114" s="234" t="n"/>
      <c r="ET114" s="234" t="n"/>
      <c r="EU114" s="234" t="n"/>
      <c r="EV114" s="234" t="n"/>
      <c r="EW114" s="234" t="n"/>
      <c r="EX114" s="234" t="n"/>
      <c r="EY114" s="234" t="n"/>
      <c r="EZ114" s="234" t="n"/>
      <c r="FA114" s="234" t="n"/>
      <c r="FB114" s="234" t="n"/>
      <c r="FC114" s="234" t="n"/>
      <c r="FD114" s="234" t="n"/>
      <c r="FE114" s="234" t="n"/>
      <c r="FF114" s="234" t="n"/>
      <c r="FG114" s="234" t="n"/>
      <c r="FH114" s="234" t="n"/>
      <c r="FI114" s="234" t="n"/>
      <c r="FJ114" s="234" t="n"/>
      <c r="FK114" s="234" t="n"/>
      <c r="FL114" s="234" t="n"/>
      <c r="FM114" s="234" t="n"/>
      <c r="FN114" s="234" t="n"/>
      <c r="FO114" s="234" t="n"/>
      <c r="FP114" s="234" t="n"/>
      <c r="FQ114" s="234" t="n"/>
      <c r="FR114" s="234" t="n"/>
      <c r="FS114" s="234" t="n"/>
      <c r="FT114" s="234" t="n"/>
      <c r="FU114" s="234" t="n"/>
      <c r="FV114" s="234" t="n"/>
      <c r="FW114" s="234" t="n"/>
      <c r="FX114" s="234" t="n"/>
      <c r="FY114" s="234" t="n"/>
      <c r="FZ114" s="234" t="n"/>
      <c r="GA114" s="234" t="n"/>
      <c r="GB114" s="234" t="n"/>
      <c r="GC114" s="234" t="n"/>
      <c r="GD114" s="234" t="n"/>
      <c r="GE114" s="234" t="n"/>
      <c r="GF114" s="234" t="n"/>
      <c r="GG114" s="234" t="n"/>
      <c r="GH114" s="234" t="n"/>
      <c r="GI114" s="234" t="n"/>
      <c r="GJ114" s="234" t="n"/>
      <c r="GK114" s="234" t="n"/>
      <c r="GL114" s="234" t="n"/>
      <c r="GM114" s="234" t="n"/>
      <c r="GN114" s="234" t="n"/>
      <c r="GO114" s="234" t="n"/>
      <c r="GP114" s="234" t="n"/>
      <c r="GQ114" s="234" t="n"/>
      <c r="GR114" s="234" t="n"/>
      <c r="GS114" s="234" t="n"/>
      <c r="GT114" s="234" t="n"/>
      <c r="GU114" s="234" t="n"/>
      <c r="GV114" s="234" t="n"/>
      <c r="GW114" s="234" t="n"/>
      <c r="GX114" s="234" t="n"/>
      <c r="GY114" s="234" t="n"/>
      <c r="GZ114" s="234" t="n"/>
      <c r="HA114" s="234" t="n"/>
      <c r="HB114" s="234" t="n"/>
      <c r="HC114" s="234" t="n"/>
      <c r="HD114" s="234" t="n"/>
      <c r="HE114" s="234" t="n"/>
      <c r="HF114" s="234" t="n"/>
      <c r="HG114" s="234" t="n"/>
      <c r="HH114" s="234" t="n"/>
      <c r="HI114" s="234" t="n"/>
      <c r="HJ114" s="234" t="n"/>
      <c r="HK114" s="234" t="n"/>
      <c r="HL114" s="234" t="n"/>
      <c r="HM114" s="234" t="n"/>
      <c r="HN114" s="234" t="n"/>
      <c r="HO114" s="234" t="n"/>
      <c r="HP114" s="234" t="n"/>
      <c r="HQ114" s="234" t="n"/>
      <c r="HR114" s="234" t="n"/>
      <c r="HS114" s="234" t="n"/>
      <c r="HT114" s="234" t="n"/>
      <c r="HU114" s="234" t="n"/>
      <c r="HV114" s="234" t="n"/>
      <c r="HW114" s="234" t="n"/>
      <c r="HX114" s="234" t="n"/>
      <c r="HY114" s="234" t="n"/>
      <c r="HZ114" s="234" t="n"/>
      <c r="IA114" s="234" t="n"/>
      <c r="IB114" s="234" t="n"/>
      <c r="IC114" s="234" t="n"/>
      <c r="ID114" s="234" t="n"/>
      <c r="IE114" s="234" t="n"/>
      <c r="IF114" s="234" t="n"/>
      <c r="IG114" s="234" t="n"/>
      <c r="IH114" s="234" t="n"/>
      <c r="II114" s="234" t="n"/>
      <c r="IJ114" s="234" t="n"/>
      <c r="IK114" s="234" t="n"/>
      <c r="IL114" s="234" t="n"/>
      <c r="IM114" s="234" t="n"/>
      <c r="IN114" s="234" t="n"/>
      <c r="IO114" s="234" t="n"/>
      <c r="IP114" s="234" t="n"/>
      <c r="IQ114" s="234" t="n"/>
      <c r="IR114" s="234" t="n"/>
      <c r="IS114" s="234" t="n"/>
      <c r="IT114" s="234" t="n"/>
      <c r="IU114" s="234" t="n"/>
      <c r="IV114" s="234" t="n"/>
      <c r="IW114" s="234" t="n"/>
      <c r="IX114" s="234" t="n"/>
      <c r="IY114" s="234" t="n"/>
      <c r="IZ114" s="234" t="n"/>
      <c r="JA114" s="234" t="n"/>
      <c r="JB114" s="234" t="n"/>
      <c r="JC114" s="234" t="n"/>
      <c r="JD114" s="234" t="n"/>
      <c r="JE114" s="234" t="n"/>
      <c r="JF114" s="234" t="n"/>
      <c r="JG114" s="234" t="n"/>
      <c r="JH114" s="234" t="n"/>
      <c r="JI114" s="234" t="n"/>
      <c r="JJ114" s="234" t="n"/>
      <c r="JK114" s="234" t="n"/>
      <c r="JL114" s="234" t="n"/>
      <c r="JM114" s="234" t="n"/>
      <c r="JN114" s="234" t="n"/>
      <c r="JO114" s="234" t="n"/>
      <c r="JP114" s="234" t="n"/>
      <c r="JQ114" s="234" t="n"/>
      <c r="JR114" s="234" t="n"/>
      <c r="JS114" s="234" t="n"/>
      <c r="JT114" s="234" t="n"/>
      <c r="JU114" s="234" t="n"/>
      <c r="JV114" s="234" t="n"/>
      <c r="JW114" s="234" t="n"/>
      <c r="JX114" s="234" t="n"/>
      <c r="JY114" s="234" t="n"/>
      <c r="JZ114" s="234" t="n"/>
      <c r="KA114" s="234" t="n"/>
      <c r="KB114" s="234" t="n"/>
      <c r="KC114" s="234" t="n"/>
      <c r="KD114" s="234" t="n"/>
      <c r="KE114" s="234" t="n"/>
      <c r="KF114" s="234" t="n"/>
      <c r="KG114" s="234" t="n"/>
      <c r="KH114" s="234" t="n"/>
      <c r="KI114" s="234" t="n"/>
      <c r="KJ114" s="234" t="n"/>
      <c r="KK114" s="234" t="n"/>
      <c r="KL114" s="234" t="n"/>
      <c r="KM114" s="234" t="n"/>
      <c r="KN114" s="234" t="n"/>
      <c r="KO114" s="234" t="n"/>
      <c r="KP114" s="234" t="n"/>
      <c r="KQ114" s="234" t="n"/>
      <c r="KR114" s="234" t="n"/>
      <c r="KS114" s="234" t="n"/>
      <c r="KT114" s="234" t="n"/>
      <c r="KU114" s="234" t="n"/>
      <c r="KV114" s="234" t="n"/>
      <c r="KW114" s="234" t="n"/>
      <c r="KX114" s="234" t="n"/>
      <c r="KY114" s="234" t="n"/>
      <c r="KZ114" s="234" t="n"/>
      <c r="LA114" s="234" t="n"/>
      <c r="LB114" s="234" t="n"/>
      <c r="LC114" s="234" t="n"/>
      <c r="LD114" s="234" t="n"/>
      <c r="LE114" s="234" t="n"/>
      <c r="LF114" s="234" t="n"/>
      <c r="LG114" s="234" t="n"/>
      <c r="LH114" s="234" t="n"/>
      <c r="LI114" s="234" t="n"/>
      <c r="LJ114" s="234" t="n"/>
      <c r="LK114" s="234" t="n"/>
      <c r="LL114" s="234" t="n"/>
      <c r="LM114" s="234" t="n"/>
      <c r="LN114" s="234" t="n"/>
      <c r="LO114" s="234" t="n"/>
      <c r="LP114" s="234" t="n"/>
      <c r="LQ114" s="234" t="n"/>
      <c r="LR114" s="234" t="n"/>
      <c r="LS114" s="234" t="n"/>
      <c r="LT114" s="234" t="n"/>
      <c r="LU114" s="234" t="n"/>
      <c r="LV114" s="234" t="n"/>
      <c r="LW114" s="234" t="n"/>
      <c r="LX114" s="234" t="n"/>
      <c r="LY114" s="234" t="n"/>
      <c r="LZ114" s="234" t="n"/>
      <c r="MA114" s="234" t="n"/>
      <c r="MB114" s="234" t="n"/>
      <c r="MC114" s="234" t="n"/>
      <c r="MD114" s="234" t="n"/>
      <c r="ME114" s="234" t="n"/>
      <c r="MF114" s="234" t="n"/>
      <c r="MG114" s="234" t="n"/>
      <c r="MH114" s="234" t="n"/>
      <c r="MI114" s="234" t="n"/>
      <c r="MJ114" s="234" t="n"/>
      <c r="MK114" s="234" t="n"/>
      <c r="ML114" s="234" t="n"/>
      <c r="MM114" s="234" t="n"/>
      <c r="MN114" s="234" t="n"/>
      <c r="MO114" s="234" t="n"/>
      <c r="MP114" s="234" t="n"/>
      <c r="MQ114" s="234" t="n"/>
      <c r="MR114" s="234" t="n"/>
      <c r="MS114" s="234" t="n"/>
      <c r="MT114" s="234" t="n"/>
      <c r="MU114" s="234" t="n"/>
      <c r="MV114" s="234" t="n"/>
      <c r="MW114" s="234" t="n"/>
      <c r="MX114" s="234" t="n"/>
      <c r="MY114" s="234" t="n"/>
      <c r="MZ114" s="234" t="n"/>
      <c r="NA114" s="234" t="n"/>
      <c r="NB114" s="234" t="n"/>
    </row>
  </sheetData>
  <mergeCells count="10">
    <mergeCell ref="A20:L20"/>
    <mergeCell ref="A49:L49"/>
    <mergeCell ref="A19:NC19"/>
    <mergeCell ref="A5:L5"/>
    <mergeCell ref="A34:NC34"/>
    <mergeCell ref="A4:NC4"/>
    <mergeCell ref="A48:NC48"/>
    <mergeCell ref="A1:F3"/>
    <mergeCell ref="A108:NC108"/>
    <mergeCell ref="A35:L35"/>
  </mergeCells>
  <conditionalFormatting sqref="B22:NC31">
    <cfRule type="colorScale" priority="2">
      <colorScale>
        <cfvo type="min" val="0"/>
        <cfvo type="percentile" val="50"/>
        <cfvo type="max" val="0"/>
        <color rgb="FFFFFFFF"/>
        <color rgb="FFDDEFEA"/>
        <color rgb="FF5FA9A4"/>
      </colorScale>
    </cfRule>
  </conditionalFormatting>
  <conditionalFormatting sqref="B7:NF16">
    <cfRule type="colorScale" priority="3">
      <colorScale>
        <cfvo type="min" val="0"/>
        <cfvo type="percentile" val="50"/>
        <cfvo type="max" val="0"/>
        <color rgb="FFFFFFFF"/>
        <color rgb="FFDDEFEA"/>
        <color rgb="FF5FA9A4"/>
      </colorScale>
    </cfRule>
  </conditionalFormatting>
  <conditionalFormatting sqref="B37:NC45">
    <cfRule type="colorScale" priority="4">
      <colorScale>
        <cfvo type="min" val="0"/>
        <cfvo type="percentile" val="50"/>
        <cfvo type="max" val="0"/>
        <color rgb="FFFFFFFF"/>
        <color rgb="FFDDEFEA"/>
        <color rgb="FF5FA9A4"/>
      </colorScale>
    </cfRule>
  </conditionalFormatting>
  <conditionalFormatting sqref="B51:NC105">
    <cfRule type="colorScale" priority="5">
      <colorScale>
        <cfvo type="min" val="0"/>
        <cfvo type="percentile" val="50"/>
        <cfvo type="max" val="0"/>
        <color rgb="FFFFFFFF"/>
        <color rgb="FFDDEFEA"/>
        <color rgb="FF5FA9A4"/>
      </colorScale>
    </cfRule>
  </conditionalFormatting>
  <conditionalFormatting sqref="C7:NB16">
    <cfRule type="cellIs" rank="0" priority="6" equalAverage="0" operator="lessThan" aboveAverage="0" dxfId="0" text="" percent="0" bottom="0">
      <formula>B7</formula>
    </cfRule>
  </conditionalFormatting>
  <conditionalFormatting sqref="C22:NB31">
    <cfRule type="cellIs" rank="0" priority="7" equalAverage="0" operator="lessThan" aboveAverage="0" dxfId="0" text="" percent="0" bottom="0">
      <formula>B22</formula>
    </cfRule>
  </conditionalFormatting>
  <conditionalFormatting sqref="C37:NB45">
    <cfRule type="cellIs" rank="0" priority="8" equalAverage="0" operator="lessThan" aboveAverage="0" dxfId="0" text="" percent="0" bottom="0">
      <formula>B37</formula>
    </cfRule>
  </conditionalFormatting>
  <conditionalFormatting sqref="C51:NB105">
    <cfRule type="cellIs" rank="0" priority="9" equalAverage="0" operator="lessThan" aboveAverage="0" dxfId="0" text="" percent="0" bottom="0">
      <formula>B51</formula>
    </cfRule>
  </conditionalFormatting>
  <dataValidations count="2">
    <dataValidation sqref="B7:NB16 B22:NB31 B37:NB45 B51:NB105" showDropDown="0" showInputMessage="0" showErrorMessage="0" allowBlank="1" errorTitle="Invalid value" error="Please enter a number equal to or greater than 0." promptTitle="Meter Reading" prompt="Enter the cumulative meter reading for this date (opening/closing reading)." type="decimal" errorStyle="stop" operator="greaterThanOrEqual">
      <formula1>0</formula1>
      <formula2>0</formula2>
    </dataValidation>
    <dataValidation sqref="B112:NB112" showDropDown="0" showInputMessage="0" showErrorMessage="0" allowBlank="1" promptTitle="Occupancy Rate" prompt="Enter occupancy as a decimal percentage, e.g. 85%." type="decimal" errorStyle="stop" operator="between">
      <formula1>0</formula1>
      <formula2>1</formula2>
    </dataValidation>
  </dataValidations>
  <hyperlinks>
    <hyperlink ref="A1" location="'Menu'!A1" display="#'Menu'.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D99694"/>
    <outlinePr summaryBelow="1" summaryRight="1"/>
    <pageSetUpPr fitToPage="0"/>
  </sheetPr>
  <dimension ref="A1:NE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4" activeCellId="0" sqref="I4"/>
    </sheetView>
  </sheetViews>
  <sheetFormatPr baseColWidth="8" defaultColWidth="8.6796875" defaultRowHeight="15" customHeight="1" zeroHeight="0" outlineLevelRow="0"/>
  <cols>
    <col width="29.14" customWidth="1" style="165" min="1" max="1"/>
    <col width="22.71" customWidth="1" style="165" min="2" max="2"/>
    <col width="11.71" customWidth="1" style="165" min="3" max="369"/>
  </cols>
  <sheetData>
    <row r="1" ht="15" customHeight="1" s="166">
      <c r="A1" s="204" t="n"/>
      <c r="H1" s="235" t="inlineStr">
        <is>
          <t xml:space="preserve"> </t>
        </is>
      </c>
      <c r="I1" s="235" t="inlineStr">
        <is>
          <t xml:space="preserve"> </t>
        </is>
      </c>
      <c r="J1" s="235" t="inlineStr">
        <is>
          <t xml:space="preserve"> </t>
        </is>
      </c>
      <c r="K1" s="235" t="inlineStr">
        <is>
          <t xml:space="preserve"> </t>
        </is>
      </c>
      <c r="L1" s="235" t="inlineStr">
        <is>
          <t xml:space="preserve"> </t>
        </is>
      </c>
      <c r="M1" s="235" t="inlineStr">
        <is>
          <t xml:space="preserve"> </t>
        </is>
      </c>
      <c r="N1" s="235" t="inlineStr">
        <is>
          <t xml:space="preserve"> </t>
        </is>
      </c>
      <c r="O1" s="235" t="inlineStr">
        <is>
          <t xml:space="preserve"> </t>
        </is>
      </c>
      <c r="P1" s="235" t="inlineStr">
        <is>
          <t xml:space="preserve"> </t>
        </is>
      </c>
      <c r="Q1" s="235" t="inlineStr">
        <is>
          <t xml:space="preserve"> </t>
        </is>
      </c>
      <c r="R1" s="235" t="inlineStr">
        <is>
          <t xml:space="preserve"> </t>
        </is>
      </c>
      <c r="S1" s="235" t="inlineStr">
        <is>
          <t xml:space="preserve"> </t>
        </is>
      </c>
      <c r="T1" s="235" t="inlineStr">
        <is>
          <t xml:space="preserve"> </t>
        </is>
      </c>
      <c r="U1" s="235" t="inlineStr">
        <is>
          <t xml:space="preserve"> </t>
        </is>
      </c>
      <c r="V1" s="235" t="inlineStr">
        <is>
          <t xml:space="preserve"> </t>
        </is>
      </c>
      <c r="W1" s="235" t="inlineStr">
        <is>
          <t xml:space="preserve"> </t>
        </is>
      </c>
      <c r="X1" s="235" t="inlineStr">
        <is>
          <t xml:space="preserve"> </t>
        </is>
      </c>
      <c r="Y1" s="235" t="inlineStr">
        <is>
          <t xml:space="preserve"> </t>
        </is>
      </c>
      <c r="Z1" s="235" t="inlineStr">
        <is>
          <t xml:space="preserve"> </t>
        </is>
      </c>
      <c r="AA1" s="235" t="inlineStr">
        <is>
          <t xml:space="preserve"> </t>
        </is>
      </c>
      <c r="AB1" s="235" t="inlineStr">
        <is>
          <t xml:space="preserve"> </t>
        </is>
      </c>
      <c r="AC1" s="235" t="inlineStr">
        <is>
          <t xml:space="preserve"> </t>
        </is>
      </c>
      <c r="AD1" s="235" t="inlineStr">
        <is>
          <t xml:space="preserve"> </t>
        </is>
      </c>
      <c r="AE1" s="235" t="inlineStr">
        <is>
          <t xml:space="preserve"> </t>
        </is>
      </c>
      <c r="AF1" s="235" t="inlineStr">
        <is>
          <t xml:space="preserve"> </t>
        </is>
      </c>
      <c r="AG1" s="235" t="inlineStr">
        <is>
          <t xml:space="preserve"> </t>
        </is>
      </c>
      <c r="AH1" s="235" t="inlineStr">
        <is>
          <t xml:space="preserve"> </t>
        </is>
      </c>
      <c r="AI1" s="235" t="inlineStr">
        <is>
          <t xml:space="preserve"> </t>
        </is>
      </c>
      <c r="AJ1" s="235" t="inlineStr">
        <is>
          <t xml:space="preserve"> </t>
        </is>
      </c>
      <c r="AK1" s="235" t="inlineStr">
        <is>
          <t xml:space="preserve"> </t>
        </is>
      </c>
      <c r="AL1" s="235" t="inlineStr">
        <is>
          <t xml:space="preserve"> </t>
        </is>
      </c>
      <c r="AM1" s="235" t="inlineStr">
        <is>
          <t xml:space="preserve"> </t>
        </is>
      </c>
      <c r="AN1" s="235" t="inlineStr">
        <is>
          <t xml:space="preserve"> </t>
        </is>
      </c>
      <c r="AO1" s="235" t="inlineStr">
        <is>
          <t xml:space="preserve"> </t>
        </is>
      </c>
      <c r="AP1" s="235" t="inlineStr">
        <is>
          <t xml:space="preserve"> </t>
        </is>
      </c>
      <c r="AQ1" s="236" t="inlineStr">
        <is>
          <t xml:space="preserve"> </t>
        </is>
      </c>
      <c r="AR1" s="235" t="inlineStr">
        <is>
          <t xml:space="preserve"> </t>
        </is>
      </c>
      <c r="AS1" s="235" t="inlineStr">
        <is>
          <t xml:space="preserve"> </t>
        </is>
      </c>
      <c r="AT1" s="235" t="inlineStr">
        <is>
          <t xml:space="preserve"> </t>
        </is>
      </c>
      <c r="AU1" s="235" t="inlineStr">
        <is>
          <t xml:space="preserve"> </t>
        </is>
      </c>
      <c r="AV1" s="235" t="inlineStr">
        <is>
          <t xml:space="preserve"> </t>
        </is>
      </c>
      <c r="AW1" s="235" t="inlineStr">
        <is>
          <t xml:space="preserve"> </t>
        </is>
      </c>
      <c r="AX1" s="235" t="inlineStr">
        <is>
          <t xml:space="preserve"> </t>
        </is>
      </c>
      <c r="AY1" s="235" t="inlineStr">
        <is>
          <t xml:space="preserve"> </t>
        </is>
      </c>
      <c r="AZ1" s="235" t="inlineStr">
        <is>
          <t xml:space="preserve"> </t>
        </is>
      </c>
      <c r="BA1" s="235" t="inlineStr">
        <is>
          <t xml:space="preserve"> </t>
        </is>
      </c>
      <c r="BB1" s="235" t="inlineStr">
        <is>
          <t xml:space="preserve"> </t>
        </is>
      </c>
      <c r="BC1" s="235" t="inlineStr">
        <is>
          <t xml:space="preserve"> </t>
        </is>
      </c>
      <c r="BD1" s="235" t="inlineStr">
        <is>
          <t xml:space="preserve"> </t>
        </is>
      </c>
      <c r="BE1" s="235" t="inlineStr">
        <is>
          <t xml:space="preserve"> </t>
        </is>
      </c>
      <c r="BF1" s="235" t="inlineStr">
        <is>
          <t xml:space="preserve"> </t>
        </is>
      </c>
      <c r="BG1" s="235" t="inlineStr">
        <is>
          <t xml:space="preserve"> </t>
        </is>
      </c>
      <c r="BH1" s="235" t="inlineStr">
        <is>
          <t xml:space="preserve"> </t>
        </is>
      </c>
      <c r="BI1" s="235" t="inlineStr">
        <is>
          <t xml:space="preserve"> </t>
        </is>
      </c>
      <c r="BJ1" s="235" t="inlineStr">
        <is>
          <t xml:space="preserve"> </t>
        </is>
      </c>
      <c r="BK1" s="235" t="inlineStr">
        <is>
          <t xml:space="preserve"> </t>
        </is>
      </c>
      <c r="BL1" s="235" t="inlineStr">
        <is>
          <t xml:space="preserve"> </t>
        </is>
      </c>
      <c r="BM1" s="235" t="inlineStr">
        <is>
          <t xml:space="preserve"> </t>
        </is>
      </c>
      <c r="BN1" s="235" t="inlineStr">
        <is>
          <t xml:space="preserve"> </t>
        </is>
      </c>
      <c r="BO1" s="235" t="inlineStr">
        <is>
          <t xml:space="preserve"> </t>
        </is>
      </c>
      <c r="BP1" s="235" t="inlineStr">
        <is>
          <t xml:space="preserve"> </t>
        </is>
      </c>
      <c r="BQ1" s="235" t="inlineStr">
        <is>
          <t xml:space="preserve"> </t>
        </is>
      </c>
      <c r="BR1" s="235" t="inlineStr">
        <is>
          <t xml:space="preserve"> </t>
        </is>
      </c>
      <c r="BS1" s="235" t="inlineStr">
        <is>
          <t xml:space="preserve"> </t>
        </is>
      </c>
      <c r="BT1" s="235" t="inlineStr">
        <is>
          <t xml:space="preserve"> </t>
        </is>
      </c>
      <c r="BU1" s="235" t="inlineStr">
        <is>
          <t xml:space="preserve"> </t>
        </is>
      </c>
      <c r="BV1" s="235" t="inlineStr">
        <is>
          <t xml:space="preserve"> </t>
        </is>
      </c>
      <c r="BW1" s="235" t="inlineStr">
        <is>
          <t xml:space="preserve"> </t>
        </is>
      </c>
      <c r="BX1" s="235" t="inlineStr">
        <is>
          <t xml:space="preserve"> </t>
        </is>
      </c>
      <c r="BY1" s="235" t="inlineStr">
        <is>
          <t xml:space="preserve"> </t>
        </is>
      </c>
      <c r="BZ1" s="235" t="inlineStr">
        <is>
          <t xml:space="preserve"> </t>
        </is>
      </c>
      <c r="CA1" s="235" t="inlineStr">
        <is>
          <t xml:space="preserve"> </t>
        </is>
      </c>
      <c r="CB1" s="235" t="inlineStr">
        <is>
          <t xml:space="preserve"> </t>
        </is>
      </c>
      <c r="CC1" s="235" t="inlineStr">
        <is>
          <t xml:space="preserve"> </t>
        </is>
      </c>
      <c r="CD1" s="235" t="inlineStr">
        <is>
          <t xml:space="preserve"> </t>
        </is>
      </c>
      <c r="CE1" s="235" t="inlineStr">
        <is>
          <t xml:space="preserve"> </t>
        </is>
      </c>
      <c r="CF1" s="235" t="inlineStr">
        <is>
          <t xml:space="preserve"> </t>
        </is>
      </c>
      <c r="CG1" s="235" t="inlineStr">
        <is>
          <t xml:space="preserve"> </t>
        </is>
      </c>
      <c r="CH1" s="235" t="inlineStr">
        <is>
          <t xml:space="preserve"> </t>
        </is>
      </c>
      <c r="CI1" s="235" t="inlineStr">
        <is>
          <t xml:space="preserve"> </t>
        </is>
      </c>
      <c r="CJ1" s="235" t="inlineStr">
        <is>
          <t xml:space="preserve"> </t>
        </is>
      </c>
      <c r="CK1" s="235" t="inlineStr">
        <is>
          <t xml:space="preserve"> </t>
        </is>
      </c>
      <c r="CL1" s="235" t="inlineStr">
        <is>
          <t xml:space="preserve"> </t>
        </is>
      </c>
      <c r="CM1" s="235" t="inlineStr">
        <is>
          <t xml:space="preserve"> </t>
        </is>
      </c>
      <c r="CN1" s="235" t="inlineStr">
        <is>
          <t xml:space="preserve"> </t>
        </is>
      </c>
      <c r="CO1" s="235" t="inlineStr">
        <is>
          <t xml:space="preserve"> </t>
        </is>
      </c>
      <c r="CP1" s="235" t="inlineStr">
        <is>
          <t xml:space="preserve"> </t>
        </is>
      </c>
      <c r="CQ1" s="235" t="inlineStr">
        <is>
          <t xml:space="preserve"> </t>
        </is>
      </c>
      <c r="CR1" s="235" t="inlineStr">
        <is>
          <t xml:space="preserve"> </t>
        </is>
      </c>
      <c r="CS1" s="235" t="inlineStr">
        <is>
          <t xml:space="preserve"> </t>
        </is>
      </c>
      <c r="CT1" s="235" t="inlineStr">
        <is>
          <t xml:space="preserve"> </t>
        </is>
      </c>
      <c r="CU1" s="235" t="inlineStr">
        <is>
          <t xml:space="preserve"> </t>
        </is>
      </c>
      <c r="CV1" s="235" t="inlineStr">
        <is>
          <t xml:space="preserve"> </t>
        </is>
      </c>
      <c r="CW1" s="235" t="inlineStr">
        <is>
          <t xml:space="preserve"> </t>
        </is>
      </c>
      <c r="CX1" s="235" t="inlineStr">
        <is>
          <t xml:space="preserve"> </t>
        </is>
      </c>
      <c r="CY1" s="235" t="inlineStr">
        <is>
          <t xml:space="preserve"> </t>
        </is>
      </c>
      <c r="CZ1" s="235" t="inlineStr">
        <is>
          <t xml:space="preserve"> </t>
        </is>
      </c>
      <c r="DA1" s="235" t="inlineStr">
        <is>
          <t xml:space="preserve"> </t>
        </is>
      </c>
      <c r="DB1" s="235" t="inlineStr">
        <is>
          <t xml:space="preserve"> </t>
        </is>
      </c>
      <c r="DC1" s="235" t="inlineStr">
        <is>
          <t xml:space="preserve"> </t>
        </is>
      </c>
      <c r="DD1" s="235" t="inlineStr">
        <is>
          <t xml:space="preserve"> </t>
        </is>
      </c>
      <c r="DE1" s="235" t="inlineStr">
        <is>
          <t xml:space="preserve"> </t>
        </is>
      </c>
      <c r="DF1" s="235" t="inlineStr">
        <is>
          <t xml:space="preserve"> </t>
        </is>
      </c>
      <c r="DG1" s="235" t="inlineStr">
        <is>
          <t xml:space="preserve"> </t>
        </is>
      </c>
      <c r="DH1" s="235" t="inlineStr">
        <is>
          <t xml:space="preserve"> </t>
        </is>
      </c>
      <c r="DI1" s="235" t="inlineStr">
        <is>
          <t xml:space="preserve"> </t>
        </is>
      </c>
      <c r="DJ1" s="235" t="inlineStr">
        <is>
          <t xml:space="preserve"> </t>
        </is>
      </c>
      <c r="DK1" s="235" t="inlineStr">
        <is>
          <t xml:space="preserve"> </t>
        </is>
      </c>
      <c r="DL1" s="235" t="inlineStr">
        <is>
          <t xml:space="preserve"> </t>
        </is>
      </c>
      <c r="DM1" s="235" t="inlineStr">
        <is>
          <t xml:space="preserve"> </t>
        </is>
      </c>
      <c r="DN1" s="235" t="inlineStr">
        <is>
          <t xml:space="preserve"> </t>
        </is>
      </c>
      <c r="DO1" s="235" t="inlineStr">
        <is>
          <t xml:space="preserve"> </t>
        </is>
      </c>
      <c r="DP1" s="235" t="inlineStr">
        <is>
          <t xml:space="preserve"> </t>
        </is>
      </c>
      <c r="DQ1" s="235" t="inlineStr">
        <is>
          <t xml:space="preserve"> </t>
        </is>
      </c>
      <c r="DR1" s="235" t="inlineStr">
        <is>
          <t xml:space="preserve"> </t>
        </is>
      </c>
      <c r="DS1" s="235" t="inlineStr">
        <is>
          <t xml:space="preserve"> </t>
        </is>
      </c>
      <c r="DT1" s="235" t="inlineStr">
        <is>
          <t xml:space="preserve"> </t>
        </is>
      </c>
      <c r="DU1" s="235" t="inlineStr">
        <is>
          <t xml:space="preserve"> </t>
        </is>
      </c>
      <c r="DV1" s="235" t="inlineStr">
        <is>
          <t xml:space="preserve"> </t>
        </is>
      </c>
      <c r="DW1" s="235" t="inlineStr">
        <is>
          <t xml:space="preserve"> </t>
        </is>
      </c>
      <c r="DX1" s="235" t="inlineStr">
        <is>
          <t xml:space="preserve"> </t>
        </is>
      </c>
      <c r="DY1" s="235" t="inlineStr">
        <is>
          <t xml:space="preserve"> </t>
        </is>
      </c>
      <c r="DZ1" s="235" t="inlineStr">
        <is>
          <t xml:space="preserve"> </t>
        </is>
      </c>
      <c r="EA1" s="235" t="inlineStr">
        <is>
          <t xml:space="preserve"> </t>
        </is>
      </c>
      <c r="EB1" s="235" t="inlineStr">
        <is>
          <t xml:space="preserve"> </t>
        </is>
      </c>
      <c r="EC1" s="235" t="inlineStr">
        <is>
          <t xml:space="preserve"> </t>
        </is>
      </c>
      <c r="ED1" s="235" t="inlineStr">
        <is>
          <t xml:space="preserve"> </t>
        </is>
      </c>
      <c r="EE1" s="235" t="inlineStr">
        <is>
          <t xml:space="preserve"> </t>
        </is>
      </c>
      <c r="EF1" s="235" t="inlineStr">
        <is>
          <t xml:space="preserve"> </t>
        </is>
      </c>
      <c r="EG1" s="235" t="inlineStr">
        <is>
          <t xml:space="preserve"> </t>
        </is>
      </c>
      <c r="EH1" s="235" t="inlineStr">
        <is>
          <t xml:space="preserve"> </t>
        </is>
      </c>
      <c r="EI1" s="235" t="inlineStr">
        <is>
          <t xml:space="preserve"> </t>
        </is>
      </c>
      <c r="EJ1" s="235" t="inlineStr">
        <is>
          <t xml:space="preserve"> </t>
        </is>
      </c>
      <c r="EK1" s="235" t="inlineStr">
        <is>
          <t xml:space="preserve"> </t>
        </is>
      </c>
      <c r="EL1" s="235" t="inlineStr">
        <is>
          <t xml:space="preserve"> </t>
        </is>
      </c>
      <c r="EM1" s="235" t="inlineStr">
        <is>
          <t xml:space="preserve"> </t>
        </is>
      </c>
      <c r="EN1" s="235" t="inlineStr">
        <is>
          <t xml:space="preserve"> </t>
        </is>
      </c>
      <c r="EO1" s="235" t="inlineStr">
        <is>
          <t xml:space="preserve"> </t>
        </is>
      </c>
      <c r="EP1" s="235" t="inlineStr">
        <is>
          <t xml:space="preserve"> </t>
        </is>
      </c>
      <c r="EQ1" s="235" t="inlineStr">
        <is>
          <t xml:space="preserve"> </t>
        </is>
      </c>
      <c r="ER1" s="235" t="inlineStr">
        <is>
          <t xml:space="preserve"> </t>
        </is>
      </c>
      <c r="ES1" s="235" t="inlineStr">
        <is>
          <t xml:space="preserve"> </t>
        </is>
      </c>
      <c r="ET1" s="235" t="inlineStr">
        <is>
          <t xml:space="preserve"> </t>
        </is>
      </c>
      <c r="EU1" s="235" t="inlineStr">
        <is>
          <t xml:space="preserve"> </t>
        </is>
      </c>
      <c r="EV1" s="235" t="inlineStr">
        <is>
          <t xml:space="preserve"> </t>
        </is>
      </c>
      <c r="EW1" s="235" t="inlineStr">
        <is>
          <t xml:space="preserve"> </t>
        </is>
      </c>
      <c r="EX1" s="235" t="inlineStr">
        <is>
          <t xml:space="preserve"> </t>
        </is>
      </c>
      <c r="EY1" s="235" t="inlineStr">
        <is>
          <t xml:space="preserve"> </t>
        </is>
      </c>
      <c r="EZ1" s="235" t="inlineStr">
        <is>
          <t xml:space="preserve"> </t>
        </is>
      </c>
      <c r="FA1" s="235" t="inlineStr">
        <is>
          <t xml:space="preserve"> </t>
        </is>
      </c>
      <c r="FB1" s="235" t="inlineStr">
        <is>
          <t xml:space="preserve"> </t>
        </is>
      </c>
      <c r="FC1" s="235" t="inlineStr">
        <is>
          <t xml:space="preserve"> </t>
        </is>
      </c>
      <c r="FD1" s="235" t="inlineStr">
        <is>
          <t xml:space="preserve"> </t>
        </is>
      </c>
      <c r="FE1" s="235" t="inlineStr">
        <is>
          <t xml:space="preserve"> </t>
        </is>
      </c>
      <c r="FF1" s="235" t="inlineStr">
        <is>
          <t xml:space="preserve"> </t>
        </is>
      </c>
      <c r="FG1" s="235" t="inlineStr">
        <is>
          <t xml:space="preserve"> </t>
        </is>
      </c>
      <c r="FH1" s="235" t="inlineStr">
        <is>
          <t xml:space="preserve"> </t>
        </is>
      </c>
      <c r="FI1" s="235" t="inlineStr">
        <is>
          <t xml:space="preserve"> </t>
        </is>
      </c>
      <c r="FJ1" s="235" t="inlineStr">
        <is>
          <t xml:space="preserve"> </t>
        </is>
      </c>
      <c r="FK1" s="235" t="inlineStr">
        <is>
          <t xml:space="preserve"> </t>
        </is>
      </c>
      <c r="FL1" s="235" t="inlineStr">
        <is>
          <t xml:space="preserve"> </t>
        </is>
      </c>
      <c r="FM1" s="235" t="inlineStr">
        <is>
          <t xml:space="preserve"> </t>
        </is>
      </c>
      <c r="FN1" s="235" t="inlineStr">
        <is>
          <t xml:space="preserve"> </t>
        </is>
      </c>
      <c r="FO1" s="235" t="inlineStr">
        <is>
          <t xml:space="preserve"> </t>
        </is>
      </c>
      <c r="FP1" s="235" t="inlineStr">
        <is>
          <t xml:space="preserve"> </t>
        </is>
      </c>
      <c r="FQ1" s="235" t="inlineStr">
        <is>
          <t xml:space="preserve"> </t>
        </is>
      </c>
      <c r="FR1" s="235" t="inlineStr">
        <is>
          <t xml:space="preserve"> </t>
        </is>
      </c>
      <c r="FS1" s="235" t="inlineStr">
        <is>
          <t xml:space="preserve"> </t>
        </is>
      </c>
      <c r="FT1" s="235" t="inlineStr">
        <is>
          <t xml:space="preserve"> </t>
        </is>
      </c>
      <c r="FU1" s="235" t="inlineStr">
        <is>
          <t xml:space="preserve"> </t>
        </is>
      </c>
      <c r="FV1" s="235" t="inlineStr">
        <is>
          <t xml:space="preserve"> </t>
        </is>
      </c>
      <c r="FW1" s="235" t="inlineStr">
        <is>
          <t xml:space="preserve"> </t>
        </is>
      </c>
      <c r="FX1" s="235" t="inlineStr">
        <is>
          <t xml:space="preserve"> </t>
        </is>
      </c>
      <c r="FY1" s="235" t="inlineStr">
        <is>
          <t xml:space="preserve"> </t>
        </is>
      </c>
      <c r="FZ1" s="235" t="inlineStr">
        <is>
          <t xml:space="preserve"> </t>
        </is>
      </c>
      <c r="GA1" s="235" t="inlineStr">
        <is>
          <t xml:space="preserve"> </t>
        </is>
      </c>
      <c r="GB1" s="235" t="inlineStr">
        <is>
          <t xml:space="preserve"> </t>
        </is>
      </c>
      <c r="GC1" s="235" t="inlineStr">
        <is>
          <t xml:space="preserve"> </t>
        </is>
      </c>
      <c r="GD1" s="235" t="inlineStr">
        <is>
          <t xml:space="preserve"> </t>
        </is>
      </c>
      <c r="GE1" s="235" t="inlineStr">
        <is>
          <t xml:space="preserve"> </t>
        </is>
      </c>
      <c r="GF1" s="235" t="inlineStr">
        <is>
          <t xml:space="preserve"> </t>
        </is>
      </c>
      <c r="GG1" s="235" t="inlineStr">
        <is>
          <t xml:space="preserve"> </t>
        </is>
      </c>
      <c r="GH1" s="235" t="inlineStr">
        <is>
          <t xml:space="preserve"> </t>
        </is>
      </c>
      <c r="GI1" s="235" t="inlineStr">
        <is>
          <t xml:space="preserve"> </t>
        </is>
      </c>
      <c r="GJ1" s="235" t="inlineStr">
        <is>
          <t xml:space="preserve"> </t>
        </is>
      </c>
      <c r="GK1" s="235" t="inlineStr">
        <is>
          <t xml:space="preserve"> </t>
        </is>
      </c>
      <c r="GL1" s="235" t="inlineStr">
        <is>
          <t xml:space="preserve"> </t>
        </is>
      </c>
      <c r="GM1" s="235" t="inlineStr">
        <is>
          <t xml:space="preserve"> </t>
        </is>
      </c>
      <c r="GN1" s="235" t="inlineStr">
        <is>
          <t xml:space="preserve"> </t>
        </is>
      </c>
      <c r="GO1" s="235" t="inlineStr">
        <is>
          <t xml:space="preserve"> </t>
        </is>
      </c>
      <c r="GP1" s="235" t="inlineStr">
        <is>
          <t xml:space="preserve"> </t>
        </is>
      </c>
      <c r="GQ1" s="235" t="inlineStr">
        <is>
          <t xml:space="preserve"> </t>
        </is>
      </c>
      <c r="GR1" s="235" t="inlineStr">
        <is>
          <t xml:space="preserve"> </t>
        </is>
      </c>
      <c r="GS1" s="235" t="inlineStr">
        <is>
          <t xml:space="preserve"> </t>
        </is>
      </c>
      <c r="GT1" s="235" t="inlineStr">
        <is>
          <t xml:space="preserve"> </t>
        </is>
      </c>
      <c r="GU1" s="235" t="inlineStr">
        <is>
          <t xml:space="preserve"> </t>
        </is>
      </c>
      <c r="GV1" s="235" t="inlineStr">
        <is>
          <t xml:space="preserve"> </t>
        </is>
      </c>
      <c r="GW1" s="235" t="inlineStr">
        <is>
          <t xml:space="preserve"> </t>
        </is>
      </c>
      <c r="GX1" s="235" t="inlineStr">
        <is>
          <t xml:space="preserve"> </t>
        </is>
      </c>
      <c r="GY1" s="235" t="inlineStr">
        <is>
          <t xml:space="preserve"> </t>
        </is>
      </c>
      <c r="GZ1" s="235" t="inlineStr">
        <is>
          <t xml:space="preserve"> </t>
        </is>
      </c>
      <c r="HA1" s="235" t="inlineStr">
        <is>
          <t xml:space="preserve"> </t>
        </is>
      </c>
      <c r="HB1" s="235" t="inlineStr">
        <is>
          <t xml:space="preserve"> </t>
        </is>
      </c>
      <c r="HC1" s="235" t="inlineStr">
        <is>
          <t xml:space="preserve"> </t>
        </is>
      </c>
      <c r="HD1" s="235" t="inlineStr">
        <is>
          <t xml:space="preserve"> </t>
        </is>
      </c>
      <c r="HE1" s="235" t="inlineStr">
        <is>
          <t xml:space="preserve"> </t>
        </is>
      </c>
      <c r="HF1" s="235" t="inlineStr">
        <is>
          <t xml:space="preserve"> </t>
        </is>
      </c>
      <c r="HG1" s="235" t="inlineStr">
        <is>
          <t xml:space="preserve"> </t>
        </is>
      </c>
      <c r="HH1" s="235" t="inlineStr">
        <is>
          <t xml:space="preserve"> </t>
        </is>
      </c>
      <c r="HI1" s="235" t="inlineStr">
        <is>
          <t xml:space="preserve"> </t>
        </is>
      </c>
      <c r="HJ1" s="235" t="inlineStr">
        <is>
          <t xml:space="preserve"> </t>
        </is>
      </c>
      <c r="HK1" s="235" t="inlineStr">
        <is>
          <t xml:space="preserve"> </t>
        </is>
      </c>
      <c r="HL1" s="235" t="inlineStr">
        <is>
          <t xml:space="preserve"> </t>
        </is>
      </c>
      <c r="HM1" s="235" t="inlineStr">
        <is>
          <t xml:space="preserve"> </t>
        </is>
      </c>
      <c r="HN1" s="235" t="inlineStr">
        <is>
          <t xml:space="preserve"> </t>
        </is>
      </c>
      <c r="HO1" s="235" t="inlineStr">
        <is>
          <t xml:space="preserve"> </t>
        </is>
      </c>
      <c r="HP1" s="235" t="inlineStr">
        <is>
          <t xml:space="preserve"> </t>
        </is>
      </c>
      <c r="HQ1" s="235" t="inlineStr">
        <is>
          <t xml:space="preserve"> </t>
        </is>
      </c>
      <c r="HR1" s="235" t="inlineStr">
        <is>
          <t xml:space="preserve"> </t>
        </is>
      </c>
      <c r="HS1" s="235" t="inlineStr">
        <is>
          <t xml:space="preserve"> </t>
        </is>
      </c>
      <c r="HT1" s="235" t="inlineStr">
        <is>
          <t xml:space="preserve"> </t>
        </is>
      </c>
      <c r="HU1" s="235" t="inlineStr">
        <is>
          <t xml:space="preserve"> </t>
        </is>
      </c>
      <c r="HV1" s="235" t="inlineStr">
        <is>
          <t xml:space="preserve"> </t>
        </is>
      </c>
      <c r="HW1" s="235" t="inlineStr">
        <is>
          <t xml:space="preserve"> </t>
        </is>
      </c>
      <c r="HX1" s="235" t="inlineStr">
        <is>
          <t xml:space="preserve"> </t>
        </is>
      </c>
      <c r="HY1" s="235" t="inlineStr">
        <is>
          <t xml:space="preserve"> </t>
        </is>
      </c>
      <c r="HZ1" s="235" t="inlineStr">
        <is>
          <t xml:space="preserve"> </t>
        </is>
      </c>
      <c r="IA1" s="235" t="inlineStr">
        <is>
          <t xml:space="preserve"> </t>
        </is>
      </c>
      <c r="IB1" s="235" t="inlineStr">
        <is>
          <t xml:space="preserve"> </t>
        </is>
      </c>
      <c r="IC1" s="235" t="inlineStr">
        <is>
          <t xml:space="preserve"> </t>
        </is>
      </c>
      <c r="ID1" s="235" t="inlineStr">
        <is>
          <t xml:space="preserve"> </t>
        </is>
      </c>
      <c r="IE1" s="235" t="inlineStr">
        <is>
          <t xml:space="preserve"> </t>
        </is>
      </c>
      <c r="IF1" s="235" t="inlineStr">
        <is>
          <t xml:space="preserve"> </t>
        </is>
      </c>
      <c r="IG1" s="235" t="inlineStr">
        <is>
          <t xml:space="preserve"> </t>
        </is>
      </c>
      <c r="IH1" s="235" t="inlineStr">
        <is>
          <t xml:space="preserve"> </t>
        </is>
      </c>
      <c r="II1" s="235" t="inlineStr">
        <is>
          <t xml:space="preserve"> </t>
        </is>
      </c>
      <c r="IJ1" s="235" t="inlineStr">
        <is>
          <t xml:space="preserve"> </t>
        </is>
      </c>
      <c r="IK1" s="235" t="inlineStr">
        <is>
          <t xml:space="preserve"> </t>
        </is>
      </c>
      <c r="IL1" s="235" t="inlineStr">
        <is>
          <t xml:space="preserve"> </t>
        </is>
      </c>
      <c r="IM1" s="235" t="inlineStr">
        <is>
          <t xml:space="preserve"> </t>
        </is>
      </c>
      <c r="IN1" s="235" t="inlineStr">
        <is>
          <t xml:space="preserve"> </t>
        </is>
      </c>
      <c r="IO1" s="235" t="inlineStr">
        <is>
          <t xml:space="preserve"> </t>
        </is>
      </c>
      <c r="IP1" s="235" t="inlineStr">
        <is>
          <t xml:space="preserve"> </t>
        </is>
      </c>
      <c r="IQ1" s="235" t="inlineStr">
        <is>
          <t xml:space="preserve"> </t>
        </is>
      </c>
      <c r="IR1" s="235" t="inlineStr">
        <is>
          <t xml:space="preserve"> </t>
        </is>
      </c>
      <c r="IS1" s="235" t="inlineStr">
        <is>
          <t xml:space="preserve"> </t>
        </is>
      </c>
      <c r="IT1" s="235" t="inlineStr">
        <is>
          <t xml:space="preserve"> </t>
        </is>
      </c>
      <c r="IU1" s="235" t="inlineStr">
        <is>
          <t xml:space="preserve"> </t>
        </is>
      </c>
      <c r="IV1" s="235" t="inlineStr">
        <is>
          <t xml:space="preserve"> </t>
        </is>
      </c>
      <c r="IW1" s="235" t="inlineStr">
        <is>
          <t xml:space="preserve"> </t>
        </is>
      </c>
      <c r="IX1" s="235" t="inlineStr">
        <is>
          <t xml:space="preserve"> </t>
        </is>
      </c>
      <c r="IY1" s="235" t="inlineStr">
        <is>
          <t xml:space="preserve"> </t>
        </is>
      </c>
      <c r="IZ1" s="235" t="inlineStr">
        <is>
          <t xml:space="preserve"> </t>
        </is>
      </c>
      <c r="JA1" s="235" t="inlineStr">
        <is>
          <t xml:space="preserve"> </t>
        </is>
      </c>
      <c r="JB1" s="235" t="inlineStr">
        <is>
          <t xml:space="preserve"> </t>
        </is>
      </c>
      <c r="JC1" s="235" t="inlineStr">
        <is>
          <t xml:space="preserve"> </t>
        </is>
      </c>
      <c r="JD1" s="235" t="inlineStr">
        <is>
          <t xml:space="preserve"> </t>
        </is>
      </c>
      <c r="JE1" s="235" t="inlineStr">
        <is>
          <t xml:space="preserve"> </t>
        </is>
      </c>
      <c r="JF1" s="235" t="inlineStr">
        <is>
          <t xml:space="preserve"> </t>
        </is>
      </c>
      <c r="JG1" s="235" t="inlineStr">
        <is>
          <t xml:space="preserve"> </t>
        </is>
      </c>
      <c r="JH1" s="235" t="inlineStr">
        <is>
          <t xml:space="preserve"> </t>
        </is>
      </c>
      <c r="JI1" s="235" t="inlineStr">
        <is>
          <t xml:space="preserve"> </t>
        </is>
      </c>
      <c r="JJ1" s="235" t="inlineStr">
        <is>
          <t xml:space="preserve"> </t>
        </is>
      </c>
      <c r="JK1" s="235" t="inlineStr">
        <is>
          <t xml:space="preserve"> </t>
        </is>
      </c>
      <c r="JL1" s="235" t="inlineStr">
        <is>
          <t xml:space="preserve"> </t>
        </is>
      </c>
      <c r="JM1" s="235" t="inlineStr">
        <is>
          <t xml:space="preserve"> </t>
        </is>
      </c>
      <c r="JN1" s="235" t="inlineStr">
        <is>
          <t xml:space="preserve"> </t>
        </is>
      </c>
      <c r="JO1" s="235" t="inlineStr">
        <is>
          <t xml:space="preserve"> </t>
        </is>
      </c>
      <c r="JP1" s="235" t="inlineStr">
        <is>
          <t xml:space="preserve"> </t>
        </is>
      </c>
      <c r="JQ1" s="235" t="inlineStr">
        <is>
          <t xml:space="preserve"> </t>
        </is>
      </c>
      <c r="JR1" s="235" t="inlineStr">
        <is>
          <t xml:space="preserve"> </t>
        </is>
      </c>
      <c r="JS1" s="235" t="inlineStr">
        <is>
          <t xml:space="preserve"> </t>
        </is>
      </c>
      <c r="JT1" s="235" t="inlineStr">
        <is>
          <t xml:space="preserve"> </t>
        </is>
      </c>
      <c r="JU1" s="235" t="inlineStr">
        <is>
          <t xml:space="preserve"> </t>
        </is>
      </c>
      <c r="JV1" s="235" t="inlineStr">
        <is>
          <t xml:space="preserve"> </t>
        </is>
      </c>
      <c r="JW1" s="235" t="inlineStr">
        <is>
          <t xml:space="preserve"> </t>
        </is>
      </c>
      <c r="JX1" s="235" t="inlineStr">
        <is>
          <t xml:space="preserve"> </t>
        </is>
      </c>
      <c r="JY1" s="235" t="inlineStr">
        <is>
          <t xml:space="preserve"> </t>
        </is>
      </c>
      <c r="JZ1" s="235" t="inlineStr">
        <is>
          <t xml:space="preserve"> </t>
        </is>
      </c>
      <c r="KA1" s="235" t="inlineStr">
        <is>
          <t xml:space="preserve"> </t>
        </is>
      </c>
      <c r="KB1" s="235" t="inlineStr">
        <is>
          <t xml:space="preserve"> </t>
        </is>
      </c>
      <c r="KC1" s="235" t="inlineStr">
        <is>
          <t xml:space="preserve"> </t>
        </is>
      </c>
      <c r="KD1" s="235" t="inlineStr">
        <is>
          <t xml:space="preserve"> </t>
        </is>
      </c>
      <c r="KE1" s="235" t="inlineStr">
        <is>
          <t xml:space="preserve"> </t>
        </is>
      </c>
      <c r="KF1" s="235" t="inlineStr">
        <is>
          <t xml:space="preserve"> </t>
        </is>
      </c>
      <c r="KG1" s="235" t="inlineStr">
        <is>
          <t xml:space="preserve"> </t>
        </is>
      </c>
      <c r="KH1" s="235" t="inlineStr">
        <is>
          <t xml:space="preserve"> </t>
        </is>
      </c>
      <c r="KI1" s="235" t="inlineStr">
        <is>
          <t xml:space="preserve"> </t>
        </is>
      </c>
      <c r="KJ1" s="235" t="inlineStr">
        <is>
          <t xml:space="preserve"> </t>
        </is>
      </c>
      <c r="KK1" s="235" t="inlineStr">
        <is>
          <t xml:space="preserve"> </t>
        </is>
      </c>
      <c r="KL1" s="235" t="inlineStr">
        <is>
          <t xml:space="preserve"> </t>
        </is>
      </c>
      <c r="KM1" s="235" t="inlineStr">
        <is>
          <t xml:space="preserve"> </t>
        </is>
      </c>
      <c r="KN1" s="235" t="inlineStr">
        <is>
          <t xml:space="preserve"> </t>
        </is>
      </c>
      <c r="KO1" s="235" t="inlineStr">
        <is>
          <t xml:space="preserve"> </t>
        </is>
      </c>
      <c r="KP1" s="235" t="inlineStr">
        <is>
          <t xml:space="preserve"> </t>
        </is>
      </c>
      <c r="KQ1" s="235" t="inlineStr">
        <is>
          <t xml:space="preserve"> </t>
        </is>
      </c>
      <c r="KR1" s="235" t="inlineStr">
        <is>
          <t xml:space="preserve"> </t>
        </is>
      </c>
      <c r="KS1" s="235" t="inlineStr">
        <is>
          <t xml:space="preserve"> </t>
        </is>
      </c>
      <c r="KT1" s="235" t="inlineStr">
        <is>
          <t xml:space="preserve"> </t>
        </is>
      </c>
      <c r="KU1" s="235" t="inlineStr">
        <is>
          <t xml:space="preserve"> </t>
        </is>
      </c>
      <c r="KV1" s="235" t="inlineStr">
        <is>
          <t xml:space="preserve"> </t>
        </is>
      </c>
      <c r="KW1" s="235" t="inlineStr">
        <is>
          <t xml:space="preserve"> </t>
        </is>
      </c>
      <c r="KX1" s="235" t="inlineStr">
        <is>
          <t xml:space="preserve"> </t>
        </is>
      </c>
      <c r="KY1" s="235" t="inlineStr">
        <is>
          <t xml:space="preserve"> </t>
        </is>
      </c>
      <c r="KZ1" s="235" t="inlineStr">
        <is>
          <t xml:space="preserve"> </t>
        </is>
      </c>
      <c r="LA1" s="235" t="inlineStr">
        <is>
          <t xml:space="preserve"> </t>
        </is>
      </c>
      <c r="LB1" s="235" t="inlineStr">
        <is>
          <t xml:space="preserve"> </t>
        </is>
      </c>
      <c r="LC1" s="235" t="inlineStr">
        <is>
          <t xml:space="preserve"> </t>
        </is>
      </c>
      <c r="LD1" s="235" t="inlineStr">
        <is>
          <t xml:space="preserve"> </t>
        </is>
      </c>
      <c r="LE1" s="235" t="inlineStr">
        <is>
          <t xml:space="preserve"> </t>
        </is>
      </c>
      <c r="LF1" s="235" t="inlineStr">
        <is>
          <t xml:space="preserve"> </t>
        </is>
      </c>
      <c r="LG1" s="235" t="inlineStr">
        <is>
          <t xml:space="preserve"> </t>
        </is>
      </c>
      <c r="LH1" s="235" t="inlineStr">
        <is>
          <t xml:space="preserve"> </t>
        </is>
      </c>
      <c r="LI1" s="235" t="inlineStr">
        <is>
          <t xml:space="preserve"> </t>
        </is>
      </c>
      <c r="LJ1" s="235" t="inlineStr">
        <is>
          <t xml:space="preserve"> </t>
        </is>
      </c>
      <c r="LK1" s="235" t="inlineStr">
        <is>
          <t xml:space="preserve"> </t>
        </is>
      </c>
      <c r="LL1" s="235" t="inlineStr">
        <is>
          <t xml:space="preserve"> </t>
        </is>
      </c>
      <c r="LM1" s="235" t="inlineStr">
        <is>
          <t xml:space="preserve"> </t>
        </is>
      </c>
      <c r="LN1" s="235" t="inlineStr">
        <is>
          <t xml:space="preserve"> </t>
        </is>
      </c>
      <c r="LO1" s="235" t="inlineStr">
        <is>
          <t xml:space="preserve"> </t>
        </is>
      </c>
      <c r="LP1" s="235" t="inlineStr">
        <is>
          <t xml:space="preserve"> </t>
        </is>
      </c>
      <c r="LQ1" s="235" t="inlineStr">
        <is>
          <t xml:space="preserve"> </t>
        </is>
      </c>
      <c r="LR1" s="235" t="inlineStr">
        <is>
          <t xml:space="preserve"> </t>
        </is>
      </c>
      <c r="LS1" s="235" t="inlineStr">
        <is>
          <t xml:space="preserve"> </t>
        </is>
      </c>
      <c r="LT1" s="235" t="inlineStr">
        <is>
          <t xml:space="preserve"> </t>
        </is>
      </c>
      <c r="LU1" s="235" t="inlineStr">
        <is>
          <t xml:space="preserve"> </t>
        </is>
      </c>
      <c r="LV1" s="235" t="inlineStr">
        <is>
          <t xml:space="preserve"> </t>
        </is>
      </c>
      <c r="LW1" s="235" t="inlineStr">
        <is>
          <t xml:space="preserve"> </t>
        </is>
      </c>
      <c r="LX1" s="235" t="inlineStr">
        <is>
          <t xml:space="preserve"> </t>
        </is>
      </c>
      <c r="LY1" s="235" t="inlineStr">
        <is>
          <t xml:space="preserve"> </t>
        </is>
      </c>
      <c r="LZ1" s="235" t="inlineStr">
        <is>
          <t xml:space="preserve"> </t>
        </is>
      </c>
      <c r="MA1" s="235" t="inlineStr">
        <is>
          <t xml:space="preserve"> </t>
        </is>
      </c>
      <c r="MB1" s="235" t="inlineStr">
        <is>
          <t xml:space="preserve"> </t>
        </is>
      </c>
      <c r="MC1" s="235" t="inlineStr">
        <is>
          <t xml:space="preserve"> </t>
        </is>
      </c>
      <c r="MD1" s="235" t="inlineStr">
        <is>
          <t xml:space="preserve"> </t>
        </is>
      </c>
      <c r="ME1" s="235" t="inlineStr">
        <is>
          <t xml:space="preserve"> </t>
        </is>
      </c>
      <c r="MF1" s="235" t="inlineStr">
        <is>
          <t xml:space="preserve"> </t>
        </is>
      </c>
      <c r="MG1" s="235" t="inlineStr">
        <is>
          <t xml:space="preserve"> </t>
        </is>
      </c>
      <c r="MH1" s="235" t="inlineStr">
        <is>
          <t xml:space="preserve"> </t>
        </is>
      </c>
      <c r="MI1" s="235" t="inlineStr">
        <is>
          <t xml:space="preserve"> </t>
        </is>
      </c>
      <c r="MJ1" s="235" t="inlineStr">
        <is>
          <t xml:space="preserve"> </t>
        </is>
      </c>
      <c r="MK1" s="235" t="inlineStr">
        <is>
          <t xml:space="preserve"> </t>
        </is>
      </c>
      <c r="ML1" s="235" t="inlineStr">
        <is>
          <t xml:space="preserve"> </t>
        </is>
      </c>
      <c r="MM1" s="235" t="inlineStr">
        <is>
          <t xml:space="preserve"> </t>
        </is>
      </c>
      <c r="MN1" s="235" t="inlineStr">
        <is>
          <t xml:space="preserve"> </t>
        </is>
      </c>
      <c r="MO1" s="235" t="inlineStr">
        <is>
          <t xml:space="preserve"> </t>
        </is>
      </c>
      <c r="MP1" s="235" t="inlineStr">
        <is>
          <t xml:space="preserve"> </t>
        </is>
      </c>
      <c r="MQ1" s="235" t="inlineStr">
        <is>
          <t xml:space="preserve"> </t>
        </is>
      </c>
      <c r="MR1" s="235" t="inlineStr">
        <is>
          <t xml:space="preserve"> </t>
        </is>
      </c>
      <c r="MS1" s="235" t="inlineStr">
        <is>
          <t xml:space="preserve"> </t>
        </is>
      </c>
      <c r="MT1" s="235" t="inlineStr">
        <is>
          <t xml:space="preserve"> </t>
        </is>
      </c>
      <c r="MU1" s="235" t="inlineStr">
        <is>
          <t xml:space="preserve"> </t>
        </is>
      </c>
      <c r="MV1" s="235" t="inlineStr">
        <is>
          <t xml:space="preserve"> </t>
        </is>
      </c>
      <c r="MW1" s="235" t="inlineStr">
        <is>
          <t xml:space="preserve"> </t>
        </is>
      </c>
      <c r="MX1" s="235" t="inlineStr">
        <is>
          <t xml:space="preserve"> </t>
        </is>
      </c>
      <c r="MY1" s="235" t="inlineStr">
        <is>
          <t xml:space="preserve"> </t>
        </is>
      </c>
      <c r="MZ1" s="235" t="inlineStr">
        <is>
          <t xml:space="preserve"> </t>
        </is>
      </c>
      <c r="NA1" s="235" t="inlineStr">
        <is>
          <t xml:space="preserve"> </t>
        </is>
      </c>
      <c r="NB1" s="235" t="inlineStr">
        <is>
          <t xml:space="preserve"> </t>
        </is>
      </c>
      <c r="NC1" s="235" t="inlineStr">
        <is>
          <t xml:space="preserve"> </t>
        </is>
      </c>
      <c r="ND1" s="235" t="inlineStr">
        <is>
          <t xml:space="preserve"> </t>
        </is>
      </c>
      <c r="NE1" s="235" t="inlineStr">
        <is>
          <t xml:space="preserve"> </t>
        </is>
      </c>
    </row>
    <row r="2" ht="15" customHeight="1" s="166">
      <c r="H2" s="223" t="n"/>
      <c r="I2" s="223" t="n"/>
      <c r="J2" s="223" t="n"/>
      <c r="K2" s="223" t="n"/>
      <c r="L2" s="223" t="n"/>
      <c r="M2" s="223" t="n"/>
      <c r="N2" s="223" t="n"/>
      <c r="O2" s="223" t="n"/>
      <c r="P2" s="223" t="n"/>
      <c r="Q2" s="223" t="n"/>
      <c r="R2" s="223" t="n"/>
      <c r="S2" s="223" t="n"/>
      <c r="T2" s="223" t="n"/>
      <c r="U2" s="223" t="n"/>
      <c r="V2" s="223" t="n"/>
      <c r="W2" s="223" t="n"/>
      <c r="X2" s="223" t="n"/>
      <c r="Y2" s="223" t="n"/>
      <c r="Z2" s="223" t="n"/>
      <c r="AA2" s="223" t="n"/>
      <c r="AB2" s="223" t="n"/>
      <c r="AC2" s="223" t="n"/>
      <c r="AD2" s="223" t="n"/>
      <c r="AE2" s="223" t="n"/>
      <c r="AF2" s="223" t="n"/>
      <c r="AG2" s="223" t="n"/>
      <c r="AH2" s="223" t="n"/>
      <c r="AI2" s="223" t="n"/>
      <c r="AJ2" s="223" t="n"/>
      <c r="AK2" s="223" t="n"/>
      <c r="AL2" s="223" t="n"/>
      <c r="AM2" s="223" t="n"/>
      <c r="AN2" s="223" t="n"/>
      <c r="AO2" s="223" t="n"/>
      <c r="AP2" s="223" t="n"/>
      <c r="AQ2" s="237" t="n"/>
      <c r="AR2" s="223" t="n"/>
      <c r="AS2" s="223" t="n"/>
      <c r="AT2" s="223" t="n"/>
      <c r="AU2" s="223" t="n"/>
      <c r="AV2" s="223" t="n"/>
      <c r="AW2" s="223" t="n"/>
      <c r="AX2" s="223" t="n"/>
      <c r="AY2" s="223" t="n"/>
      <c r="AZ2" s="223" t="n"/>
      <c r="BA2" s="223" t="n"/>
      <c r="BB2" s="223" t="n"/>
      <c r="BC2" s="223" t="n"/>
      <c r="BD2" s="223" t="n"/>
      <c r="BE2" s="223" t="n"/>
      <c r="BF2" s="223" t="n"/>
      <c r="BG2" s="223" t="n"/>
      <c r="BH2" s="223" t="n"/>
      <c r="BI2" s="223" t="n"/>
      <c r="BJ2" s="223" t="n"/>
      <c r="BK2" s="223" t="n"/>
      <c r="BL2" s="223" t="n"/>
      <c r="BM2" s="223" t="n"/>
      <c r="BN2" s="223" t="n"/>
      <c r="BO2" s="223" t="n"/>
      <c r="BP2" s="223" t="n"/>
      <c r="BQ2" s="223" t="n"/>
      <c r="BR2" s="223" t="n"/>
      <c r="BS2" s="223" t="n"/>
      <c r="BT2" s="223" t="n"/>
      <c r="BU2" s="223" t="n"/>
      <c r="BV2" s="223" t="n"/>
      <c r="BW2" s="223" t="n"/>
      <c r="BX2" s="223" t="n"/>
      <c r="BY2" s="223" t="n"/>
      <c r="BZ2" s="223" t="n"/>
      <c r="CA2" s="223" t="n"/>
      <c r="CB2" s="223" t="n"/>
      <c r="CC2" s="223" t="n"/>
      <c r="CD2" s="223" t="n"/>
      <c r="CE2" s="223" t="n"/>
      <c r="CF2" s="223" t="n"/>
      <c r="CG2" s="223" t="n"/>
      <c r="CH2" s="223" t="n"/>
      <c r="CI2" s="223" t="n"/>
      <c r="CJ2" s="223" t="n"/>
      <c r="CK2" s="223" t="n"/>
      <c r="CL2" s="223" t="n"/>
      <c r="CM2" s="223" t="n"/>
      <c r="CN2" s="223" t="n"/>
      <c r="CO2" s="223" t="n"/>
      <c r="CP2" s="223" t="n"/>
      <c r="CQ2" s="223" t="n"/>
      <c r="CR2" s="223" t="n"/>
      <c r="CS2" s="223" t="n"/>
      <c r="CT2" s="223" t="n"/>
      <c r="CU2" s="223" t="n"/>
      <c r="CV2" s="223" t="n"/>
      <c r="CW2" s="223" t="n"/>
      <c r="CX2" s="223" t="n"/>
      <c r="CY2" s="223" t="n"/>
      <c r="CZ2" s="223" t="n"/>
      <c r="DA2" s="223" t="n"/>
      <c r="DB2" s="223" t="n"/>
      <c r="DC2" s="223" t="n"/>
      <c r="DD2" s="223" t="n"/>
      <c r="DE2" s="223" t="n"/>
      <c r="DF2" s="223" t="n"/>
      <c r="DG2" s="223" t="n"/>
      <c r="DH2" s="223" t="n"/>
      <c r="DI2" s="223" t="n"/>
      <c r="DJ2" s="223" t="n"/>
      <c r="DK2" s="223" t="n"/>
      <c r="DL2" s="223" t="n"/>
      <c r="DM2" s="223" t="n"/>
      <c r="DN2" s="223" t="n"/>
      <c r="DO2" s="223" t="n"/>
      <c r="DP2" s="223" t="n"/>
      <c r="DQ2" s="223" t="n"/>
      <c r="DR2" s="223" t="n"/>
      <c r="DS2" s="223" t="n"/>
      <c r="DT2" s="223" t="n"/>
      <c r="DU2" s="223" t="n"/>
      <c r="DV2" s="223" t="n"/>
      <c r="DW2" s="223" t="n"/>
      <c r="DX2" s="223" t="n"/>
      <c r="DY2" s="223" t="n"/>
      <c r="DZ2" s="223" t="n"/>
      <c r="EA2" s="223" t="n"/>
      <c r="EB2" s="223" t="n"/>
      <c r="EC2" s="223" t="n"/>
      <c r="ED2" s="223" t="n"/>
      <c r="EE2" s="223" t="n"/>
      <c r="EF2" s="223" t="n"/>
      <c r="EG2" s="223" t="n"/>
      <c r="EH2" s="223" t="n"/>
      <c r="EI2" s="223" t="n"/>
      <c r="EJ2" s="223" t="n"/>
      <c r="EK2" s="223" t="n"/>
      <c r="EL2" s="223" t="n"/>
      <c r="EM2" s="223" t="n"/>
      <c r="EN2" s="223" t="n"/>
      <c r="EO2" s="223" t="n"/>
      <c r="EP2" s="223" t="n"/>
      <c r="EQ2" s="223" t="n"/>
      <c r="ER2" s="223" t="n"/>
      <c r="ES2" s="223" t="n"/>
      <c r="ET2" s="223" t="n"/>
      <c r="EU2" s="223" t="n"/>
      <c r="EV2" s="223" t="n"/>
      <c r="EW2" s="223" t="n"/>
      <c r="EX2" s="223" t="n"/>
      <c r="EY2" s="223" t="n"/>
      <c r="EZ2" s="223" t="n"/>
      <c r="FA2" s="223" t="n"/>
      <c r="FB2" s="223" t="n"/>
      <c r="FC2" s="223" t="n"/>
      <c r="FD2" s="223" t="n"/>
      <c r="FE2" s="223" t="n"/>
      <c r="FF2" s="223" t="n"/>
      <c r="FG2" s="223" t="n"/>
      <c r="FH2" s="223" t="n"/>
      <c r="FI2" s="223" t="n"/>
      <c r="FJ2" s="223" t="n"/>
      <c r="FK2" s="223" t="n"/>
      <c r="FL2" s="223" t="n"/>
      <c r="FM2" s="223" t="n"/>
      <c r="FN2" s="223" t="n"/>
      <c r="FO2" s="223" t="n"/>
      <c r="FP2" s="223" t="n"/>
      <c r="FQ2" s="223" t="n"/>
      <c r="FR2" s="223" t="n"/>
      <c r="FS2" s="223" t="n"/>
      <c r="FT2" s="223" t="n"/>
      <c r="FU2" s="223" t="n"/>
      <c r="FV2" s="223" t="n"/>
      <c r="FW2" s="223" t="n"/>
      <c r="FX2" s="223" t="n"/>
      <c r="FY2" s="223" t="n"/>
      <c r="FZ2" s="223" t="n"/>
      <c r="GA2" s="223" t="n"/>
      <c r="GB2" s="223" t="n"/>
      <c r="GC2" s="223" t="n"/>
      <c r="GD2" s="223" t="n"/>
      <c r="GE2" s="223" t="n"/>
      <c r="GF2" s="223" t="n"/>
      <c r="GG2" s="223" t="n"/>
      <c r="GH2" s="223" t="n"/>
      <c r="GI2" s="223" t="n"/>
      <c r="GJ2" s="223" t="n"/>
      <c r="GK2" s="223" t="n"/>
      <c r="GL2" s="223" t="n"/>
      <c r="GM2" s="223" t="n"/>
      <c r="GN2" s="223" t="n"/>
      <c r="GO2" s="223" t="n"/>
      <c r="GP2" s="223" t="n"/>
      <c r="GQ2" s="223" t="n"/>
      <c r="GR2" s="223" t="n"/>
      <c r="GS2" s="223" t="n"/>
      <c r="GT2" s="223" t="n"/>
      <c r="GU2" s="223" t="n"/>
      <c r="GV2" s="223" t="n"/>
      <c r="GW2" s="223" t="n"/>
      <c r="GX2" s="223" t="n"/>
      <c r="GY2" s="223" t="n"/>
      <c r="GZ2" s="223" t="n"/>
      <c r="HA2" s="223" t="n"/>
      <c r="HB2" s="223" t="n"/>
      <c r="HC2" s="223" t="n"/>
      <c r="HD2" s="223" t="n"/>
      <c r="HE2" s="223" t="n"/>
      <c r="HF2" s="223" t="n"/>
      <c r="HG2" s="223" t="n"/>
      <c r="HH2" s="223" t="n"/>
      <c r="HI2" s="223" t="n"/>
      <c r="HJ2" s="223" t="n"/>
      <c r="HK2" s="223" t="n"/>
      <c r="HL2" s="223" t="n"/>
      <c r="HM2" s="223" t="n"/>
      <c r="HN2" s="223" t="n"/>
      <c r="HO2" s="223" t="n"/>
      <c r="HP2" s="223" t="n"/>
      <c r="HQ2" s="223" t="n"/>
      <c r="HR2" s="223" t="n"/>
      <c r="HS2" s="223" t="n"/>
      <c r="HT2" s="223" t="n"/>
      <c r="HU2" s="223" t="n"/>
      <c r="HV2" s="223" t="n"/>
      <c r="HW2" s="223" t="n"/>
      <c r="HX2" s="223" t="n"/>
      <c r="HY2" s="223" t="n"/>
      <c r="HZ2" s="223" t="n"/>
      <c r="IA2" s="223" t="n"/>
      <c r="IB2" s="223" t="n"/>
      <c r="IC2" s="223" t="n"/>
      <c r="ID2" s="223" t="n"/>
      <c r="IE2" s="223" t="n"/>
      <c r="IF2" s="223" t="n"/>
      <c r="IG2" s="223" t="n"/>
      <c r="IH2" s="223" t="n"/>
      <c r="II2" s="223" t="n"/>
      <c r="IJ2" s="223" t="n"/>
      <c r="IK2" s="223" t="n"/>
      <c r="IL2" s="223" t="n"/>
      <c r="IM2" s="223" t="n"/>
      <c r="IN2" s="223" t="n"/>
      <c r="IO2" s="223" t="n"/>
      <c r="IP2" s="223" t="n"/>
      <c r="IQ2" s="223" t="n"/>
      <c r="IR2" s="223" t="n"/>
      <c r="IS2" s="223" t="n"/>
      <c r="IT2" s="223" t="n"/>
      <c r="IU2" s="223" t="n"/>
      <c r="IV2" s="223" t="n"/>
      <c r="IW2" s="223" t="n"/>
      <c r="IX2" s="223" t="n"/>
      <c r="IY2" s="223" t="n"/>
      <c r="IZ2" s="223" t="n"/>
      <c r="JA2" s="223" t="n"/>
      <c r="JB2" s="223" t="n"/>
      <c r="JC2" s="223" t="n"/>
      <c r="JD2" s="223" t="n"/>
      <c r="JE2" s="223" t="n"/>
      <c r="JF2" s="223" t="n"/>
      <c r="JG2" s="223" t="n"/>
      <c r="JH2" s="223" t="n"/>
      <c r="JI2" s="223" t="n"/>
      <c r="JJ2" s="223" t="n"/>
      <c r="JK2" s="223" t="n"/>
      <c r="JL2" s="223" t="n"/>
      <c r="JM2" s="223" t="n"/>
      <c r="JN2" s="223" t="n"/>
      <c r="JO2" s="223" t="n"/>
      <c r="JP2" s="223" t="n"/>
      <c r="JQ2" s="223" t="n"/>
      <c r="JR2" s="223" t="n"/>
      <c r="JS2" s="223" t="n"/>
      <c r="JT2" s="223" t="n"/>
      <c r="JU2" s="223" t="n"/>
      <c r="JV2" s="223" t="n"/>
      <c r="JW2" s="223" t="n"/>
      <c r="JX2" s="223" t="n"/>
      <c r="JY2" s="223" t="n"/>
      <c r="JZ2" s="223" t="n"/>
      <c r="KA2" s="223" t="n"/>
      <c r="KB2" s="223" t="n"/>
      <c r="KC2" s="223" t="n"/>
      <c r="KD2" s="223" t="n"/>
      <c r="KE2" s="223" t="n"/>
      <c r="KF2" s="223" t="n"/>
      <c r="KG2" s="223" t="n"/>
      <c r="KH2" s="223" t="n"/>
      <c r="KI2" s="223" t="n"/>
      <c r="KJ2" s="223" t="n"/>
      <c r="KK2" s="223" t="n"/>
      <c r="KL2" s="223" t="n"/>
      <c r="KM2" s="223" t="n"/>
      <c r="KN2" s="223" t="n"/>
      <c r="KO2" s="223" t="n"/>
      <c r="KP2" s="223" t="n"/>
      <c r="KQ2" s="223" t="n"/>
      <c r="KR2" s="223" t="n"/>
      <c r="KS2" s="223" t="n"/>
      <c r="KT2" s="223" t="n"/>
      <c r="KU2" s="223" t="n"/>
      <c r="KV2" s="223" t="n"/>
      <c r="KW2" s="223" t="n"/>
      <c r="KX2" s="223" t="n"/>
      <c r="KY2" s="223" t="n"/>
      <c r="KZ2" s="223" t="n"/>
      <c r="LA2" s="223" t="n"/>
      <c r="LB2" s="223" t="n"/>
      <c r="LC2" s="223" t="n"/>
      <c r="LD2" s="223" t="n"/>
      <c r="LE2" s="223" t="n"/>
      <c r="LF2" s="223" t="n"/>
      <c r="LG2" s="223" t="n"/>
      <c r="LH2" s="223" t="n"/>
      <c r="LI2" s="223" t="n"/>
      <c r="LJ2" s="223" t="n"/>
      <c r="LK2" s="223" t="n"/>
      <c r="LL2" s="223" t="n"/>
      <c r="LM2" s="223" t="n"/>
      <c r="LN2" s="223" t="n"/>
      <c r="LO2" s="223" t="n"/>
      <c r="LP2" s="223" t="n"/>
      <c r="LQ2" s="223" t="n"/>
      <c r="LR2" s="223" t="n"/>
      <c r="LS2" s="223" t="n"/>
      <c r="LT2" s="223" t="n"/>
      <c r="LU2" s="223" t="n"/>
      <c r="LV2" s="223" t="n"/>
      <c r="LW2" s="223" t="n"/>
      <c r="LX2" s="223" t="n"/>
      <c r="LY2" s="223" t="n"/>
      <c r="LZ2" s="223" t="n"/>
      <c r="MA2" s="223" t="n"/>
      <c r="MB2" s="223" t="n"/>
      <c r="MC2" s="223" t="n"/>
      <c r="MD2" s="223" t="n"/>
      <c r="ME2" s="223" t="n"/>
      <c r="MF2" s="223" t="n"/>
      <c r="MG2" s="223" t="n"/>
      <c r="MH2" s="223" t="n"/>
      <c r="MI2" s="223" t="n"/>
      <c r="MJ2" s="223" t="n"/>
      <c r="MK2" s="223" t="n"/>
      <c r="ML2" s="223" t="n"/>
      <c r="MM2" s="223" t="n"/>
      <c r="MN2" s="223" t="n"/>
      <c r="MO2" s="223" t="n"/>
      <c r="MP2" s="223" t="n"/>
      <c r="MQ2" s="223" t="n"/>
      <c r="MR2" s="223" t="n"/>
      <c r="MS2" s="223" t="n"/>
      <c r="MT2" s="223" t="n"/>
      <c r="MU2" s="223" t="n"/>
      <c r="MV2" s="223" t="n"/>
      <c r="MW2" s="223" t="n"/>
      <c r="MX2" s="223" t="n"/>
      <c r="MY2" s="223" t="n"/>
      <c r="MZ2" s="223" t="n"/>
      <c r="NA2" s="223" t="n"/>
      <c r="NB2" s="223" t="n"/>
      <c r="NC2" s="223" t="n"/>
      <c r="ND2" s="223" t="n"/>
      <c r="NE2" s="223" t="n"/>
    </row>
    <row r="3" ht="15" customHeight="1" s="166">
      <c r="H3" s="223" t="n"/>
      <c r="I3" s="223" t="n"/>
      <c r="J3" s="223" t="n"/>
      <c r="K3" s="223" t="n"/>
      <c r="L3" s="223" t="n"/>
      <c r="M3" s="223" t="n"/>
      <c r="N3" s="223" t="n"/>
      <c r="O3" s="223" t="n"/>
      <c r="P3" s="223" t="n"/>
      <c r="Q3" s="223" t="n"/>
      <c r="R3" s="223" t="n"/>
      <c r="S3" s="223" t="n"/>
      <c r="T3" s="223" t="n"/>
      <c r="U3" s="223" t="n"/>
      <c r="V3" s="223" t="n"/>
      <c r="W3" s="223" t="n"/>
      <c r="X3" s="223" t="n"/>
      <c r="Y3" s="223" t="n"/>
      <c r="Z3" s="223" t="n"/>
      <c r="AA3" s="223" t="n"/>
      <c r="AB3" s="223" t="n"/>
      <c r="AC3" s="223" t="n"/>
      <c r="AD3" s="223" t="n"/>
      <c r="AE3" s="223" t="n"/>
      <c r="AF3" s="223" t="n"/>
      <c r="AG3" s="223" t="n"/>
      <c r="AH3" s="223" t="n"/>
      <c r="AI3" s="223" t="n"/>
      <c r="AJ3" s="223" t="n"/>
      <c r="AK3" s="223" t="n"/>
      <c r="AL3" s="223" t="n"/>
      <c r="AM3" s="223" t="n"/>
      <c r="AN3" s="223" t="n"/>
      <c r="AO3" s="223" t="n"/>
      <c r="AP3" s="223" t="n"/>
      <c r="AQ3" s="237" t="n"/>
      <c r="AR3" s="223" t="n"/>
      <c r="AS3" s="223" t="n"/>
      <c r="AT3" s="223" t="n"/>
      <c r="AU3" s="223" t="n"/>
      <c r="AV3" s="223" t="n"/>
      <c r="AW3" s="223" t="n"/>
      <c r="AX3" s="223" t="n"/>
      <c r="AY3" s="223" t="n"/>
      <c r="AZ3" s="223" t="n"/>
      <c r="BA3" s="223" t="n"/>
      <c r="BB3" s="223" t="n"/>
      <c r="BC3" s="223" t="n"/>
      <c r="BD3" s="223" t="n"/>
      <c r="BE3" s="223" t="n"/>
      <c r="BF3" s="223" t="n"/>
      <c r="BG3" s="223" t="n"/>
      <c r="BH3" s="223" t="n"/>
      <c r="BI3" s="223" t="n"/>
      <c r="BJ3" s="223" t="n"/>
      <c r="BK3" s="223" t="n"/>
      <c r="BL3" s="223" t="n"/>
      <c r="BM3" s="223" t="n"/>
      <c r="BN3" s="223" t="n"/>
      <c r="BO3" s="223" t="n"/>
      <c r="BP3" s="223" t="n"/>
      <c r="BQ3" s="223" t="n"/>
      <c r="BR3" s="223" t="n"/>
      <c r="BS3" s="223" t="n"/>
      <c r="BT3" s="223" t="n"/>
      <c r="BU3" s="223" t="n"/>
      <c r="BV3" s="223" t="n"/>
      <c r="BW3" s="223" t="n"/>
      <c r="BX3" s="223" t="n"/>
      <c r="BY3" s="223" t="n"/>
      <c r="BZ3" s="223" t="n"/>
      <c r="CA3" s="223" t="n"/>
      <c r="CB3" s="223" t="n"/>
      <c r="CC3" s="223" t="n"/>
      <c r="CD3" s="223" t="n"/>
      <c r="CE3" s="223" t="n"/>
      <c r="CF3" s="223" t="n"/>
      <c r="CG3" s="223" t="n"/>
      <c r="CH3" s="223" t="n"/>
      <c r="CI3" s="223" t="n"/>
      <c r="CJ3" s="223" t="n"/>
      <c r="CK3" s="223" t="n"/>
      <c r="CL3" s="223" t="n"/>
      <c r="CM3" s="223" t="n"/>
      <c r="CN3" s="223" t="n"/>
      <c r="CO3" s="223" t="n"/>
      <c r="CP3" s="223" t="n"/>
      <c r="CQ3" s="223" t="n"/>
      <c r="CR3" s="223" t="n"/>
      <c r="CS3" s="223" t="n"/>
      <c r="CT3" s="223" t="n"/>
      <c r="CU3" s="223" t="n"/>
      <c r="CV3" s="223" t="n"/>
      <c r="CW3" s="223" t="n"/>
      <c r="CX3" s="223" t="n"/>
      <c r="CY3" s="223" t="n"/>
      <c r="CZ3" s="223" t="n"/>
      <c r="DA3" s="223" t="n"/>
      <c r="DB3" s="223" t="n"/>
      <c r="DC3" s="223" t="n"/>
      <c r="DD3" s="223" t="n"/>
      <c r="DE3" s="223" t="n"/>
      <c r="DF3" s="223" t="n"/>
      <c r="DG3" s="223" t="n"/>
      <c r="DH3" s="223" t="n"/>
      <c r="DI3" s="223" t="n"/>
      <c r="DJ3" s="223" t="n"/>
      <c r="DK3" s="223" t="n"/>
      <c r="DL3" s="223" t="n"/>
      <c r="DM3" s="223" t="n"/>
      <c r="DN3" s="223" t="n"/>
      <c r="DO3" s="223" t="n"/>
      <c r="DP3" s="223" t="n"/>
      <c r="DQ3" s="223" t="n"/>
      <c r="DR3" s="223" t="n"/>
      <c r="DS3" s="223" t="n"/>
      <c r="DT3" s="223" t="n"/>
      <c r="DU3" s="223" t="n"/>
      <c r="DV3" s="223" t="n"/>
      <c r="DW3" s="223" t="n"/>
      <c r="DX3" s="223" t="n"/>
      <c r="DY3" s="223" t="n"/>
      <c r="DZ3" s="223" t="n"/>
      <c r="EA3" s="223" t="n"/>
      <c r="EB3" s="223" t="n"/>
      <c r="EC3" s="223" t="n"/>
      <c r="ED3" s="223" t="n"/>
      <c r="EE3" s="223" t="n"/>
      <c r="EF3" s="223" t="n"/>
      <c r="EG3" s="223" t="n"/>
      <c r="EH3" s="223" t="n"/>
      <c r="EI3" s="223" t="n"/>
      <c r="EJ3" s="223" t="n"/>
      <c r="EK3" s="223" t="n"/>
      <c r="EL3" s="223" t="n"/>
      <c r="EM3" s="223" t="n"/>
      <c r="EN3" s="223" t="n"/>
      <c r="EO3" s="223" t="n"/>
      <c r="EP3" s="223" t="n"/>
      <c r="EQ3" s="223" t="n"/>
      <c r="ER3" s="223" t="n"/>
      <c r="ES3" s="223" t="n"/>
      <c r="ET3" s="223" t="n"/>
      <c r="EU3" s="223" t="n"/>
      <c r="EV3" s="223" t="n"/>
      <c r="EW3" s="223" t="n"/>
      <c r="EX3" s="223" t="n"/>
      <c r="EY3" s="223" t="n"/>
      <c r="EZ3" s="223" t="n"/>
      <c r="FA3" s="223" t="n"/>
      <c r="FB3" s="223" t="n"/>
      <c r="FC3" s="223" t="n"/>
      <c r="FD3" s="223" t="n"/>
      <c r="FE3" s="223" t="n"/>
      <c r="FF3" s="223" t="n"/>
      <c r="FG3" s="223" t="n"/>
      <c r="FH3" s="223" t="n"/>
      <c r="FI3" s="223" t="n"/>
      <c r="FJ3" s="223" t="n"/>
      <c r="FK3" s="223" t="n"/>
      <c r="FL3" s="223" t="n"/>
      <c r="FM3" s="223" t="n"/>
      <c r="FN3" s="223" t="n"/>
      <c r="FO3" s="223" t="n"/>
      <c r="FP3" s="223" t="n"/>
      <c r="FQ3" s="223" t="n"/>
      <c r="FR3" s="223" t="n"/>
      <c r="FS3" s="223" t="n"/>
      <c r="FT3" s="223" t="n"/>
      <c r="FU3" s="223" t="n"/>
      <c r="FV3" s="223" t="n"/>
      <c r="FW3" s="223" t="n"/>
      <c r="FX3" s="223" t="n"/>
      <c r="FY3" s="223" t="n"/>
      <c r="FZ3" s="223" t="n"/>
      <c r="GA3" s="223" t="n"/>
      <c r="GB3" s="223" t="n"/>
      <c r="GC3" s="223" t="n"/>
      <c r="GD3" s="223" t="n"/>
      <c r="GE3" s="223" t="n"/>
      <c r="GF3" s="223" t="n"/>
      <c r="GG3" s="223" t="n"/>
      <c r="GH3" s="223" t="n"/>
      <c r="GI3" s="223" t="n"/>
      <c r="GJ3" s="223" t="n"/>
      <c r="GK3" s="223" t="n"/>
      <c r="GL3" s="223" t="n"/>
      <c r="GM3" s="223" t="n"/>
      <c r="GN3" s="223" t="n"/>
      <c r="GO3" s="223" t="n"/>
      <c r="GP3" s="223" t="n"/>
      <c r="GQ3" s="223" t="n"/>
      <c r="GR3" s="223" t="n"/>
      <c r="GS3" s="223" t="n"/>
      <c r="GT3" s="223" t="n"/>
      <c r="GU3" s="223" t="n"/>
      <c r="GV3" s="223" t="n"/>
      <c r="GW3" s="223" t="n"/>
      <c r="GX3" s="223" t="n"/>
      <c r="GY3" s="223" t="n"/>
      <c r="GZ3" s="223" t="n"/>
      <c r="HA3" s="223" t="n"/>
      <c r="HB3" s="223" t="n"/>
      <c r="HC3" s="223" t="n"/>
      <c r="HD3" s="223" t="n"/>
      <c r="HE3" s="223" t="n"/>
      <c r="HF3" s="223" t="n"/>
      <c r="HG3" s="223" t="n"/>
      <c r="HH3" s="223" t="n"/>
      <c r="HI3" s="223" t="n"/>
      <c r="HJ3" s="223" t="n"/>
      <c r="HK3" s="223" t="n"/>
      <c r="HL3" s="223" t="n"/>
      <c r="HM3" s="223" t="n"/>
      <c r="HN3" s="223" t="n"/>
      <c r="HO3" s="223" t="n"/>
      <c r="HP3" s="223" t="n"/>
      <c r="HQ3" s="223" t="n"/>
      <c r="HR3" s="223" t="n"/>
      <c r="HS3" s="223" t="n"/>
      <c r="HT3" s="223" t="n"/>
      <c r="HU3" s="223" t="n"/>
      <c r="HV3" s="223" t="n"/>
      <c r="HW3" s="223" t="n"/>
      <c r="HX3" s="223" t="n"/>
      <c r="HY3" s="223" t="n"/>
      <c r="HZ3" s="223" t="n"/>
      <c r="IA3" s="223" t="n"/>
      <c r="IB3" s="223" t="n"/>
      <c r="IC3" s="223" t="n"/>
      <c r="ID3" s="223" t="n"/>
      <c r="IE3" s="223" t="n"/>
      <c r="IF3" s="223" t="n"/>
      <c r="IG3" s="223" t="n"/>
      <c r="IH3" s="223" t="n"/>
      <c r="II3" s="223" t="n"/>
      <c r="IJ3" s="223" t="n"/>
      <c r="IK3" s="223" t="n"/>
      <c r="IL3" s="223" t="n"/>
      <c r="IM3" s="223" t="n"/>
      <c r="IN3" s="223" t="n"/>
      <c r="IO3" s="223" t="n"/>
      <c r="IP3" s="223" t="n"/>
      <c r="IQ3" s="223" t="n"/>
      <c r="IR3" s="223" t="n"/>
      <c r="IS3" s="223" t="n"/>
      <c r="IT3" s="223" t="n"/>
      <c r="IU3" s="223" t="n"/>
      <c r="IV3" s="223" t="n"/>
      <c r="IW3" s="223" t="n"/>
      <c r="IX3" s="223" t="n"/>
      <c r="IY3" s="223" t="n"/>
      <c r="IZ3" s="223" t="n"/>
      <c r="JA3" s="223" t="n"/>
      <c r="JB3" s="223" t="n"/>
      <c r="JC3" s="223" t="n"/>
      <c r="JD3" s="223" t="n"/>
      <c r="JE3" s="223" t="n"/>
      <c r="JF3" s="223" t="n"/>
      <c r="JG3" s="223" t="n"/>
      <c r="JH3" s="223" t="n"/>
      <c r="JI3" s="223" t="n"/>
      <c r="JJ3" s="223" t="n"/>
      <c r="JK3" s="223" t="n"/>
      <c r="JL3" s="223" t="n"/>
      <c r="JM3" s="223" t="n"/>
      <c r="JN3" s="223" t="n"/>
      <c r="JO3" s="223" t="n"/>
      <c r="JP3" s="223" t="n"/>
      <c r="JQ3" s="223" t="n"/>
      <c r="JR3" s="223" t="n"/>
      <c r="JS3" s="223" t="n"/>
      <c r="JT3" s="223" t="n"/>
      <c r="JU3" s="223" t="n"/>
      <c r="JV3" s="223" t="n"/>
      <c r="JW3" s="223" t="n"/>
      <c r="JX3" s="223" t="n"/>
      <c r="JY3" s="223" t="n"/>
      <c r="JZ3" s="223" t="n"/>
      <c r="KA3" s="223" t="n"/>
      <c r="KB3" s="223" t="n"/>
      <c r="KC3" s="223" t="n"/>
      <c r="KD3" s="223" t="n"/>
      <c r="KE3" s="223" t="n"/>
      <c r="KF3" s="223" t="n"/>
      <c r="KG3" s="223" t="n"/>
      <c r="KH3" s="223" t="n"/>
      <c r="KI3" s="223" t="n"/>
      <c r="KJ3" s="223" t="n"/>
      <c r="KK3" s="223" t="n"/>
      <c r="KL3" s="223" t="n"/>
      <c r="KM3" s="223" t="n"/>
      <c r="KN3" s="223" t="n"/>
      <c r="KO3" s="223" t="n"/>
      <c r="KP3" s="223" t="n"/>
      <c r="KQ3" s="223" t="n"/>
      <c r="KR3" s="223" t="n"/>
      <c r="KS3" s="223" t="n"/>
      <c r="KT3" s="223" t="n"/>
      <c r="KU3" s="223" t="n"/>
      <c r="KV3" s="223" t="n"/>
      <c r="KW3" s="223" t="n"/>
      <c r="KX3" s="223" t="n"/>
      <c r="KY3" s="223" t="n"/>
      <c r="KZ3" s="223" t="n"/>
      <c r="LA3" s="223" t="n"/>
      <c r="LB3" s="223" t="n"/>
      <c r="LC3" s="223" t="n"/>
      <c r="LD3" s="223" t="n"/>
      <c r="LE3" s="223" t="n"/>
      <c r="LF3" s="223" t="n"/>
      <c r="LG3" s="223" t="n"/>
      <c r="LH3" s="223" t="n"/>
      <c r="LI3" s="223" t="n"/>
      <c r="LJ3" s="223" t="n"/>
      <c r="LK3" s="223" t="n"/>
      <c r="LL3" s="223" t="n"/>
      <c r="LM3" s="223" t="n"/>
      <c r="LN3" s="223" t="n"/>
      <c r="LO3" s="223" t="n"/>
      <c r="LP3" s="223" t="n"/>
      <c r="LQ3" s="223" t="n"/>
      <c r="LR3" s="223" t="n"/>
      <c r="LS3" s="223" t="n"/>
      <c r="LT3" s="223" t="n"/>
      <c r="LU3" s="223" t="n"/>
      <c r="LV3" s="223" t="n"/>
      <c r="LW3" s="223" t="n"/>
      <c r="LX3" s="223" t="n"/>
      <c r="LY3" s="223" t="n"/>
      <c r="LZ3" s="223" t="n"/>
      <c r="MA3" s="223" t="n"/>
      <c r="MB3" s="223" t="n"/>
      <c r="MC3" s="223" t="n"/>
      <c r="MD3" s="223" t="n"/>
      <c r="ME3" s="223" t="n"/>
      <c r="MF3" s="223" t="n"/>
      <c r="MG3" s="223" t="n"/>
      <c r="MH3" s="223" t="n"/>
      <c r="MI3" s="223" t="n"/>
      <c r="MJ3" s="223" t="n"/>
      <c r="MK3" s="223" t="n"/>
      <c r="ML3" s="223" t="n"/>
      <c r="MM3" s="223" t="n"/>
      <c r="MN3" s="223" t="n"/>
      <c r="MO3" s="223" t="n"/>
      <c r="MP3" s="223" t="n"/>
      <c r="MQ3" s="223" t="n"/>
      <c r="MR3" s="223" t="n"/>
      <c r="MS3" s="223" t="n"/>
      <c r="MT3" s="223" t="n"/>
      <c r="MU3" s="223" t="n"/>
      <c r="MV3" s="223" t="n"/>
      <c r="MW3" s="223" t="n"/>
      <c r="MX3" s="223" t="n"/>
      <c r="MY3" s="223" t="n"/>
      <c r="MZ3" s="223" t="n"/>
      <c r="NA3" s="223" t="n"/>
      <c r="NB3" s="223" t="n"/>
      <c r="NC3" s="223" t="n"/>
      <c r="ND3" s="223" t="n"/>
      <c r="NE3" s="223" t="n"/>
    </row>
    <row r="4" ht="33" customHeight="1" s="166">
      <c r="H4" s="223" t="n"/>
      <c r="I4" s="223" t="n"/>
      <c r="J4" s="223" t="n"/>
      <c r="K4" s="223" t="n"/>
      <c r="L4" s="223" t="n"/>
      <c r="M4" s="223" t="n"/>
      <c r="N4" s="223" t="n"/>
      <c r="O4" s="223" t="n"/>
      <c r="P4" s="223" t="n"/>
      <c r="Q4" s="223" t="n"/>
      <c r="R4" s="223" t="n"/>
      <c r="S4" s="223" t="n"/>
      <c r="T4" s="223" t="n"/>
      <c r="U4" s="223" t="n"/>
      <c r="V4" s="223" t="n"/>
      <c r="W4" s="223" t="n"/>
      <c r="X4" s="223" t="n"/>
      <c r="Y4" s="223" t="n"/>
      <c r="Z4" s="223" t="n"/>
      <c r="AA4" s="223" t="n"/>
      <c r="AB4" s="223" t="n"/>
      <c r="AC4" s="223" t="n"/>
      <c r="AD4" s="223" t="n"/>
      <c r="AE4" s="223" t="n"/>
      <c r="AF4" s="223" t="n"/>
      <c r="AG4" s="223" t="n"/>
      <c r="AH4" s="223" t="n"/>
      <c r="AI4" s="223" t="n"/>
      <c r="AJ4" s="223" t="n"/>
      <c r="AK4" s="223" t="n"/>
      <c r="AL4" s="223" t="n"/>
      <c r="AM4" s="223" t="n"/>
      <c r="AN4" s="223" t="n"/>
      <c r="AO4" s="223" t="n"/>
      <c r="AP4" s="223" t="n"/>
      <c r="AQ4" s="237" t="n"/>
      <c r="AR4" s="223" t="n"/>
      <c r="AS4" s="223" t="n"/>
      <c r="AT4" s="223" t="n"/>
      <c r="AU4" s="223" t="n"/>
      <c r="AV4" s="223" t="n"/>
      <c r="AW4" s="223" t="n"/>
      <c r="AX4" s="223" t="n"/>
      <c r="AY4" s="223" t="n"/>
      <c r="AZ4" s="223" t="n"/>
      <c r="BA4" s="223" t="n"/>
      <c r="BB4" s="223" t="n"/>
      <c r="BC4" s="223" t="n"/>
      <c r="BD4" s="223" t="n"/>
      <c r="BE4" s="223" t="n"/>
      <c r="BF4" s="223" t="n"/>
      <c r="BG4" s="223" t="n"/>
      <c r="BH4" s="223" t="n"/>
      <c r="BI4" s="223" t="n"/>
      <c r="BJ4" s="223" t="n"/>
      <c r="BK4" s="223" t="n"/>
      <c r="BL4" s="223" t="n"/>
      <c r="BM4" s="223" t="n"/>
      <c r="BN4" s="223" t="n"/>
      <c r="BO4" s="223" t="n"/>
      <c r="BP4" s="223" t="n"/>
      <c r="BQ4" s="223" t="n"/>
      <c r="BR4" s="223" t="n"/>
      <c r="BS4" s="223" t="n"/>
      <c r="BT4" s="223" t="n"/>
      <c r="BU4" s="223" t="n"/>
      <c r="BV4" s="223" t="n"/>
      <c r="BW4" s="223" t="n"/>
      <c r="BX4" s="223" t="n"/>
      <c r="BY4" s="223" t="n"/>
      <c r="BZ4" s="223" t="n"/>
      <c r="CA4" s="223" t="n"/>
      <c r="CB4" s="223" t="n"/>
      <c r="CC4" s="223" t="n"/>
      <c r="CD4" s="223" t="n"/>
      <c r="CE4" s="223" t="n"/>
      <c r="CF4" s="223" t="n"/>
      <c r="CG4" s="223" t="n"/>
      <c r="CH4" s="223" t="n"/>
      <c r="CI4" s="223" t="n"/>
      <c r="CJ4" s="223" t="n"/>
      <c r="CK4" s="223" t="n"/>
      <c r="CL4" s="223" t="n"/>
      <c r="CM4" s="223" t="n"/>
      <c r="CN4" s="223" t="n"/>
      <c r="CO4" s="223" t="n"/>
      <c r="CP4" s="223" t="n"/>
      <c r="CQ4" s="223" t="n"/>
      <c r="CR4" s="223" t="n"/>
      <c r="CS4" s="223" t="n"/>
      <c r="CT4" s="223" t="n"/>
      <c r="CU4" s="223" t="n"/>
      <c r="CV4" s="223" t="n"/>
      <c r="CW4" s="223" t="n"/>
      <c r="CX4" s="223" t="n"/>
      <c r="CY4" s="223" t="n"/>
      <c r="CZ4" s="223" t="n"/>
      <c r="DA4" s="223" t="n"/>
      <c r="DB4" s="223" t="n"/>
      <c r="DC4" s="223" t="n"/>
      <c r="DD4" s="223" t="n"/>
      <c r="DE4" s="223" t="n"/>
      <c r="DF4" s="223" t="n"/>
      <c r="DG4" s="223" t="n"/>
      <c r="DH4" s="223" t="n"/>
      <c r="DI4" s="223" t="n"/>
      <c r="DJ4" s="223" t="n"/>
      <c r="DK4" s="223" t="n"/>
      <c r="DL4" s="223" t="n"/>
      <c r="DM4" s="223" t="n"/>
      <c r="DN4" s="223" t="n"/>
      <c r="DO4" s="223" t="n"/>
      <c r="DP4" s="223" t="n"/>
      <c r="DQ4" s="223" t="n"/>
      <c r="DR4" s="223" t="n"/>
      <c r="DS4" s="223" t="n"/>
      <c r="DT4" s="223" t="n"/>
      <c r="DU4" s="223" t="n"/>
      <c r="DV4" s="223" t="n"/>
      <c r="DW4" s="223" t="n"/>
      <c r="DX4" s="223" t="n"/>
      <c r="DY4" s="223" t="n"/>
      <c r="DZ4" s="223" t="n"/>
      <c r="EA4" s="223" t="n"/>
      <c r="EB4" s="223" t="n"/>
      <c r="EC4" s="223" t="n"/>
      <c r="ED4" s="223" t="n"/>
      <c r="EE4" s="223" t="n"/>
      <c r="EF4" s="223" t="n"/>
      <c r="EG4" s="223" t="n"/>
      <c r="EH4" s="223" t="n"/>
      <c r="EI4" s="223" t="n"/>
      <c r="EJ4" s="223" t="n"/>
      <c r="EK4" s="223" t="n"/>
      <c r="EL4" s="223" t="n"/>
      <c r="EM4" s="223" t="n"/>
      <c r="EN4" s="223" t="n"/>
      <c r="EO4" s="223" t="n"/>
      <c r="EP4" s="223" t="n"/>
      <c r="EQ4" s="223" t="n"/>
      <c r="ER4" s="223" t="n"/>
      <c r="ES4" s="223" t="n"/>
      <c r="ET4" s="223" t="n"/>
      <c r="EU4" s="223" t="n"/>
      <c r="EV4" s="223" t="n"/>
      <c r="EW4" s="223" t="n"/>
      <c r="EX4" s="223" t="n"/>
      <c r="EY4" s="223" t="n"/>
      <c r="EZ4" s="223" t="n"/>
      <c r="FA4" s="223" t="n"/>
      <c r="FB4" s="223" t="n"/>
      <c r="FC4" s="223" t="n"/>
      <c r="FD4" s="223" t="n"/>
      <c r="FE4" s="223" t="n"/>
      <c r="FF4" s="223" t="n"/>
      <c r="FG4" s="223" t="n"/>
      <c r="FH4" s="223" t="n"/>
      <c r="FI4" s="223" t="n"/>
      <c r="FJ4" s="223" t="n"/>
      <c r="FK4" s="223" t="n"/>
      <c r="FL4" s="223" t="n"/>
      <c r="FM4" s="223" t="n"/>
      <c r="FN4" s="223" t="n"/>
      <c r="FO4" s="223" t="n"/>
      <c r="FP4" s="223" t="n"/>
      <c r="FQ4" s="223" t="n"/>
      <c r="FR4" s="223" t="n"/>
      <c r="FS4" s="223" t="n"/>
      <c r="FT4" s="223" t="n"/>
      <c r="FU4" s="223" t="n"/>
      <c r="FV4" s="223" t="n"/>
      <c r="FW4" s="223" t="n"/>
      <c r="FX4" s="223" t="n"/>
      <c r="FY4" s="223" t="n"/>
      <c r="FZ4" s="223" t="n"/>
      <c r="GA4" s="223" t="n"/>
      <c r="GB4" s="223" t="n"/>
      <c r="GC4" s="223" t="n"/>
      <c r="GD4" s="223" t="n"/>
      <c r="GE4" s="223" t="n"/>
      <c r="GF4" s="223" t="n"/>
      <c r="GG4" s="223" t="n"/>
      <c r="GH4" s="223" t="n"/>
      <c r="GI4" s="223" t="n"/>
      <c r="GJ4" s="223" t="n"/>
      <c r="GK4" s="223" t="n"/>
      <c r="GL4" s="223" t="n"/>
      <c r="GM4" s="223" t="n"/>
      <c r="GN4" s="223" t="n"/>
      <c r="GO4" s="223" t="n"/>
      <c r="GP4" s="223" t="n"/>
      <c r="GQ4" s="223" t="n"/>
      <c r="GR4" s="223" t="n"/>
      <c r="GS4" s="223" t="n"/>
      <c r="GT4" s="223" t="n"/>
      <c r="GU4" s="223" t="n"/>
      <c r="GV4" s="223" t="n"/>
      <c r="GW4" s="223" t="n"/>
      <c r="GX4" s="223" t="n"/>
      <c r="GY4" s="223" t="n"/>
      <c r="GZ4" s="223" t="n"/>
      <c r="HA4" s="223" t="n"/>
      <c r="HB4" s="223" t="n"/>
      <c r="HC4" s="223" t="n"/>
      <c r="HD4" s="223" t="n"/>
      <c r="HE4" s="223" t="n"/>
      <c r="HF4" s="223" t="n"/>
      <c r="HG4" s="223" t="n"/>
      <c r="HH4" s="223" t="n"/>
      <c r="HI4" s="223" t="n"/>
      <c r="HJ4" s="223" t="n"/>
      <c r="HK4" s="223" t="n"/>
      <c r="HL4" s="223" t="n"/>
      <c r="HM4" s="223" t="n"/>
      <c r="HN4" s="223" t="n"/>
      <c r="HO4" s="223" t="n"/>
      <c r="HP4" s="223" t="n"/>
      <c r="HQ4" s="223" t="n"/>
      <c r="HR4" s="223" t="n"/>
      <c r="HS4" s="223" t="n"/>
      <c r="HT4" s="223" t="n"/>
      <c r="HU4" s="223" t="n"/>
      <c r="HV4" s="223" t="n"/>
      <c r="HW4" s="223" t="n"/>
      <c r="HX4" s="223" t="n"/>
      <c r="HY4" s="223" t="n"/>
      <c r="HZ4" s="223" t="n"/>
      <c r="IA4" s="223" t="n"/>
      <c r="IB4" s="223" t="n"/>
      <c r="IC4" s="223" t="n"/>
      <c r="ID4" s="223" t="n"/>
      <c r="IE4" s="223" t="n"/>
      <c r="IF4" s="223" t="n"/>
      <c r="IG4" s="223" t="n"/>
      <c r="IH4" s="223" t="n"/>
      <c r="II4" s="223" t="n"/>
      <c r="IJ4" s="223" t="n"/>
      <c r="IK4" s="223" t="n"/>
      <c r="IL4" s="223" t="n"/>
      <c r="IM4" s="223" t="n"/>
      <c r="IN4" s="223" t="n"/>
      <c r="IO4" s="223" t="n"/>
      <c r="IP4" s="223" t="n"/>
      <c r="IQ4" s="223" t="n"/>
      <c r="IR4" s="223" t="n"/>
      <c r="IS4" s="223" t="n"/>
      <c r="IT4" s="223" t="n"/>
      <c r="IU4" s="223" t="n"/>
      <c r="IV4" s="223" t="n"/>
      <c r="IW4" s="223" t="n"/>
      <c r="IX4" s="223" t="n"/>
      <c r="IY4" s="223" t="n"/>
      <c r="IZ4" s="223" t="n"/>
      <c r="JA4" s="223" t="n"/>
      <c r="JB4" s="223" t="n"/>
      <c r="JC4" s="223" t="n"/>
      <c r="JD4" s="223" t="n"/>
      <c r="JE4" s="223" t="n"/>
      <c r="JF4" s="223" t="n"/>
      <c r="JG4" s="223" t="n"/>
      <c r="JH4" s="223" t="n"/>
      <c r="JI4" s="223" t="n"/>
      <c r="JJ4" s="223" t="n"/>
      <c r="JK4" s="223" t="n"/>
      <c r="JL4" s="223" t="n"/>
      <c r="JM4" s="223" t="n"/>
      <c r="JN4" s="223" t="n"/>
      <c r="JO4" s="223" t="n"/>
      <c r="JP4" s="223" t="n"/>
      <c r="JQ4" s="223" t="n"/>
      <c r="JR4" s="223" t="n"/>
      <c r="JS4" s="223" t="n"/>
      <c r="JT4" s="223" t="n"/>
      <c r="JU4" s="223" t="n"/>
      <c r="JV4" s="223" t="n"/>
      <c r="JW4" s="223" t="n"/>
      <c r="JX4" s="223" t="n"/>
      <c r="JY4" s="223" t="n"/>
      <c r="JZ4" s="223" t="n"/>
      <c r="KA4" s="223" t="n"/>
      <c r="KB4" s="223" t="n"/>
      <c r="KC4" s="223" t="n"/>
      <c r="KD4" s="223" t="n"/>
      <c r="KE4" s="223" t="n"/>
      <c r="KF4" s="223" t="n"/>
      <c r="KG4" s="223" t="n"/>
      <c r="KH4" s="223" t="n"/>
      <c r="KI4" s="223" t="n"/>
      <c r="KJ4" s="223" t="n"/>
      <c r="KK4" s="223" t="n"/>
      <c r="KL4" s="223" t="n"/>
      <c r="KM4" s="223" t="n"/>
      <c r="KN4" s="223" t="n"/>
      <c r="KO4" s="223" t="n"/>
      <c r="KP4" s="223" t="n"/>
      <c r="KQ4" s="223" t="n"/>
      <c r="KR4" s="223" t="n"/>
      <c r="KS4" s="223" t="n"/>
      <c r="KT4" s="223" t="n"/>
      <c r="KU4" s="223" t="n"/>
      <c r="KV4" s="223" t="n"/>
      <c r="KW4" s="223" t="n"/>
      <c r="KX4" s="223" t="n"/>
      <c r="KY4" s="223" t="n"/>
      <c r="KZ4" s="223" t="n"/>
      <c r="LA4" s="223" t="n"/>
      <c r="LB4" s="223" t="n"/>
      <c r="LC4" s="223" t="n"/>
      <c r="LD4" s="223" t="n"/>
      <c r="LE4" s="223" t="n"/>
      <c r="LF4" s="223" t="n"/>
      <c r="LG4" s="223" t="n"/>
      <c r="LH4" s="223" t="n"/>
      <c r="LI4" s="223" t="n"/>
      <c r="LJ4" s="223" t="n"/>
      <c r="LK4" s="223" t="n"/>
      <c r="LL4" s="223" t="n"/>
      <c r="LM4" s="223" t="n"/>
      <c r="LN4" s="223" t="n"/>
      <c r="LO4" s="223" t="n"/>
      <c r="LP4" s="223" t="n"/>
      <c r="LQ4" s="223" t="n"/>
      <c r="LR4" s="223" t="n"/>
      <c r="LS4" s="223" t="n"/>
      <c r="LT4" s="223" t="n"/>
      <c r="LU4" s="223" t="n"/>
      <c r="LV4" s="223" t="n"/>
      <c r="LW4" s="223" t="n"/>
      <c r="LX4" s="223" t="n"/>
      <c r="LY4" s="223" t="n"/>
      <c r="LZ4" s="223" t="n"/>
      <c r="MA4" s="223" t="n"/>
      <c r="MB4" s="223" t="n"/>
      <c r="MC4" s="223" t="n"/>
      <c r="MD4" s="223" t="n"/>
      <c r="ME4" s="223" t="n"/>
      <c r="MF4" s="223" t="n"/>
      <c r="MG4" s="223" t="n"/>
      <c r="MH4" s="223" t="n"/>
      <c r="MI4" s="223" t="n"/>
      <c r="MJ4" s="223" t="n"/>
      <c r="MK4" s="223" t="n"/>
      <c r="ML4" s="223" t="n"/>
      <c r="MM4" s="223" t="n"/>
      <c r="MN4" s="223" t="n"/>
      <c r="MO4" s="223" t="n"/>
      <c r="MP4" s="223" t="n"/>
      <c r="MQ4" s="223" t="n"/>
      <c r="MR4" s="223" t="n"/>
      <c r="MS4" s="223" t="n"/>
      <c r="MT4" s="223" t="n"/>
      <c r="MU4" s="223" t="n"/>
      <c r="MV4" s="223" t="n"/>
      <c r="MW4" s="223" t="n"/>
      <c r="MX4" s="223" t="n"/>
      <c r="MY4" s="223" t="n"/>
      <c r="MZ4" s="223" t="n"/>
      <c r="NA4" s="223" t="n"/>
      <c r="NB4" s="223" t="n"/>
      <c r="NC4" s="223" t="n"/>
      <c r="ND4" s="223" t="n"/>
      <c r="NE4" s="223" t="n"/>
    </row>
    <row r="5" ht="37.5" customHeight="1" s="166">
      <c r="A5" s="238" t="inlineStr">
        <is>
          <t>Daily Comparison</t>
        </is>
      </c>
    </row>
    <row r="6" ht="15" customHeight="1" s="166">
      <c r="A6" s="239" t="inlineStr">
        <is>
          <t xml:space="preserve"> </t>
        </is>
      </c>
      <c r="B6" s="240" t="n"/>
      <c r="D6" s="235" t="inlineStr">
        <is>
          <t xml:space="preserve"> </t>
        </is>
      </c>
      <c r="E6" s="235" t="inlineStr">
        <is>
          <t xml:space="preserve"> </t>
        </is>
      </c>
      <c r="F6" s="241" t="inlineStr">
        <is>
          <t xml:space="preserve"> </t>
        </is>
      </c>
      <c r="G6" s="235" t="inlineStr">
        <is>
          <t xml:space="preserve"> </t>
        </is>
      </c>
      <c r="H6" s="235" t="inlineStr">
        <is>
          <t xml:space="preserve"> </t>
        </is>
      </c>
      <c r="I6" s="235" t="inlineStr">
        <is>
          <t xml:space="preserve"> </t>
        </is>
      </c>
      <c r="J6" s="235" t="inlineStr">
        <is>
          <t xml:space="preserve"> </t>
        </is>
      </c>
      <c r="K6" s="235" t="inlineStr">
        <is>
          <t xml:space="preserve"> </t>
        </is>
      </c>
      <c r="L6" s="235" t="inlineStr">
        <is>
          <t xml:space="preserve"> </t>
        </is>
      </c>
      <c r="M6" s="235" t="inlineStr">
        <is>
          <t xml:space="preserve"> </t>
        </is>
      </c>
      <c r="N6" s="235" t="inlineStr">
        <is>
          <t xml:space="preserve"> </t>
        </is>
      </c>
      <c r="O6" s="235" t="inlineStr">
        <is>
          <t xml:space="preserve"> </t>
        </is>
      </c>
      <c r="P6" s="235" t="inlineStr">
        <is>
          <t xml:space="preserve"> </t>
        </is>
      </c>
      <c r="Q6" s="235" t="inlineStr">
        <is>
          <t xml:space="preserve"> </t>
        </is>
      </c>
      <c r="R6" s="235" t="inlineStr">
        <is>
          <t xml:space="preserve"> </t>
        </is>
      </c>
      <c r="S6" s="235" t="inlineStr">
        <is>
          <t xml:space="preserve"> </t>
        </is>
      </c>
      <c r="T6" s="235" t="inlineStr">
        <is>
          <t xml:space="preserve"> </t>
        </is>
      </c>
      <c r="U6" s="235" t="inlineStr">
        <is>
          <t xml:space="preserve"> </t>
        </is>
      </c>
      <c r="V6" s="235" t="inlineStr">
        <is>
          <t xml:space="preserve"> </t>
        </is>
      </c>
      <c r="W6" s="235" t="inlineStr">
        <is>
          <t xml:space="preserve"> </t>
        </is>
      </c>
      <c r="X6" s="235" t="inlineStr">
        <is>
          <t xml:space="preserve"> </t>
        </is>
      </c>
      <c r="Y6" s="235" t="inlineStr">
        <is>
          <t xml:space="preserve"> </t>
        </is>
      </c>
      <c r="Z6" s="235" t="inlineStr">
        <is>
          <t xml:space="preserve"> </t>
        </is>
      </c>
      <c r="AA6" s="235" t="inlineStr">
        <is>
          <t xml:space="preserve"> </t>
        </is>
      </c>
      <c r="AB6" s="235" t="inlineStr">
        <is>
          <t xml:space="preserve"> </t>
        </is>
      </c>
      <c r="AC6" s="235" t="inlineStr">
        <is>
          <t xml:space="preserve"> </t>
        </is>
      </c>
      <c r="AD6" s="235" t="inlineStr">
        <is>
          <t xml:space="preserve"> </t>
        </is>
      </c>
      <c r="AE6" s="235" t="inlineStr">
        <is>
          <t xml:space="preserve"> </t>
        </is>
      </c>
      <c r="AF6" s="235" t="inlineStr">
        <is>
          <t xml:space="preserve"> </t>
        </is>
      </c>
      <c r="AG6" s="235" t="inlineStr">
        <is>
          <t xml:space="preserve"> </t>
        </is>
      </c>
      <c r="AH6" s="235" t="inlineStr">
        <is>
          <t xml:space="preserve"> </t>
        </is>
      </c>
      <c r="AI6" s="235" t="inlineStr">
        <is>
          <t xml:space="preserve"> </t>
        </is>
      </c>
      <c r="AJ6" s="235" t="inlineStr">
        <is>
          <t xml:space="preserve"> </t>
        </is>
      </c>
      <c r="AK6" s="235" t="inlineStr">
        <is>
          <t xml:space="preserve"> </t>
        </is>
      </c>
      <c r="AL6" s="235" t="inlineStr">
        <is>
          <t xml:space="preserve"> </t>
        </is>
      </c>
      <c r="AM6" s="235" t="inlineStr">
        <is>
          <t xml:space="preserve"> </t>
        </is>
      </c>
      <c r="AN6" s="235" t="inlineStr">
        <is>
          <t xml:space="preserve"> </t>
        </is>
      </c>
      <c r="AO6" s="235" t="inlineStr">
        <is>
          <t xml:space="preserve"> </t>
        </is>
      </c>
      <c r="AP6" s="235" t="inlineStr">
        <is>
          <t xml:space="preserve"> </t>
        </is>
      </c>
      <c r="AQ6" s="235" t="inlineStr">
        <is>
          <t xml:space="preserve"> </t>
        </is>
      </c>
      <c r="AR6" s="235" t="inlineStr">
        <is>
          <t xml:space="preserve"> </t>
        </is>
      </c>
      <c r="AS6" s="235" t="inlineStr">
        <is>
          <t xml:space="preserve"> </t>
        </is>
      </c>
      <c r="AT6" s="235" t="inlineStr">
        <is>
          <t xml:space="preserve"> </t>
        </is>
      </c>
      <c r="AU6" s="235" t="inlineStr">
        <is>
          <t xml:space="preserve"> </t>
        </is>
      </c>
      <c r="AV6" s="235" t="inlineStr">
        <is>
          <t xml:space="preserve"> </t>
        </is>
      </c>
      <c r="AW6" s="235" t="inlineStr">
        <is>
          <t xml:space="preserve"> </t>
        </is>
      </c>
      <c r="AX6" s="235" t="inlineStr">
        <is>
          <t xml:space="preserve"> </t>
        </is>
      </c>
      <c r="AY6" s="235" t="inlineStr">
        <is>
          <t xml:space="preserve"> </t>
        </is>
      </c>
      <c r="AZ6" s="235" t="inlineStr">
        <is>
          <t xml:space="preserve"> </t>
        </is>
      </c>
      <c r="BA6" s="235" t="inlineStr">
        <is>
          <t xml:space="preserve"> </t>
        </is>
      </c>
      <c r="BB6" s="235" t="inlineStr">
        <is>
          <t xml:space="preserve"> </t>
        </is>
      </c>
      <c r="BC6" s="235" t="inlineStr">
        <is>
          <t xml:space="preserve"> </t>
        </is>
      </c>
      <c r="BD6" s="235" t="inlineStr">
        <is>
          <t xml:space="preserve"> </t>
        </is>
      </c>
      <c r="BE6" s="235" t="inlineStr">
        <is>
          <t xml:space="preserve"> </t>
        </is>
      </c>
      <c r="BF6" s="235" t="inlineStr">
        <is>
          <t xml:space="preserve"> </t>
        </is>
      </c>
      <c r="BG6" s="235" t="inlineStr">
        <is>
          <t xml:space="preserve"> </t>
        </is>
      </c>
      <c r="BH6" s="235" t="inlineStr">
        <is>
          <t xml:space="preserve"> </t>
        </is>
      </c>
      <c r="BI6" s="235" t="inlineStr">
        <is>
          <t xml:space="preserve"> </t>
        </is>
      </c>
      <c r="BJ6" s="235" t="inlineStr">
        <is>
          <t xml:space="preserve"> </t>
        </is>
      </c>
      <c r="BK6" s="235" t="inlineStr">
        <is>
          <t xml:space="preserve"> </t>
        </is>
      </c>
      <c r="BL6" s="235" t="inlineStr">
        <is>
          <t xml:space="preserve"> </t>
        </is>
      </c>
      <c r="BM6" s="235" t="inlineStr">
        <is>
          <t xml:space="preserve"> </t>
        </is>
      </c>
      <c r="BN6" s="235" t="inlineStr">
        <is>
          <t xml:space="preserve"> </t>
        </is>
      </c>
      <c r="BO6" s="235" t="inlineStr">
        <is>
          <t xml:space="preserve"> </t>
        </is>
      </c>
      <c r="BP6" s="235" t="inlineStr">
        <is>
          <t xml:space="preserve"> </t>
        </is>
      </c>
      <c r="BQ6" s="235" t="inlineStr">
        <is>
          <t xml:space="preserve"> </t>
        </is>
      </c>
      <c r="BR6" s="235" t="inlineStr">
        <is>
          <t xml:space="preserve"> </t>
        </is>
      </c>
      <c r="BS6" s="235" t="inlineStr">
        <is>
          <t xml:space="preserve"> </t>
        </is>
      </c>
      <c r="BT6" s="235" t="inlineStr">
        <is>
          <t xml:space="preserve"> </t>
        </is>
      </c>
      <c r="BU6" s="235" t="inlineStr">
        <is>
          <t xml:space="preserve"> </t>
        </is>
      </c>
      <c r="BV6" s="235" t="inlineStr">
        <is>
          <t xml:space="preserve"> </t>
        </is>
      </c>
      <c r="BW6" s="235" t="inlineStr">
        <is>
          <t xml:space="preserve"> </t>
        </is>
      </c>
      <c r="BX6" s="235" t="inlineStr">
        <is>
          <t xml:space="preserve"> </t>
        </is>
      </c>
      <c r="BY6" s="235" t="inlineStr">
        <is>
          <t xml:space="preserve"> </t>
        </is>
      </c>
      <c r="BZ6" s="235" t="inlineStr">
        <is>
          <t xml:space="preserve"> </t>
        </is>
      </c>
      <c r="CA6" s="235" t="inlineStr">
        <is>
          <t xml:space="preserve"> </t>
        </is>
      </c>
      <c r="CB6" s="235" t="inlineStr">
        <is>
          <t xml:space="preserve"> </t>
        </is>
      </c>
      <c r="CC6" s="235" t="inlineStr">
        <is>
          <t xml:space="preserve"> </t>
        </is>
      </c>
      <c r="CD6" s="235" t="inlineStr">
        <is>
          <t xml:space="preserve"> </t>
        </is>
      </c>
      <c r="CE6" s="235" t="inlineStr">
        <is>
          <t xml:space="preserve"> </t>
        </is>
      </c>
      <c r="CF6" s="235" t="inlineStr">
        <is>
          <t xml:space="preserve"> </t>
        </is>
      </c>
      <c r="CG6" s="235" t="inlineStr">
        <is>
          <t xml:space="preserve"> </t>
        </is>
      </c>
      <c r="CH6" s="235" t="inlineStr">
        <is>
          <t xml:space="preserve"> </t>
        </is>
      </c>
      <c r="CI6" s="235" t="inlineStr">
        <is>
          <t xml:space="preserve"> </t>
        </is>
      </c>
      <c r="CJ6" s="235" t="inlineStr">
        <is>
          <t xml:space="preserve"> </t>
        </is>
      </c>
      <c r="CK6" s="235" t="inlineStr">
        <is>
          <t xml:space="preserve"> </t>
        </is>
      </c>
      <c r="CL6" s="235" t="inlineStr">
        <is>
          <t xml:space="preserve"> </t>
        </is>
      </c>
      <c r="CM6" s="235" t="inlineStr">
        <is>
          <t xml:space="preserve"> </t>
        </is>
      </c>
      <c r="CN6" s="235" t="inlineStr">
        <is>
          <t xml:space="preserve"> </t>
        </is>
      </c>
      <c r="CO6" s="235" t="inlineStr">
        <is>
          <t xml:space="preserve"> </t>
        </is>
      </c>
      <c r="CP6" s="235" t="inlineStr">
        <is>
          <t xml:space="preserve"> </t>
        </is>
      </c>
      <c r="CQ6" s="235" t="inlineStr">
        <is>
          <t xml:space="preserve"> </t>
        </is>
      </c>
      <c r="CR6" s="235" t="inlineStr">
        <is>
          <t xml:space="preserve"> </t>
        </is>
      </c>
      <c r="CS6" s="235" t="inlineStr">
        <is>
          <t xml:space="preserve"> </t>
        </is>
      </c>
      <c r="CT6" s="235" t="inlineStr">
        <is>
          <t xml:space="preserve"> </t>
        </is>
      </c>
      <c r="CU6" s="235" t="inlineStr">
        <is>
          <t xml:space="preserve"> </t>
        </is>
      </c>
      <c r="CV6" s="235" t="inlineStr">
        <is>
          <t xml:space="preserve"> </t>
        </is>
      </c>
      <c r="CW6" s="235" t="inlineStr">
        <is>
          <t xml:space="preserve"> </t>
        </is>
      </c>
      <c r="CX6" s="235" t="inlineStr">
        <is>
          <t xml:space="preserve"> </t>
        </is>
      </c>
      <c r="CY6" s="235" t="inlineStr">
        <is>
          <t xml:space="preserve"> </t>
        </is>
      </c>
      <c r="CZ6" s="235" t="inlineStr">
        <is>
          <t xml:space="preserve"> </t>
        </is>
      </c>
      <c r="DA6" s="235" t="inlineStr">
        <is>
          <t xml:space="preserve"> </t>
        </is>
      </c>
      <c r="DB6" s="235" t="inlineStr">
        <is>
          <t xml:space="preserve"> </t>
        </is>
      </c>
      <c r="DC6" s="235" t="inlineStr">
        <is>
          <t xml:space="preserve"> </t>
        </is>
      </c>
      <c r="DD6" s="235" t="inlineStr">
        <is>
          <t xml:space="preserve"> </t>
        </is>
      </c>
      <c r="DE6" s="235" t="inlineStr">
        <is>
          <t xml:space="preserve"> </t>
        </is>
      </c>
      <c r="DF6" s="235" t="inlineStr">
        <is>
          <t xml:space="preserve"> </t>
        </is>
      </c>
      <c r="DG6" s="235" t="inlineStr">
        <is>
          <t xml:space="preserve"> </t>
        </is>
      </c>
      <c r="DH6" s="235" t="inlineStr">
        <is>
          <t xml:space="preserve"> </t>
        </is>
      </c>
      <c r="DI6" s="235" t="inlineStr">
        <is>
          <t xml:space="preserve"> </t>
        </is>
      </c>
      <c r="DJ6" s="235" t="inlineStr">
        <is>
          <t xml:space="preserve"> </t>
        </is>
      </c>
      <c r="DK6" s="235" t="inlineStr">
        <is>
          <t xml:space="preserve"> </t>
        </is>
      </c>
      <c r="DL6" s="235" t="inlineStr">
        <is>
          <t xml:space="preserve"> </t>
        </is>
      </c>
      <c r="DM6" s="235" t="inlineStr">
        <is>
          <t xml:space="preserve"> </t>
        </is>
      </c>
      <c r="DN6" s="235" t="inlineStr">
        <is>
          <t xml:space="preserve"> </t>
        </is>
      </c>
      <c r="DO6" s="235" t="inlineStr">
        <is>
          <t xml:space="preserve"> </t>
        </is>
      </c>
      <c r="DP6" s="235" t="inlineStr">
        <is>
          <t xml:space="preserve"> </t>
        </is>
      </c>
      <c r="DQ6" s="235" t="inlineStr">
        <is>
          <t xml:space="preserve"> </t>
        </is>
      </c>
      <c r="DR6" s="235" t="inlineStr">
        <is>
          <t xml:space="preserve"> </t>
        </is>
      </c>
      <c r="DS6" s="235" t="inlineStr">
        <is>
          <t xml:space="preserve"> </t>
        </is>
      </c>
      <c r="DT6" s="235" t="inlineStr">
        <is>
          <t xml:space="preserve"> </t>
        </is>
      </c>
      <c r="DU6" s="235" t="inlineStr">
        <is>
          <t xml:space="preserve"> </t>
        </is>
      </c>
      <c r="DV6" s="235" t="inlineStr">
        <is>
          <t xml:space="preserve"> </t>
        </is>
      </c>
      <c r="DW6" s="235" t="inlineStr">
        <is>
          <t xml:space="preserve"> </t>
        </is>
      </c>
      <c r="DX6" s="235" t="inlineStr">
        <is>
          <t xml:space="preserve"> </t>
        </is>
      </c>
      <c r="DY6" s="235" t="inlineStr">
        <is>
          <t xml:space="preserve"> </t>
        </is>
      </c>
      <c r="DZ6" s="235" t="inlineStr">
        <is>
          <t xml:space="preserve"> </t>
        </is>
      </c>
      <c r="EA6" s="235" t="inlineStr">
        <is>
          <t xml:space="preserve"> </t>
        </is>
      </c>
      <c r="EB6" s="235" t="inlineStr">
        <is>
          <t xml:space="preserve"> </t>
        </is>
      </c>
      <c r="EC6" s="235" t="inlineStr">
        <is>
          <t xml:space="preserve"> </t>
        </is>
      </c>
      <c r="ED6" s="235" t="inlineStr">
        <is>
          <t xml:space="preserve"> </t>
        </is>
      </c>
      <c r="EE6" s="235" t="inlineStr">
        <is>
          <t xml:space="preserve"> </t>
        </is>
      </c>
      <c r="EF6" s="235" t="inlineStr">
        <is>
          <t xml:space="preserve"> </t>
        </is>
      </c>
      <c r="EG6" s="235" t="inlineStr">
        <is>
          <t xml:space="preserve"> </t>
        </is>
      </c>
      <c r="EH6" s="235" t="inlineStr">
        <is>
          <t xml:space="preserve"> </t>
        </is>
      </c>
      <c r="EI6" s="235" t="inlineStr">
        <is>
          <t xml:space="preserve"> </t>
        </is>
      </c>
      <c r="EJ6" s="235" t="inlineStr">
        <is>
          <t xml:space="preserve"> </t>
        </is>
      </c>
      <c r="EK6" s="235" t="inlineStr">
        <is>
          <t xml:space="preserve"> </t>
        </is>
      </c>
      <c r="EL6" s="235" t="inlineStr">
        <is>
          <t xml:space="preserve"> </t>
        </is>
      </c>
      <c r="EM6" s="235" t="inlineStr">
        <is>
          <t xml:space="preserve"> </t>
        </is>
      </c>
      <c r="EN6" s="235" t="inlineStr">
        <is>
          <t xml:space="preserve"> </t>
        </is>
      </c>
      <c r="EO6" s="235" t="inlineStr">
        <is>
          <t xml:space="preserve"> </t>
        </is>
      </c>
      <c r="EP6" s="235" t="inlineStr">
        <is>
          <t xml:space="preserve"> </t>
        </is>
      </c>
      <c r="EQ6" s="235" t="inlineStr">
        <is>
          <t xml:space="preserve"> </t>
        </is>
      </c>
      <c r="ER6" s="235" t="inlineStr">
        <is>
          <t xml:space="preserve"> </t>
        </is>
      </c>
      <c r="ES6" s="235" t="inlineStr">
        <is>
          <t xml:space="preserve"> </t>
        </is>
      </c>
      <c r="ET6" s="235" t="inlineStr">
        <is>
          <t xml:space="preserve"> </t>
        </is>
      </c>
      <c r="EU6" s="235" t="inlineStr">
        <is>
          <t xml:space="preserve"> </t>
        </is>
      </c>
      <c r="EV6" s="235" t="inlineStr">
        <is>
          <t xml:space="preserve"> </t>
        </is>
      </c>
      <c r="EW6" s="235" t="inlineStr">
        <is>
          <t xml:space="preserve"> </t>
        </is>
      </c>
      <c r="EX6" s="235" t="inlineStr">
        <is>
          <t xml:space="preserve"> </t>
        </is>
      </c>
      <c r="EY6" s="235" t="inlineStr">
        <is>
          <t xml:space="preserve"> </t>
        </is>
      </c>
      <c r="EZ6" s="235" t="inlineStr">
        <is>
          <t xml:space="preserve"> </t>
        </is>
      </c>
      <c r="FA6" s="235" t="inlineStr">
        <is>
          <t xml:space="preserve"> </t>
        </is>
      </c>
      <c r="FB6" s="235" t="inlineStr">
        <is>
          <t xml:space="preserve"> </t>
        </is>
      </c>
      <c r="FC6" s="235" t="inlineStr">
        <is>
          <t xml:space="preserve"> </t>
        </is>
      </c>
      <c r="FD6" s="235" t="inlineStr">
        <is>
          <t xml:space="preserve"> </t>
        </is>
      </c>
      <c r="FE6" s="235" t="inlineStr">
        <is>
          <t xml:space="preserve"> </t>
        </is>
      </c>
      <c r="FF6" s="235" t="inlineStr">
        <is>
          <t xml:space="preserve"> </t>
        </is>
      </c>
      <c r="FG6" s="235" t="inlineStr">
        <is>
          <t xml:space="preserve"> </t>
        </is>
      </c>
      <c r="FH6" s="235" t="inlineStr">
        <is>
          <t xml:space="preserve"> </t>
        </is>
      </c>
      <c r="FI6" s="235" t="inlineStr">
        <is>
          <t xml:space="preserve"> </t>
        </is>
      </c>
      <c r="FJ6" s="235" t="inlineStr">
        <is>
          <t xml:space="preserve"> </t>
        </is>
      </c>
      <c r="FK6" s="235" t="inlineStr">
        <is>
          <t xml:space="preserve"> </t>
        </is>
      </c>
      <c r="FL6" s="235" t="inlineStr">
        <is>
          <t xml:space="preserve"> </t>
        </is>
      </c>
      <c r="FM6" s="235" t="inlineStr">
        <is>
          <t xml:space="preserve"> </t>
        </is>
      </c>
      <c r="FN6" s="235" t="inlineStr">
        <is>
          <t xml:space="preserve"> </t>
        </is>
      </c>
      <c r="FO6" s="235" t="inlineStr">
        <is>
          <t xml:space="preserve"> </t>
        </is>
      </c>
      <c r="FP6" s="235" t="inlineStr">
        <is>
          <t xml:space="preserve"> </t>
        </is>
      </c>
      <c r="FQ6" s="235" t="inlineStr">
        <is>
          <t xml:space="preserve"> </t>
        </is>
      </c>
      <c r="FR6" s="235" t="inlineStr">
        <is>
          <t xml:space="preserve"> </t>
        </is>
      </c>
      <c r="FS6" s="235" t="inlineStr">
        <is>
          <t xml:space="preserve"> </t>
        </is>
      </c>
      <c r="FT6" s="235" t="inlineStr">
        <is>
          <t xml:space="preserve"> </t>
        </is>
      </c>
      <c r="FU6" s="235" t="inlineStr">
        <is>
          <t xml:space="preserve"> </t>
        </is>
      </c>
      <c r="FV6" s="235" t="inlineStr">
        <is>
          <t xml:space="preserve"> </t>
        </is>
      </c>
      <c r="FW6" s="235" t="inlineStr">
        <is>
          <t xml:space="preserve"> </t>
        </is>
      </c>
      <c r="FX6" s="235" t="inlineStr">
        <is>
          <t xml:space="preserve"> </t>
        </is>
      </c>
      <c r="FY6" s="235" t="inlineStr">
        <is>
          <t xml:space="preserve"> </t>
        </is>
      </c>
      <c r="FZ6" s="235" t="inlineStr">
        <is>
          <t xml:space="preserve"> </t>
        </is>
      </c>
      <c r="GA6" s="235" t="inlineStr">
        <is>
          <t xml:space="preserve"> </t>
        </is>
      </c>
      <c r="GB6" s="235" t="inlineStr">
        <is>
          <t xml:space="preserve"> </t>
        </is>
      </c>
      <c r="GC6" s="235" t="inlineStr">
        <is>
          <t xml:space="preserve"> </t>
        </is>
      </c>
      <c r="GD6" s="235" t="inlineStr">
        <is>
          <t xml:space="preserve"> </t>
        </is>
      </c>
      <c r="GE6" s="235" t="inlineStr">
        <is>
          <t xml:space="preserve"> </t>
        </is>
      </c>
      <c r="GF6" s="241" t="inlineStr">
        <is>
          <t xml:space="preserve"> </t>
        </is>
      </c>
      <c r="GG6" s="235" t="inlineStr">
        <is>
          <t xml:space="preserve"> </t>
        </is>
      </c>
      <c r="GH6" s="235" t="inlineStr">
        <is>
          <t xml:space="preserve"> </t>
        </is>
      </c>
      <c r="GI6" s="235" t="inlineStr">
        <is>
          <t xml:space="preserve"> </t>
        </is>
      </c>
      <c r="GJ6" s="242" t="n"/>
      <c r="GK6" s="235" t="inlineStr">
        <is>
          <t xml:space="preserve"> </t>
        </is>
      </c>
      <c r="GL6" s="235" t="inlineStr">
        <is>
          <t xml:space="preserve"> </t>
        </is>
      </c>
      <c r="GM6" s="235" t="inlineStr">
        <is>
          <t xml:space="preserve"> </t>
        </is>
      </c>
      <c r="GN6" s="235" t="inlineStr">
        <is>
          <t xml:space="preserve"> </t>
        </is>
      </c>
      <c r="GO6" s="235" t="inlineStr">
        <is>
          <t xml:space="preserve"> </t>
        </is>
      </c>
      <c r="GP6" s="235" t="inlineStr">
        <is>
          <t xml:space="preserve"> </t>
        </is>
      </c>
      <c r="GQ6" s="235" t="inlineStr">
        <is>
          <t xml:space="preserve"> </t>
        </is>
      </c>
      <c r="GR6" s="235" t="inlineStr">
        <is>
          <t xml:space="preserve"> </t>
        </is>
      </c>
      <c r="GS6" s="235" t="inlineStr">
        <is>
          <t xml:space="preserve"> </t>
        </is>
      </c>
      <c r="GT6" s="235" t="inlineStr">
        <is>
          <t xml:space="preserve"> </t>
        </is>
      </c>
      <c r="GU6" s="235" t="inlineStr">
        <is>
          <t xml:space="preserve"> </t>
        </is>
      </c>
      <c r="GV6" s="235" t="inlineStr">
        <is>
          <t xml:space="preserve"> </t>
        </is>
      </c>
      <c r="GW6" s="235" t="inlineStr">
        <is>
          <t xml:space="preserve"> </t>
        </is>
      </c>
      <c r="GX6" s="235" t="inlineStr">
        <is>
          <t xml:space="preserve"> </t>
        </is>
      </c>
      <c r="GY6" s="235" t="inlineStr">
        <is>
          <t xml:space="preserve"> </t>
        </is>
      </c>
      <c r="GZ6" s="235" t="inlineStr">
        <is>
          <t xml:space="preserve"> </t>
        </is>
      </c>
      <c r="HA6" s="235" t="inlineStr">
        <is>
          <t xml:space="preserve"> </t>
        </is>
      </c>
      <c r="HB6" s="235" t="inlineStr">
        <is>
          <t xml:space="preserve"> </t>
        </is>
      </c>
      <c r="HC6" s="235" t="inlineStr">
        <is>
          <t xml:space="preserve"> </t>
        </is>
      </c>
      <c r="HD6" s="235" t="inlineStr">
        <is>
          <t xml:space="preserve"> </t>
        </is>
      </c>
      <c r="HE6" s="235" t="inlineStr">
        <is>
          <t xml:space="preserve"> </t>
        </is>
      </c>
      <c r="HF6" s="235" t="inlineStr">
        <is>
          <t xml:space="preserve"> </t>
        </is>
      </c>
      <c r="HG6" s="235" t="inlineStr">
        <is>
          <t xml:space="preserve"> </t>
        </is>
      </c>
      <c r="HH6" s="235" t="inlineStr">
        <is>
          <t xml:space="preserve"> </t>
        </is>
      </c>
      <c r="HI6" s="235" t="inlineStr">
        <is>
          <t xml:space="preserve"> </t>
        </is>
      </c>
      <c r="HJ6" s="235" t="inlineStr">
        <is>
          <t xml:space="preserve"> </t>
        </is>
      </c>
      <c r="HK6" s="235" t="inlineStr">
        <is>
          <t xml:space="preserve"> </t>
        </is>
      </c>
      <c r="HL6" s="235" t="inlineStr">
        <is>
          <t xml:space="preserve"> </t>
        </is>
      </c>
      <c r="HM6" s="235" t="inlineStr">
        <is>
          <t xml:space="preserve"> </t>
        </is>
      </c>
      <c r="HN6" s="235" t="inlineStr">
        <is>
          <t xml:space="preserve"> </t>
        </is>
      </c>
      <c r="HO6" s="235" t="inlineStr">
        <is>
          <t xml:space="preserve"> </t>
        </is>
      </c>
      <c r="HP6" s="235" t="inlineStr">
        <is>
          <t xml:space="preserve"> </t>
        </is>
      </c>
      <c r="HQ6" s="235" t="inlineStr">
        <is>
          <t xml:space="preserve"> </t>
        </is>
      </c>
      <c r="HR6" s="235" t="inlineStr">
        <is>
          <t xml:space="preserve"> </t>
        </is>
      </c>
      <c r="HS6" s="235" t="inlineStr">
        <is>
          <t xml:space="preserve"> </t>
        </is>
      </c>
      <c r="HT6" s="235" t="inlineStr">
        <is>
          <t xml:space="preserve"> </t>
        </is>
      </c>
      <c r="HU6" s="235" t="inlineStr">
        <is>
          <t xml:space="preserve"> </t>
        </is>
      </c>
      <c r="HV6" s="235" t="inlineStr">
        <is>
          <t xml:space="preserve"> </t>
        </is>
      </c>
      <c r="HW6" s="235" t="inlineStr">
        <is>
          <t xml:space="preserve"> </t>
        </is>
      </c>
      <c r="HX6" s="235" t="inlineStr">
        <is>
          <t xml:space="preserve"> </t>
        </is>
      </c>
      <c r="HY6" s="235" t="inlineStr">
        <is>
          <t xml:space="preserve"> </t>
        </is>
      </c>
      <c r="HZ6" s="235" t="inlineStr">
        <is>
          <t xml:space="preserve"> </t>
        </is>
      </c>
      <c r="IA6" s="235" t="inlineStr">
        <is>
          <t xml:space="preserve"> </t>
        </is>
      </c>
      <c r="IB6" s="235" t="inlineStr">
        <is>
          <t xml:space="preserve"> </t>
        </is>
      </c>
      <c r="IC6" s="235" t="inlineStr">
        <is>
          <t xml:space="preserve"> </t>
        </is>
      </c>
      <c r="ID6" s="235" t="inlineStr">
        <is>
          <t xml:space="preserve"> </t>
        </is>
      </c>
      <c r="IE6" s="235" t="inlineStr">
        <is>
          <t xml:space="preserve"> </t>
        </is>
      </c>
      <c r="IF6" s="235" t="inlineStr">
        <is>
          <t xml:space="preserve"> </t>
        </is>
      </c>
      <c r="IG6" s="235" t="inlineStr">
        <is>
          <t xml:space="preserve"> </t>
        </is>
      </c>
      <c r="IH6" s="235" t="inlineStr">
        <is>
          <t xml:space="preserve"> </t>
        </is>
      </c>
      <c r="II6" s="235" t="inlineStr">
        <is>
          <t xml:space="preserve"> </t>
        </is>
      </c>
      <c r="IJ6" s="235" t="inlineStr">
        <is>
          <t xml:space="preserve"> </t>
        </is>
      </c>
      <c r="IK6" s="235" t="inlineStr">
        <is>
          <t xml:space="preserve"> </t>
        </is>
      </c>
      <c r="IL6" s="235" t="inlineStr">
        <is>
          <t xml:space="preserve"> </t>
        </is>
      </c>
      <c r="IM6" s="235" t="inlineStr">
        <is>
          <t xml:space="preserve"> </t>
        </is>
      </c>
      <c r="IN6" s="235" t="inlineStr">
        <is>
          <t xml:space="preserve"> </t>
        </is>
      </c>
      <c r="IO6" s="235" t="inlineStr">
        <is>
          <t xml:space="preserve"> </t>
        </is>
      </c>
      <c r="IP6" s="235" t="inlineStr">
        <is>
          <t xml:space="preserve"> </t>
        </is>
      </c>
      <c r="IQ6" s="235" t="inlineStr">
        <is>
          <t xml:space="preserve"> </t>
        </is>
      </c>
      <c r="IR6" s="235" t="inlineStr">
        <is>
          <t xml:space="preserve"> </t>
        </is>
      </c>
      <c r="IS6" s="235" t="inlineStr">
        <is>
          <t xml:space="preserve"> </t>
        </is>
      </c>
      <c r="IT6" s="235" t="inlineStr">
        <is>
          <t xml:space="preserve"> </t>
        </is>
      </c>
      <c r="IU6" s="235" t="inlineStr">
        <is>
          <t xml:space="preserve"> </t>
        </is>
      </c>
      <c r="IV6" s="235" t="inlineStr">
        <is>
          <t xml:space="preserve"> </t>
        </is>
      </c>
      <c r="IW6" s="235" t="inlineStr">
        <is>
          <t xml:space="preserve"> </t>
        </is>
      </c>
      <c r="IX6" s="235" t="inlineStr">
        <is>
          <t xml:space="preserve"> </t>
        </is>
      </c>
      <c r="IY6" s="235" t="inlineStr">
        <is>
          <t xml:space="preserve"> </t>
        </is>
      </c>
      <c r="IZ6" s="235" t="inlineStr">
        <is>
          <t xml:space="preserve"> </t>
        </is>
      </c>
      <c r="JA6" s="235" t="inlineStr">
        <is>
          <t xml:space="preserve"> </t>
        </is>
      </c>
      <c r="JB6" s="235" t="inlineStr">
        <is>
          <t xml:space="preserve"> </t>
        </is>
      </c>
      <c r="JC6" s="235" t="inlineStr">
        <is>
          <t xml:space="preserve"> </t>
        </is>
      </c>
      <c r="JD6" s="235" t="inlineStr">
        <is>
          <t xml:space="preserve"> </t>
        </is>
      </c>
      <c r="JE6" s="235" t="inlineStr">
        <is>
          <t xml:space="preserve"> </t>
        </is>
      </c>
      <c r="JF6" s="235" t="inlineStr">
        <is>
          <t xml:space="preserve"> </t>
        </is>
      </c>
      <c r="JG6" s="235" t="inlineStr">
        <is>
          <t xml:space="preserve"> </t>
        </is>
      </c>
      <c r="JH6" s="235" t="inlineStr">
        <is>
          <t xml:space="preserve"> </t>
        </is>
      </c>
      <c r="JI6" s="235" t="inlineStr">
        <is>
          <t xml:space="preserve"> </t>
        </is>
      </c>
      <c r="JJ6" s="235" t="inlineStr">
        <is>
          <t xml:space="preserve"> </t>
        </is>
      </c>
      <c r="JK6" s="235" t="inlineStr">
        <is>
          <t xml:space="preserve"> </t>
        </is>
      </c>
      <c r="JL6" s="235" t="inlineStr">
        <is>
          <t xml:space="preserve"> </t>
        </is>
      </c>
      <c r="JM6" s="235" t="inlineStr">
        <is>
          <t xml:space="preserve"> </t>
        </is>
      </c>
      <c r="JN6" s="235" t="inlineStr">
        <is>
          <t xml:space="preserve"> </t>
        </is>
      </c>
      <c r="JO6" s="235" t="inlineStr">
        <is>
          <t xml:space="preserve"> </t>
        </is>
      </c>
      <c r="JP6" s="235" t="inlineStr">
        <is>
          <t xml:space="preserve"> </t>
        </is>
      </c>
      <c r="JQ6" s="235" t="inlineStr">
        <is>
          <t xml:space="preserve"> </t>
        </is>
      </c>
      <c r="JR6" s="235" t="inlineStr">
        <is>
          <t xml:space="preserve"> </t>
        </is>
      </c>
      <c r="JS6" s="235" t="inlineStr">
        <is>
          <t xml:space="preserve"> </t>
        </is>
      </c>
      <c r="JT6" s="235" t="inlineStr">
        <is>
          <t xml:space="preserve"> </t>
        </is>
      </c>
      <c r="JU6" s="235" t="inlineStr">
        <is>
          <t xml:space="preserve"> </t>
        </is>
      </c>
      <c r="JV6" s="235" t="inlineStr">
        <is>
          <t xml:space="preserve"> </t>
        </is>
      </c>
      <c r="JW6" s="235" t="inlineStr">
        <is>
          <t xml:space="preserve"> </t>
        </is>
      </c>
      <c r="JX6" s="235" t="inlineStr">
        <is>
          <t xml:space="preserve"> </t>
        </is>
      </c>
      <c r="JY6" s="235" t="inlineStr">
        <is>
          <t xml:space="preserve"> </t>
        </is>
      </c>
      <c r="JZ6" s="235" t="inlineStr">
        <is>
          <t xml:space="preserve"> </t>
        </is>
      </c>
      <c r="KA6" s="235" t="inlineStr">
        <is>
          <t xml:space="preserve"> </t>
        </is>
      </c>
      <c r="KB6" s="235" t="inlineStr">
        <is>
          <t xml:space="preserve"> </t>
        </is>
      </c>
      <c r="KC6" s="235" t="inlineStr">
        <is>
          <t xml:space="preserve"> </t>
        </is>
      </c>
      <c r="KD6" s="235" t="inlineStr">
        <is>
          <t xml:space="preserve"> </t>
        </is>
      </c>
      <c r="KE6" s="235" t="inlineStr">
        <is>
          <t xml:space="preserve"> </t>
        </is>
      </c>
      <c r="KF6" s="235" t="inlineStr">
        <is>
          <t xml:space="preserve"> </t>
        </is>
      </c>
      <c r="KG6" s="235" t="inlineStr">
        <is>
          <t xml:space="preserve"> </t>
        </is>
      </c>
      <c r="KH6" s="235" t="inlineStr">
        <is>
          <t xml:space="preserve"> </t>
        </is>
      </c>
      <c r="KI6" s="235" t="inlineStr">
        <is>
          <t xml:space="preserve"> </t>
        </is>
      </c>
      <c r="KJ6" s="235" t="inlineStr">
        <is>
          <t xml:space="preserve"> </t>
        </is>
      </c>
      <c r="KK6" s="235" t="inlineStr">
        <is>
          <t xml:space="preserve"> </t>
        </is>
      </c>
      <c r="KL6" s="235" t="inlineStr">
        <is>
          <t xml:space="preserve"> </t>
        </is>
      </c>
      <c r="KM6" s="235" t="inlineStr">
        <is>
          <t xml:space="preserve"> </t>
        </is>
      </c>
      <c r="KN6" s="235" t="inlineStr">
        <is>
          <t xml:space="preserve"> </t>
        </is>
      </c>
      <c r="KO6" s="235" t="inlineStr">
        <is>
          <t xml:space="preserve"> </t>
        </is>
      </c>
      <c r="KP6" s="235" t="inlineStr">
        <is>
          <t xml:space="preserve"> </t>
        </is>
      </c>
      <c r="KQ6" s="235" t="inlineStr">
        <is>
          <t xml:space="preserve"> </t>
        </is>
      </c>
      <c r="KR6" s="235" t="inlineStr">
        <is>
          <t xml:space="preserve"> </t>
        </is>
      </c>
      <c r="KS6" s="235" t="inlineStr">
        <is>
          <t xml:space="preserve"> </t>
        </is>
      </c>
      <c r="KT6" s="235" t="inlineStr">
        <is>
          <t xml:space="preserve"> </t>
        </is>
      </c>
      <c r="KU6" s="235" t="inlineStr">
        <is>
          <t xml:space="preserve"> </t>
        </is>
      </c>
      <c r="KV6" s="235" t="inlineStr">
        <is>
          <t xml:space="preserve"> </t>
        </is>
      </c>
      <c r="KW6" s="235" t="inlineStr">
        <is>
          <t xml:space="preserve"> </t>
        </is>
      </c>
      <c r="KX6" s="235" t="inlineStr">
        <is>
          <t xml:space="preserve"> </t>
        </is>
      </c>
      <c r="KY6" s="235" t="inlineStr">
        <is>
          <t xml:space="preserve"> </t>
        </is>
      </c>
      <c r="KZ6" s="235" t="inlineStr">
        <is>
          <t xml:space="preserve"> </t>
        </is>
      </c>
      <c r="LA6" s="235" t="inlineStr">
        <is>
          <t xml:space="preserve"> </t>
        </is>
      </c>
      <c r="LB6" s="235" t="inlineStr">
        <is>
          <t xml:space="preserve"> </t>
        </is>
      </c>
      <c r="LC6" s="235" t="inlineStr">
        <is>
          <t xml:space="preserve"> </t>
        </is>
      </c>
      <c r="LD6" s="235" t="inlineStr">
        <is>
          <t xml:space="preserve"> </t>
        </is>
      </c>
      <c r="LE6" s="235" t="inlineStr">
        <is>
          <t xml:space="preserve"> </t>
        </is>
      </c>
      <c r="LF6" s="235" t="inlineStr">
        <is>
          <t xml:space="preserve"> </t>
        </is>
      </c>
      <c r="LG6" s="235" t="inlineStr">
        <is>
          <t xml:space="preserve"> </t>
        </is>
      </c>
      <c r="LH6" s="235" t="inlineStr">
        <is>
          <t xml:space="preserve"> </t>
        </is>
      </c>
      <c r="LI6" s="235" t="inlineStr">
        <is>
          <t xml:space="preserve"> </t>
        </is>
      </c>
      <c r="LJ6" s="235" t="inlineStr">
        <is>
          <t xml:space="preserve"> </t>
        </is>
      </c>
      <c r="LK6" s="235" t="inlineStr">
        <is>
          <t xml:space="preserve"> </t>
        </is>
      </c>
      <c r="LL6" s="235" t="inlineStr">
        <is>
          <t xml:space="preserve"> </t>
        </is>
      </c>
      <c r="LM6" s="235" t="inlineStr">
        <is>
          <t xml:space="preserve"> </t>
        </is>
      </c>
      <c r="LN6" s="235" t="inlineStr">
        <is>
          <t xml:space="preserve"> </t>
        </is>
      </c>
      <c r="LO6" s="235" t="inlineStr">
        <is>
          <t xml:space="preserve"> </t>
        </is>
      </c>
      <c r="LP6" s="235" t="inlineStr">
        <is>
          <t xml:space="preserve"> </t>
        </is>
      </c>
      <c r="LQ6" s="235" t="inlineStr">
        <is>
          <t xml:space="preserve"> </t>
        </is>
      </c>
      <c r="LR6" s="235" t="inlineStr">
        <is>
          <t xml:space="preserve"> </t>
        </is>
      </c>
      <c r="LS6" s="235" t="inlineStr">
        <is>
          <t xml:space="preserve"> </t>
        </is>
      </c>
      <c r="LT6" s="235" t="inlineStr">
        <is>
          <t xml:space="preserve"> </t>
        </is>
      </c>
      <c r="LU6" s="235" t="inlineStr">
        <is>
          <t xml:space="preserve"> </t>
        </is>
      </c>
      <c r="LV6" s="235" t="inlineStr">
        <is>
          <t xml:space="preserve"> </t>
        </is>
      </c>
      <c r="LW6" s="235" t="inlineStr">
        <is>
          <t xml:space="preserve"> </t>
        </is>
      </c>
      <c r="LX6" s="235" t="inlineStr">
        <is>
          <t xml:space="preserve"> </t>
        </is>
      </c>
      <c r="LY6" s="235" t="inlineStr">
        <is>
          <t xml:space="preserve"> </t>
        </is>
      </c>
      <c r="LZ6" s="235" t="inlineStr">
        <is>
          <t xml:space="preserve"> </t>
        </is>
      </c>
      <c r="MA6" s="235" t="inlineStr">
        <is>
          <t xml:space="preserve"> </t>
        </is>
      </c>
      <c r="MB6" s="235" t="inlineStr">
        <is>
          <t xml:space="preserve"> </t>
        </is>
      </c>
      <c r="MC6" s="235" t="inlineStr">
        <is>
          <t xml:space="preserve"> </t>
        </is>
      </c>
      <c r="MD6" s="235" t="inlineStr">
        <is>
          <t xml:space="preserve"> </t>
        </is>
      </c>
      <c r="ME6" s="235" t="inlineStr">
        <is>
          <t xml:space="preserve"> </t>
        </is>
      </c>
      <c r="MF6" s="235" t="inlineStr">
        <is>
          <t xml:space="preserve"> </t>
        </is>
      </c>
      <c r="MG6" s="235" t="inlineStr">
        <is>
          <t xml:space="preserve"> </t>
        </is>
      </c>
      <c r="MH6" s="235" t="inlineStr">
        <is>
          <t xml:space="preserve"> </t>
        </is>
      </c>
      <c r="MI6" s="235" t="inlineStr">
        <is>
          <t xml:space="preserve"> </t>
        </is>
      </c>
      <c r="MJ6" s="235" t="inlineStr">
        <is>
          <t xml:space="preserve"> </t>
        </is>
      </c>
      <c r="MK6" s="235" t="inlineStr">
        <is>
          <t xml:space="preserve"> </t>
        </is>
      </c>
      <c r="ML6" s="235" t="inlineStr">
        <is>
          <t xml:space="preserve"> </t>
        </is>
      </c>
      <c r="MM6" s="235" t="inlineStr">
        <is>
          <t xml:space="preserve"> </t>
        </is>
      </c>
      <c r="MN6" s="235" t="inlineStr">
        <is>
          <t xml:space="preserve"> </t>
        </is>
      </c>
      <c r="MO6" s="235" t="inlineStr">
        <is>
          <t xml:space="preserve"> </t>
        </is>
      </c>
      <c r="MP6" s="235" t="inlineStr">
        <is>
          <t xml:space="preserve"> </t>
        </is>
      </c>
      <c r="MQ6" s="235" t="inlineStr">
        <is>
          <t xml:space="preserve"> </t>
        </is>
      </c>
      <c r="MR6" s="235" t="inlineStr">
        <is>
          <t xml:space="preserve"> </t>
        </is>
      </c>
      <c r="MS6" s="235" t="inlineStr">
        <is>
          <t xml:space="preserve"> </t>
        </is>
      </c>
      <c r="MT6" s="235" t="inlineStr">
        <is>
          <t xml:space="preserve"> </t>
        </is>
      </c>
      <c r="MU6" s="235" t="inlineStr">
        <is>
          <t xml:space="preserve"> </t>
        </is>
      </c>
      <c r="MV6" s="235" t="inlineStr">
        <is>
          <t xml:space="preserve"> </t>
        </is>
      </c>
      <c r="MW6" s="235" t="inlineStr">
        <is>
          <t xml:space="preserve"> </t>
        </is>
      </c>
      <c r="MX6" s="235" t="inlineStr">
        <is>
          <t xml:space="preserve"> </t>
        </is>
      </c>
      <c r="MY6" s="235" t="inlineStr">
        <is>
          <t xml:space="preserve"> </t>
        </is>
      </c>
      <c r="MZ6" s="235" t="inlineStr">
        <is>
          <t xml:space="preserve"> </t>
        </is>
      </c>
      <c r="NA6" s="235" t="inlineStr">
        <is>
          <t xml:space="preserve"> </t>
        </is>
      </c>
      <c r="NB6" s="235" t="inlineStr">
        <is>
          <t xml:space="preserve"> </t>
        </is>
      </c>
      <c r="NC6" s="235" t="inlineStr">
        <is>
          <t xml:space="preserve"> </t>
        </is>
      </c>
      <c r="ND6" s="235" t="inlineStr">
        <is>
          <t xml:space="preserve"> </t>
        </is>
      </c>
      <c r="NE6" s="235" t="inlineStr">
        <is>
          <t xml:space="preserve"> </t>
        </is>
      </c>
    </row>
    <row r="7" ht="15" customHeight="1" s="166">
      <c r="A7" s="243" t="inlineStr">
        <is>
          <t>READING DATE</t>
        </is>
      </c>
      <c r="B7" s="244" t="n"/>
      <c r="C7" s="245" t="n"/>
      <c r="D7" s="246" t="n">
        <v>46296</v>
      </c>
      <c r="E7" s="246" t="n">
        <v>46297</v>
      </c>
      <c r="F7" s="246" t="n">
        <v>46298</v>
      </c>
      <c r="G7" s="246" t="n">
        <v>46299</v>
      </c>
      <c r="H7" s="246" t="n">
        <v>46300</v>
      </c>
      <c r="I7" s="246" t="n">
        <v>46301</v>
      </c>
      <c r="J7" s="246" t="n">
        <v>46302</v>
      </c>
      <c r="K7" s="246" t="n">
        <v>46303</v>
      </c>
      <c r="L7" s="246" t="n">
        <v>46304</v>
      </c>
      <c r="M7" s="246" t="n">
        <v>46305</v>
      </c>
      <c r="N7" s="246" t="n">
        <v>46306</v>
      </c>
      <c r="O7" s="246" t="n">
        <v>46307</v>
      </c>
      <c r="P7" s="246" t="n">
        <v>46308</v>
      </c>
      <c r="Q7" s="246" t="n">
        <v>46309</v>
      </c>
      <c r="R7" s="246" t="n">
        <v>46310</v>
      </c>
      <c r="S7" s="246" t="n">
        <v>46311</v>
      </c>
      <c r="T7" s="246" t="n">
        <v>46312</v>
      </c>
      <c r="U7" s="246" t="n">
        <v>46313</v>
      </c>
      <c r="V7" s="246" t="n">
        <v>46314</v>
      </c>
      <c r="W7" s="246" t="n">
        <v>46315</v>
      </c>
      <c r="X7" s="246" t="n">
        <v>46316</v>
      </c>
      <c r="Y7" s="246" t="n">
        <v>46317</v>
      </c>
      <c r="Z7" s="246" t="n">
        <v>46318</v>
      </c>
      <c r="AA7" s="246" t="n">
        <v>46319</v>
      </c>
      <c r="AB7" s="246" t="n">
        <v>46320</v>
      </c>
      <c r="AC7" s="246" t="n">
        <v>46321</v>
      </c>
      <c r="AD7" s="246" t="n">
        <v>46322</v>
      </c>
      <c r="AE7" s="246" t="n">
        <v>46323</v>
      </c>
      <c r="AF7" s="246" t="n">
        <v>46324</v>
      </c>
      <c r="AG7" s="246" t="n">
        <v>46325</v>
      </c>
      <c r="AH7" s="246" t="n">
        <v>46326</v>
      </c>
      <c r="AI7" s="246" t="n">
        <v>46327</v>
      </c>
      <c r="AJ7" s="246" t="n">
        <v>46328</v>
      </c>
      <c r="AK7" s="246" t="n">
        <v>46329</v>
      </c>
      <c r="AL7" s="246" t="n">
        <v>46330</v>
      </c>
      <c r="AM7" s="246" t="n">
        <v>46331</v>
      </c>
      <c r="AN7" s="246" t="n">
        <v>46332</v>
      </c>
      <c r="AO7" s="246" t="n">
        <v>46333</v>
      </c>
      <c r="AP7" s="246" t="n">
        <v>46334</v>
      </c>
      <c r="AQ7" s="246" t="n">
        <v>46335</v>
      </c>
      <c r="AR7" s="246" t="n">
        <v>46336</v>
      </c>
      <c r="AS7" s="246" t="n">
        <v>46337</v>
      </c>
      <c r="AT7" s="246" t="n">
        <v>46338</v>
      </c>
      <c r="AU7" s="246" t="n">
        <v>46339</v>
      </c>
      <c r="AV7" s="246" t="n">
        <v>46340</v>
      </c>
      <c r="AW7" s="246" t="n">
        <v>46341</v>
      </c>
      <c r="AX7" s="246" t="n">
        <v>46342</v>
      </c>
      <c r="AY7" s="246" t="n">
        <v>46343</v>
      </c>
      <c r="AZ7" s="246" t="n">
        <v>46344</v>
      </c>
      <c r="BA7" s="246" t="n">
        <v>46345</v>
      </c>
      <c r="BB7" s="246" t="n">
        <v>46346</v>
      </c>
      <c r="BC7" s="246" t="n">
        <v>46347</v>
      </c>
      <c r="BD7" s="246" t="n">
        <v>46348</v>
      </c>
      <c r="BE7" s="246" t="n">
        <v>46349</v>
      </c>
      <c r="BF7" s="246" t="n">
        <v>46350</v>
      </c>
      <c r="BG7" s="246" t="n">
        <v>46351</v>
      </c>
      <c r="BH7" s="246" t="n">
        <v>46352</v>
      </c>
      <c r="BI7" s="246" t="n">
        <v>46353</v>
      </c>
      <c r="BJ7" s="246" t="n">
        <v>46354</v>
      </c>
      <c r="BK7" s="246" t="n">
        <v>46355</v>
      </c>
      <c r="BL7" s="246" t="n">
        <v>46356</v>
      </c>
      <c r="BM7" s="246" t="n">
        <v>46357</v>
      </c>
      <c r="BN7" s="246" t="n">
        <v>46358</v>
      </c>
      <c r="BO7" s="246" t="n">
        <v>46359</v>
      </c>
      <c r="BP7" s="246" t="n">
        <v>46360</v>
      </c>
      <c r="BQ7" s="246" t="n">
        <v>46361</v>
      </c>
      <c r="BR7" s="246" t="n">
        <v>46362</v>
      </c>
      <c r="BS7" s="246" t="n">
        <v>46363</v>
      </c>
      <c r="BT7" s="246" t="n">
        <v>46364</v>
      </c>
      <c r="BU7" s="246" t="n">
        <v>46365</v>
      </c>
      <c r="BV7" s="246" t="n">
        <v>46366</v>
      </c>
      <c r="BW7" s="246" t="n">
        <v>46367</v>
      </c>
      <c r="BX7" s="246" t="n">
        <v>46368</v>
      </c>
      <c r="BY7" s="246" t="n">
        <v>46369</v>
      </c>
      <c r="BZ7" s="246" t="n">
        <v>46370</v>
      </c>
      <c r="CA7" s="246" t="n">
        <v>46371</v>
      </c>
      <c r="CB7" s="246" t="n">
        <v>46372</v>
      </c>
      <c r="CC7" s="246" t="n">
        <v>46373</v>
      </c>
      <c r="CD7" s="246" t="n">
        <v>46374</v>
      </c>
      <c r="CE7" s="246" t="n">
        <v>46375</v>
      </c>
      <c r="CF7" s="246" t="n">
        <v>46376</v>
      </c>
      <c r="CG7" s="246" t="n">
        <v>46377</v>
      </c>
      <c r="CH7" s="246" t="n">
        <v>46378</v>
      </c>
      <c r="CI7" s="246" t="n">
        <v>46379</v>
      </c>
      <c r="CJ7" s="246" t="n">
        <v>46380</v>
      </c>
      <c r="CK7" s="246" t="n">
        <v>46381</v>
      </c>
      <c r="CL7" s="246" t="n">
        <v>46382</v>
      </c>
      <c r="CM7" s="246" t="n">
        <v>46383</v>
      </c>
      <c r="CN7" s="246" t="n">
        <v>46384</v>
      </c>
      <c r="CO7" s="246" t="n">
        <v>46385</v>
      </c>
      <c r="CP7" s="246" t="n">
        <v>46386</v>
      </c>
      <c r="CQ7" s="246" t="n">
        <v>46387</v>
      </c>
      <c r="CR7" s="246" t="n">
        <v>46388</v>
      </c>
      <c r="CS7" s="246" t="n">
        <v>46389</v>
      </c>
      <c r="CT7" s="246" t="n">
        <v>46390</v>
      </c>
      <c r="CU7" s="246" t="n">
        <v>46391</v>
      </c>
      <c r="CV7" s="246" t="n">
        <v>46392</v>
      </c>
      <c r="CW7" s="246" t="n">
        <v>46393</v>
      </c>
      <c r="CX7" s="246" t="n">
        <v>46394</v>
      </c>
      <c r="CY7" s="246" t="n">
        <v>46395</v>
      </c>
      <c r="CZ7" s="246" t="n">
        <v>46396</v>
      </c>
      <c r="DA7" s="246" t="n">
        <v>46397</v>
      </c>
      <c r="DB7" s="246" t="n">
        <v>46398</v>
      </c>
      <c r="DC7" s="246" t="n">
        <v>46399</v>
      </c>
      <c r="DD7" s="246" t="n">
        <v>46400</v>
      </c>
      <c r="DE7" s="246" t="n">
        <v>46401</v>
      </c>
      <c r="DF7" s="246" t="n">
        <v>46402</v>
      </c>
      <c r="DG7" s="246" t="n">
        <v>46403</v>
      </c>
      <c r="DH7" s="246" t="n">
        <v>46404</v>
      </c>
      <c r="DI7" s="246" t="n">
        <v>46405</v>
      </c>
      <c r="DJ7" s="246" t="n">
        <v>46406</v>
      </c>
      <c r="DK7" s="246" t="n">
        <v>46407</v>
      </c>
      <c r="DL7" s="246" t="n">
        <v>46408</v>
      </c>
      <c r="DM7" s="246" t="n">
        <v>46409</v>
      </c>
      <c r="DN7" s="246" t="n">
        <v>46410</v>
      </c>
      <c r="DO7" s="246" t="n">
        <v>46411</v>
      </c>
      <c r="DP7" s="246" t="n">
        <v>46412</v>
      </c>
      <c r="DQ7" s="246" t="n">
        <v>46413</v>
      </c>
      <c r="DR7" s="246" t="n">
        <v>46414</v>
      </c>
      <c r="DS7" s="246" t="n">
        <v>46415</v>
      </c>
      <c r="DT7" s="246" t="n">
        <v>46416</v>
      </c>
      <c r="DU7" s="246" t="n">
        <v>46417</v>
      </c>
      <c r="DV7" s="246" t="n">
        <v>46418</v>
      </c>
      <c r="DW7" s="246" t="n">
        <v>46419</v>
      </c>
      <c r="DX7" s="246" t="n">
        <v>46420</v>
      </c>
      <c r="DY7" s="246" t="n">
        <v>46421</v>
      </c>
      <c r="DZ7" s="246" t="n">
        <v>46422</v>
      </c>
      <c r="EA7" s="246" t="n">
        <v>46423</v>
      </c>
      <c r="EB7" s="246" t="n">
        <v>46424</v>
      </c>
      <c r="EC7" s="246" t="n">
        <v>46425</v>
      </c>
      <c r="ED7" s="246" t="n">
        <v>46426</v>
      </c>
      <c r="EE7" s="246" t="n">
        <v>46427</v>
      </c>
      <c r="EF7" s="246" t="n">
        <v>46428</v>
      </c>
      <c r="EG7" s="246" t="n">
        <v>46429</v>
      </c>
      <c r="EH7" s="246" t="n">
        <v>46430</v>
      </c>
      <c r="EI7" s="246" t="n">
        <v>46431</v>
      </c>
      <c r="EJ7" s="246" t="n">
        <v>46432</v>
      </c>
      <c r="EK7" s="246" t="n">
        <v>46433</v>
      </c>
      <c r="EL7" s="246" t="n">
        <v>46434</v>
      </c>
      <c r="EM7" s="246" t="n">
        <v>46435</v>
      </c>
      <c r="EN7" s="246" t="n">
        <v>46436</v>
      </c>
      <c r="EO7" s="246" t="n">
        <v>46437</v>
      </c>
      <c r="EP7" s="246" t="n">
        <v>46438</v>
      </c>
      <c r="EQ7" s="246" t="n">
        <v>46439</v>
      </c>
      <c r="ER7" s="246" t="n">
        <v>46440</v>
      </c>
      <c r="ES7" s="246" t="n">
        <v>46441</v>
      </c>
      <c r="ET7" s="246" t="n">
        <v>46442</v>
      </c>
      <c r="EU7" s="246" t="n">
        <v>46443</v>
      </c>
      <c r="EV7" s="246" t="n">
        <v>46444</v>
      </c>
      <c r="EW7" s="246" t="n">
        <v>46445</v>
      </c>
      <c r="EX7" s="246" t="n">
        <v>46446</v>
      </c>
      <c r="EY7" s="246" t="n">
        <v>46447</v>
      </c>
      <c r="EZ7" s="246" t="n">
        <v>46448</v>
      </c>
      <c r="FA7" s="246" t="n">
        <v>46449</v>
      </c>
      <c r="FB7" s="246" t="n">
        <v>46450</v>
      </c>
      <c r="FC7" s="246" t="n">
        <v>46451</v>
      </c>
      <c r="FD7" s="246" t="n">
        <v>46452</v>
      </c>
      <c r="FE7" s="246" t="n">
        <v>46453</v>
      </c>
      <c r="FF7" s="246" t="n">
        <v>46454</v>
      </c>
      <c r="FG7" s="246" t="n">
        <v>46455</v>
      </c>
      <c r="FH7" s="246" t="n">
        <v>46456</v>
      </c>
      <c r="FI7" s="246" t="n">
        <v>46457</v>
      </c>
      <c r="FJ7" s="246" t="n">
        <v>46458</v>
      </c>
      <c r="FK7" s="246" t="n">
        <v>46459</v>
      </c>
      <c r="FL7" s="246" t="n">
        <v>46460</v>
      </c>
      <c r="FM7" s="246" t="n">
        <v>46461</v>
      </c>
      <c r="FN7" s="246" t="n">
        <v>46462</v>
      </c>
      <c r="FO7" s="246" t="n">
        <v>46463</v>
      </c>
      <c r="FP7" s="246" t="n">
        <v>46464</v>
      </c>
      <c r="FQ7" s="246" t="n">
        <v>46465</v>
      </c>
      <c r="FR7" s="246" t="n">
        <v>46466</v>
      </c>
      <c r="FS7" s="246" t="n">
        <v>46467</v>
      </c>
      <c r="FT7" s="246" t="n">
        <v>46468</v>
      </c>
      <c r="FU7" s="246" t="n">
        <v>46469</v>
      </c>
      <c r="FV7" s="246" t="n">
        <v>46470</v>
      </c>
      <c r="FW7" s="246" t="n">
        <v>46471</v>
      </c>
      <c r="FX7" s="246" t="n">
        <v>46472</v>
      </c>
      <c r="FY7" s="246" t="n">
        <v>46473</v>
      </c>
      <c r="FZ7" s="246" t="n">
        <v>46474</v>
      </c>
      <c r="GA7" s="246" t="n">
        <v>46475</v>
      </c>
      <c r="GB7" s="246" t="n">
        <v>46476</v>
      </c>
      <c r="GC7" s="246" t="n">
        <v>46477</v>
      </c>
      <c r="GD7" s="246" t="n">
        <v>46478</v>
      </c>
      <c r="GE7" s="246" t="n">
        <v>46479</v>
      </c>
      <c r="GF7" s="246" t="n">
        <v>46480</v>
      </c>
      <c r="GG7" s="246" t="n">
        <v>46481</v>
      </c>
      <c r="GH7" s="246" t="n">
        <v>46482</v>
      </c>
      <c r="GI7" s="246" t="n">
        <v>46483</v>
      </c>
      <c r="GJ7" s="246" t="n">
        <v>46484</v>
      </c>
      <c r="GK7" s="246" t="n">
        <v>46485</v>
      </c>
      <c r="GL7" s="246" t="n">
        <v>46486</v>
      </c>
      <c r="GM7" s="246" t="n">
        <v>46487</v>
      </c>
      <c r="GN7" s="246" t="n">
        <v>46488</v>
      </c>
      <c r="GO7" s="246" t="n">
        <v>46489</v>
      </c>
      <c r="GP7" s="246" t="n">
        <v>46490</v>
      </c>
      <c r="GQ7" s="246" t="n">
        <v>46491</v>
      </c>
      <c r="GR7" s="246" t="n">
        <v>46492</v>
      </c>
      <c r="GS7" s="246" t="n">
        <v>46493</v>
      </c>
      <c r="GT7" s="246" t="n">
        <v>46494</v>
      </c>
      <c r="GU7" s="246" t="n">
        <v>46495</v>
      </c>
      <c r="GV7" s="246" t="n">
        <v>46496</v>
      </c>
      <c r="GW7" s="246" t="n">
        <v>46497</v>
      </c>
      <c r="GX7" s="246" t="n">
        <v>46498</v>
      </c>
      <c r="GY7" s="246" t="n">
        <v>46499</v>
      </c>
      <c r="GZ7" s="246" t="n">
        <v>46500</v>
      </c>
      <c r="HA7" s="246" t="n">
        <v>46501</v>
      </c>
      <c r="HB7" s="246" t="n">
        <v>46502</v>
      </c>
      <c r="HC7" s="246" t="n">
        <v>46503</v>
      </c>
      <c r="HD7" s="246" t="n">
        <v>46504</v>
      </c>
      <c r="HE7" s="246" t="n">
        <v>46505</v>
      </c>
      <c r="HF7" s="246" t="n">
        <v>46506</v>
      </c>
      <c r="HG7" s="246" t="n">
        <v>46507</v>
      </c>
      <c r="HH7" s="246" t="n">
        <v>46508</v>
      </c>
      <c r="HI7" s="246" t="n">
        <v>46509</v>
      </c>
      <c r="HJ7" s="246" t="n">
        <v>46510</v>
      </c>
      <c r="HK7" s="246" t="n">
        <v>46511</v>
      </c>
      <c r="HL7" s="246" t="n">
        <v>46512</v>
      </c>
      <c r="HM7" s="246" t="n">
        <v>46513</v>
      </c>
      <c r="HN7" s="246" t="n">
        <v>46514</v>
      </c>
      <c r="HO7" s="246" t="n">
        <v>46515</v>
      </c>
      <c r="HP7" s="246" t="n">
        <v>46516</v>
      </c>
      <c r="HQ7" s="246" t="n">
        <v>46517</v>
      </c>
      <c r="HR7" s="246" t="n">
        <v>46518</v>
      </c>
      <c r="HS7" s="246" t="n">
        <v>46519</v>
      </c>
      <c r="HT7" s="246" t="n">
        <v>46520</v>
      </c>
      <c r="HU7" s="246" t="n">
        <v>46521</v>
      </c>
      <c r="HV7" s="246" t="n">
        <v>46522</v>
      </c>
      <c r="HW7" s="246" t="n">
        <v>46523</v>
      </c>
      <c r="HX7" s="246" t="n">
        <v>46524</v>
      </c>
      <c r="HY7" s="246" t="n">
        <v>46525</v>
      </c>
      <c r="HZ7" s="246" t="n">
        <v>46526</v>
      </c>
      <c r="IA7" s="246" t="n">
        <v>46527</v>
      </c>
      <c r="IB7" s="246" t="n">
        <v>46528</v>
      </c>
      <c r="IC7" s="246" t="n">
        <v>46529</v>
      </c>
      <c r="ID7" s="246" t="n">
        <v>46530</v>
      </c>
      <c r="IE7" s="246" t="n">
        <v>46531</v>
      </c>
      <c r="IF7" s="246" t="n">
        <v>46532</v>
      </c>
      <c r="IG7" s="246" t="n">
        <v>46533</v>
      </c>
      <c r="IH7" s="246" t="n">
        <v>46534</v>
      </c>
      <c r="II7" s="246" t="n">
        <v>46535</v>
      </c>
      <c r="IJ7" s="246" t="n">
        <v>46536</v>
      </c>
      <c r="IK7" s="246" t="n">
        <v>46537</v>
      </c>
      <c r="IL7" s="246" t="n">
        <v>46538</v>
      </c>
      <c r="IM7" s="246" t="n">
        <v>46539</v>
      </c>
      <c r="IN7" s="246" t="n">
        <v>46540</v>
      </c>
      <c r="IO7" s="246" t="n">
        <v>46541</v>
      </c>
      <c r="IP7" s="246" t="n">
        <v>46542</v>
      </c>
      <c r="IQ7" s="246" t="n">
        <v>46543</v>
      </c>
      <c r="IR7" s="246" t="n">
        <v>46544</v>
      </c>
      <c r="IS7" s="246" t="n">
        <v>46545</v>
      </c>
      <c r="IT7" s="246" t="n">
        <v>46546</v>
      </c>
      <c r="IU7" s="246" t="n">
        <v>46547</v>
      </c>
      <c r="IV7" s="246" t="n">
        <v>46548</v>
      </c>
      <c r="IW7" s="246" t="n">
        <v>46549</v>
      </c>
      <c r="IX7" s="246" t="n">
        <v>46550</v>
      </c>
      <c r="IY7" s="246" t="n">
        <v>46551</v>
      </c>
      <c r="IZ7" s="246" t="n">
        <v>46552</v>
      </c>
      <c r="JA7" s="246" t="n">
        <v>46553</v>
      </c>
      <c r="JB7" s="246" t="n">
        <v>46554</v>
      </c>
      <c r="JC7" s="246" t="n">
        <v>46555</v>
      </c>
      <c r="JD7" s="246" t="n">
        <v>46556</v>
      </c>
      <c r="JE7" s="246" t="n">
        <v>46557</v>
      </c>
      <c r="JF7" s="246" t="n">
        <v>46558</v>
      </c>
      <c r="JG7" s="246" t="n">
        <v>46559</v>
      </c>
      <c r="JH7" s="246" t="n">
        <v>46560</v>
      </c>
      <c r="JI7" s="246" t="n">
        <v>46561</v>
      </c>
      <c r="JJ7" s="246" t="n">
        <v>46562</v>
      </c>
      <c r="JK7" s="246" t="n">
        <v>46563</v>
      </c>
      <c r="JL7" s="246" t="n">
        <v>46564</v>
      </c>
      <c r="JM7" s="246" t="n">
        <v>46565</v>
      </c>
      <c r="JN7" s="246" t="n">
        <v>46566</v>
      </c>
      <c r="JO7" s="246" t="n">
        <v>46567</v>
      </c>
      <c r="JP7" s="246" t="n">
        <v>46568</v>
      </c>
      <c r="JQ7" s="246" t="n">
        <v>46569</v>
      </c>
      <c r="JR7" s="246" t="n">
        <v>46570</v>
      </c>
      <c r="JS7" s="246" t="n">
        <v>46571</v>
      </c>
      <c r="JT7" s="246" t="n">
        <v>46572</v>
      </c>
      <c r="JU7" s="246" t="n">
        <v>46573</v>
      </c>
      <c r="JV7" s="246" t="n">
        <v>46574</v>
      </c>
      <c r="JW7" s="246" t="n">
        <v>46575</v>
      </c>
      <c r="JX7" s="246" t="n">
        <v>46576</v>
      </c>
      <c r="JY7" s="246" t="n">
        <v>46577</v>
      </c>
      <c r="JZ7" s="246" t="n">
        <v>46578</v>
      </c>
      <c r="KA7" s="246" t="n">
        <v>46579</v>
      </c>
      <c r="KB7" s="246" t="n">
        <v>46580</v>
      </c>
      <c r="KC7" s="246" t="n">
        <v>46581</v>
      </c>
      <c r="KD7" s="246" t="n">
        <v>46582</v>
      </c>
      <c r="KE7" s="246" t="n">
        <v>46583</v>
      </c>
      <c r="KF7" s="246" t="n">
        <v>46584</v>
      </c>
      <c r="KG7" s="246" t="n">
        <v>46585</v>
      </c>
      <c r="KH7" s="246" t="n">
        <v>46586</v>
      </c>
      <c r="KI7" s="246" t="n">
        <v>46587</v>
      </c>
      <c r="KJ7" s="246" t="n">
        <v>46588</v>
      </c>
      <c r="KK7" s="246" t="n">
        <v>46589</v>
      </c>
      <c r="KL7" s="246" t="n">
        <v>46590</v>
      </c>
      <c r="KM7" s="246" t="n">
        <v>46591</v>
      </c>
      <c r="KN7" s="246" t="n">
        <v>46592</v>
      </c>
      <c r="KO7" s="246" t="n">
        <v>46593</v>
      </c>
      <c r="KP7" s="246" t="n">
        <v>46594</v>
      </c>
      <c r="KQ7" s="246" t="n">
        <v>46595</v>
      </c>
      <c r="KR7" s="246" t="n">
        <v>46596</v>
      </c>
      <c r="KS7" s="246" t="n">
        <v>46597</v>
      </c>
      <c r="KT7" s="246" t="n">
        <v>46598</v>
      </c>
      <c r="KU7" s="246" t="n">
        <v>46599</v>
      </c>
      <c r="KV7" s="246" t="n">
        <v>46600</v>
      </c>
      <c r="KW7" s="246" t="n">
        <v>46601</v>
      </c>
      <c r="KX7" s="246" t="n">
        <v>46602</v>
      </c>
      <c r="KY7" s="246" t="n">
        <v>46603</v>
      </c>
      <c r="KZ7" s="246" t="n">
        <v>46604</v>
      </c>
      <c r="LA7" s="246" t="n">
        <v>46605</v>
      </c>
      <c r="LB7" s="246" t="n">
        <v>46606</v>
      </c>
      <c r="LC7" s="246" t="n">
        <v>46607</v>
      </c>
      <c r="LD7" s="246" t="n">
        <v>46608</v>
      </c>
      <c r="LE7" s="246" t="n">
        <v>46609</v>
      </c>
      <c r="LF7" s="246" t="n">
        <v>46610</v>
      </c>
      <c r="LG7" s="246" t="n">
        <v>46611</v>
      </c>
      <c r="LH7" s="246" t="n">
        <v>46612</v>
      </c>
      <c r="LI7" s="246" t="n">
        <v>46613</v>
      </c>
      <c r="LJ7" s="246" t="n">
        <v>46614</v>
      </c>
      <c r="LK7" s="246" t="n">
        <v>46615</v>
      </c>
      <c r="LL7" s="246" t="n">
        <v>46616</v>
      </c>
      <c r="LM7" s="246" t="n">
        <v>46617</v>
      </c>
      <c r="LN7" s="246" t="n">
        <v>46618</v>
      </c>
      <c r="LO7" s="246" t="n">
        <v>46619</v>
      </c>
      <c r="LP7" s="246" t="n">
        <v>46620</v>
      </c>
      <c r="LQ7" s="246" t="n">
        <v>46621</v>
      </c>
      <c r="LR7" s="246" t="n">
        <v>46622</v>
      </c>
      <c r="LS7" s="246" t="n">
        <v>46623</v>
      </c>
      <c r="LT7" s="246" t="n">
        <v>46624</v>
      </c>
      <c r="LU7" s="246" t="n">
        <v>46625</v>
      </c>
      <c r="LV7" s="246" t="n">
        <v>46626</v>
      </c>
      <c r="LW7" s="246" t="n">
        <v>46627</v>
      </c>
      <c r="LX7" s="246" t="n">
        <v>46628</v>
      </c>
      <c r="LY7" s="246" t="n">
        <v>46629</v>
      </c>
      <c r="LZ7" s="246" t="n">
        <v>46630</v>
      </c>
      <c r="MA7" s="246" t="n">
        <v>46631</v>
      </c>
      <c r="MB7" s="246" t="n">
        <v>46632</v>
      </c>
      <c r="MC7" s="246" t="n">
        <v>46633</v>
      </c>
      <c r="MD7" s="246" t="n">
        <v>46634</v>
      </c>
      <c r="ME7" s="246" t="n">
        <v>46635</v>
      </c>
      <c r="MF7" s="246" t="n">
        <v>46636</v>
      </c>
      <c r="MG7" s="246" t="n">
        <v>46637</v>
      </c>
      <c r="MH7" s="246" t="n">
        <v>46638</v>
      </c>
      <c r="MI7" s="246" t="n">
        <v>46639</v>
      </c>
      <c r="MJ7" s="246" t="n">
        <v>46640</v>
      </c>
      <c r="MK7" s="246" t="n">
        <v>46641</v>
      </c>
      <c r="ML7" s="246" t="n">
        <v>46642</v>
      </c>
      <c r="MM7" s="246" t="n">
        <v>46643</v>
      </c>
      <c r="MN7" s="246" t="n">
        <v>46644</v>
      </c>
      <c r="MO7" s="246" t="n">
        <v>46645</v>
      </c>
      <c r="MP7" s="246" t="n">
        <v>46646</v>
      </c>
      <c r="MQ7" s="246" t="n">
        <v>46647</v>
      </c>
      <c r="MR7" s="246" t="n">
        <v>46648</v>
      </c>
      <c r="MS7" s="246" t="n">
        <v>46649</v>
      </c>
      <c r="MT7" s="246" t="n">
        <v>46650</v>
      </c>
      <c r="MU7" s="246" t="n">
        <v>46651</v>
      </c>
      <c r="MV7" s="246" t="n">
        <v>46652</v>
      </c>
      <c r="MW7" s="246" t="n">
        <v>46653</v>
      </c>
      <c r="MX7" s="246" t="n">
        <v>46654</v>
      </c>
      <c r="MY7" s="246" t="n">
        <v>46655</v>
      </c>
      <c r="MZ7" s="246" t="n">
        <v>46656</v>
      </c>
      <c r="NA7" s="246" t="n">
        <v>46657</v>
      </c>
      <c r="NB7" s="246" t="n">
        <v>46658</v>
      </c>
      <c r="NC7" s="246" t="n">
        <v>46659</v>
      </c>
      <c r="ND7" s="246" t="n">
        <v>46660</v>
      </c>
      <c r="NE7" s="246" t="n">
        <v>46661</v>
      </c>
    </row>
    <row r="8" ht="15.75" customHeight="1" s="166">
      <c r="A8" s="247" t="inlineStr">
        <is>
          <t>ENERGY CONSUMPTION</t>
        </is>
      </c>
      <c r="B8" s="244" t="n"/>
      <c r="C8" s="245" t="n"/>
      <c r="D8" s="248" t="inlineStr">
        <is>
          <t xml:space="preserve"> </t>
        </is>
      </c>
      <c r="E8" s="248" t="inlineStr">
        <is>
          <t xml:space="preserve"> </t>
        </is>
      </c>
      <c r="F8" s="248" t="inlineStr">
        <is>
          <t xml:space="preserve"> </t>
        </is>
      </c>
      <c r="G8" s="248" t="inlineStr">
        <is>
          <t xml:space="preserve"> </t>
        </is>
      </c>
      <c r="H8" s="248" t="inlineStr">
        <is>
          <t xml:space="preserve"> </t>
        </is>
      </c>
      <c r="I8" s="248" t="inlineStr">
        <is>
          <t xml:space="preserve"> </t>
        </is>
      </c>
      <c r="J8" s="248" t="inlineStr">
        <is>
          <t xml:space="preserve"> </t>
        </is>
      </c>
      <c r="K8" s="248" t="inlineStr">
        <is>
          <t xml:space="preserve"> </t>
        </is>
      </c>
      <c r="L8" s="248" t="inlineStr">
        <is>
          <t xml:space="preserve"> </t>
        </is>
      </c>
      <c r="M8" s="248" t="inlineStr">
        <is>
          <t xml:space="preserve"> </t>
        </is>
      </c>
      <c r="N8" s="248" t="inlineStr">
        <is>
          <t xml:space="preserve"> </t>
        </is>
      </c>
      <c r="O8" s="248" t="inlineStr">
        <is>
          <t xml:space="preserve"> </t>
        </is>
      </c>
      <c r="P8" s="248" t="inlineStr">
        <is>
          <t xml:space="preserve"> </t>
        </is>
      </c>
      <c r="Q8" s="248" t="inlineStr">
        <is>
          <t xml:space="preserve"> </t>
        </is>
      </c>
      <c r="R8" s="248" t="inlineStr">
        <is>
          <t xml:space="preserve"> </t>
        </is>
      </c>
      <c r="S8" s="248" t="inlineStr">
        <is>
          <t xml:space="preserve"> </t>
        </is>
      </c>
      <c r="T8" s="248" t="inlineStr">
        <is>
          <t xml:space="preserve"> </t>
        </is>
      </c>
      <c r="U8" s="248" t="inlineStr">
        <is>
          <t xml:space="preserve"> </t>
        </is>
      </c>
      <c r="V8" s="248" t="inlineStr">
        <is>
          <t xml:space="preserve"> </t>
        </is>
      </c>
      <c r="W8" s="248" t="inlineStr">
        <is>
          <t xml:space="preserve"> </t>
        </is>
      </c>
      <c r="X8" s="248" t="inlineStr">
        <is>
          <t xml:space="preserve"> </t>
        </is>
      </c>
      <c r="Y8" s="248" t="inlineStr">
        <is>
          <t xml:space="preserve"> </t>
        </is>
      </c>
      <c r="Z8" s="248" t="inlineStr">
        <is>
          <t xml:space="preserve"> </t>
        </is>
      </c>
      <c r="AA8" s="248" t="inlineStr">
        <is>
          <t xml:space="preserve"> </t>
        </is>
      </c>
      <c r="AB8" s="248" t="inlineStr">
        <is>
          <t xml:space="preserve"> </t>
        </is>
      </c>
      <c r="AC8" s="248" t="inlineStr">
        <is>
          <t xml:space="preserve"> </t>
        </is>
      </c>
      <c r="AD8" s="248" t="inlineStr">
        <is>
          <t xml:space="preserve"> </t>
        </is>
      </c>
      <c r="AE8" s="248" t="inlineStr">
        <is>
          <t xml:space="preserve"> </t>
        </is>
      </c>
      <c r="AF8" s="248" t="inlineStr">
        <is>
          <t xml:space="preserve"> </t>
        </is>
      </c>
      <c r="AG8" s="248" t="inlineStr">
        <is>
          <t xml:space="preserve"> </t>
        </is>
      </c>
      <c r="AH8" s="248" t="inlineStr">
        <is>
          <t xml:space="preserve"> </t>
        </is>
      </c>
      <c r="AI8" s="248" t="inlineStr">
        <is>
          <t xml:space="preserve"> </t>
        </is>
      </c>
      <c r="AJ8" s="248" t="inlineStr">
        <is>
          <t xml:space="preserve"> </t>
        </is>
      </c>
      <c r="AK8" s="248" t="inlineStr">
        <is>
          <t xml:space="preserve"> </t>
        </is>
      </c>
      <c r="AL8" s="248" t="inlineStr">
        <is>
          <t xml:space="preserve"> </t>
        </is>
      </c>
      <c r="AM8" s="248" t="inlineStr">
        <is>
          <t xml:space="preserve"> </t>
        </is>
      </c>
      <c r="AN8" s="248" t="inlineStr">
        <is>
          <t xml:space="preserve"> </t>
        </is>
      </c>
      <c r="AO8" s="248" t="inlineStr">
        <is>
          <t xml:space="preserve"> </t>
        </is>
      </c>
      <c r="AP8" s="248" t="inlineStr">
        <is>
          <t xml:space="preserve"> </t>
        </is>
      </c>
      <c r="AQ8" s="248" t="inlineStr">
        <is>
          <t xml:space="preserve"> </t>
        </is>
      </c>
      <c r="AR8" s="248" t="inlineStr">
        <is>
          <t xml:space="preserve"> </t>
        </is>
      </c>
      <c r="AS8" s="248" t="inlineStr">
        <is>
          <t xml:space="preserve"> </t>
        </is>
      </c>
      <c r="AT8" s="248" t="inlineStr">
        <is>
          <t xml:space="preserve"> </t>
        </is>
      </c>
      <c r="AU8" s="248" t="inlineStr">
        <is>
          <t xml:space="preserve"> </t>
        </is>
      </c>
      <c r="AV8" s="248" t="inlineStr">
        <is>
          <t xml:space="preserve"> </t>
        </is>
      </c>
      <c r="AW8" s="248" t="inlineStr">
        <is>
          <t xml:space="preserve"> </t>
        </is>
      </c>
      <c r="AX8" s="248" t="inlineStr">
        <is>
          <t xml:space="preserve"> </t>
        </is>
      </c>
      <c r="AY8" s="248" t="inlineStr">
        <is>
          <t xml:space="preserve"> </t>
        </is>
      </c>
      <c r="AZ8" s="248" t="inlineStr">
        <is>
          <t xml:space="preserve"> </t>
        </is>
      </c>
      <c r="BA8" s="248" t="inlineStr">
        <is>
          <t xml:space="preserve"> </t>
        </is>
      </c>
      <c r="BB8" s="248" t="inlineStr">
        <is>
          <t xml:space="preserve"> </t>
        </is>
      </c>
      <c r="BC8" s="248" t="inlineStr">
        <is>
          <t xml:space="preserve"> </t>
        </is>
      </c>
      <c r="BD8" s="248" t="inlineStr">
        <is>
          <t xml:space="preserve"> </t>
        </is>
      </c>
      <c r="BE8" s="248" t="inlineStr">
        <is>
          <t xml:space="preserve"> </t>
        </is>
      </c>
      <c r="BF8" s="248" t="inlineStr">
        <is>
          <t xml:space="preserve"> </t>
        </is>
      </c>
      <c r="BG8" s="248" t="inlineStr">
        <is>
          <t xml:space="preserve"> </t>
        </is>
      </c>
      <c r="BH8" s="248" t="inlineStr">
        <is>
          <t xml:space="preserve"> </t>
        </is>
      </c>
      <c r="BI8" s="248" t="inlineStr">
        <is>
          <t xml:space="preserve"> </t>
        </is>
      </c>
      <c r="BJ8" s="248" t="inlineStr">
        <is>
          <t xml:space="preserve"> </t>
        </is>
      </c>
      <c r="BK8" s="248" t="inlineStr">
        <is>
          <t xml:space="preserve"> </t>
        </is>
      </c>
      <c r="BL8" s="248" t="inlineStr">
        <is>
          <t xml:space="preserve"> </t>
        </is>
      </c>
      <c r="BM8" s="248" t="inlineStr">
        <is>
          <t xml:space="preserve"> </t>
        </is>
      </c>
      <c r="BN8" s="248" t="inlineStr">
        <is>
          <t xml:space="preserve"> </t>
        </is>
      </c>
      <c r="BO8" s="248" t="inlineStr">
        <is>
          <t xml:space="preserve"> </t>
        </is>
      </c>
      <c r="BP8" s="248" t="inlineStr">
        <is>
          <t xml:space="preserve"> </t>
        </is>
      </c>
      <c r="BQ8" s="248" t="inlineStr">
        <is>
          <t xml:space="preserve"> </t>
        </is>
      </c>
      <c r="BR8" s="248" t="inlineStr">
        <is>
          <t xml:space="preserve"> </t>
        </is>
      </c>
      <c r="BS8" s="248" t="inlineStr">
        <is>
          <t xml:space="preserve"> </t>
        </is>
      </c>
      <c r="BT8" s="248" t="inlineStr">
        <is>
          <t xml:space="preserve"> </t>
        </is>
      </c>
      <c r="BU8" s="248" t="inlineStr">
        <is>
          <t xml:space="preserve"> </t>
        </is>
      </c>
      <c r="BV8" s="248" t="inlineStr">
        <is>
          <t xml:space="preserve"> </t>
        </is>
      </c>
      <c r="BW8" s="248" t="inlineStr">
        <is>
          <t xml:space="preserve"> </t>
        </is>
      </c>
      <c r="BX8" s="248" t="inlineStr">
        <is>
          <t xml:space="preserve"> </t>
        </is>
      </c>
      <c r="BY8" s="248" t="inlineStr">
        <is>
          <t xml:space="preserve"> </t>
        </is>
      </c>
      <c r="BZ8" s="248" t="inlineStr">
        <is>
          <t xml:space="preserve"> </t>
        </is>
      </c>
      <c r="CA8" s="248" t="inlineStr">
        <is>
          <t xml:space="preserve"> </t>
        </is>
      </c>
      <c r="CB8" s="248" t="inlineStr">
        <is>
          <t xml:space="preserve"> </t>
        </is>
      </c>
      <c r="CC8" s="248" t="inlineStr">
        <is>
          <t xml:space="preserve"> </t>
        </is>
      </c>
      <c r="CD8" s="248" t="inlineStr">
        <is>
          <t xml:space="preserve"> </t>
        </is>
      </c>
      <c r="CE8" s="248" t="inlineStr">
        <is>
          <t xml:space="preserve"> </t>
        </is>
      </c>
      <c r="CF8" s="248" t="inlineStr">
        <is>
          <t xml:space="preserve"> </t>
        </is>
      </c>
      <c r="CG8" s="248" t="inlineStr">
        <is>
          <t xml:space="preserve"> </t>
        </is>
      </c>
      <c r="CH8" s="248" t="inlineStr">
        <is>
          <t xml:space="preserve"> </t>
        </is>
      </c>
      <c r="CI8" s="248" t="inlineStr">
        <is>
          <t xml:space="preserve"> </t>
        </is>
      </c>
      <c r="CJ8" s="248" t="inlineStr">
        <is>
          <t xml:space="preserve"> </t>
        </is>
      </c>
      <c r="CK8" s="248" t="inlineStr">
        <is>
          <t xml:space="preserve"> </t>
        </is>
      </c>
      <c r="CL8" s="248" t="inlineStr">
        <is>
          <t xml:space="preserve"> </t>
        </is>
      </c>
      <c r="CM8" s="248" t="inlineStr">
        <is>
          <t xml:space="preserve"> </t>
        </is>
      </c>
      <c r="CN8" s="248" t="inlineStr">
        <is>
          <t xml:space="preserve"> </t>
        </is>
      </c>
      <c r="CO8" s="248" t="inlineStr">
        <is>
          <t xml:space="preserve"> </t>
        </is>
      </c>
      <c r="CP8" s="248" t="inlineStr">
        <is>
          <t xml:space="preserve"> </t>
        </is>
      </c>
      <c r="CQ8" s="248" t="inlineStr">
        <is>
          <t xml:space="preserve"> </t>
        </is>
      </c>
      <c r="CR8" s="248" t="inlineStr">
        <is>
          <t xml:space="preserve"> </t>
        </is>
      </c>
      <c r="CS8" s="248" t="inlineStr">
        <is>
          <t xml:space="preserve"> </t>
        </is>
      </c>
      <c r="CT8" s="248" t="inlineStr">
        <is>
          <t xml:space="preserve"> </t>
        </is>
      </c>
      <c r="CU8" s="248" t="inlineStr">
        <is>
          <t xml:space="preserve"> </t>
        </is>
      </c>
      <c r="CV8" s="248" t="inlineStr">
        <is>
          <t xml:space="preserve"> </t>
        </is>
      </c>
      <c r="CW8" s="248" t="inlineStr">
        <is>
          <t xml:space="preserve"> </t>
        </is>
      </c>
      <c r="CX8" s="248" t="inlineStr">
        <is>
          <t xml:space="preserve"> </t>
        </is>
      </c>
      <c r="CY8" s="248" t="inlineStr">
        <is>
          <t xml:space="preserve"> </t>
        </is>
      </c>
      <c r="CZ8" s="248" t="inlineStr">
        <is>
          <t xml:space="preserve"> </t>
        </is>
      </c>
      <c r="DA8" s="248" t="inlineStr">
        <is>
          <t xml:space="preserve"> </t>
        </is>
      </c>
      <c r="DB8" s="248" t="inlineStr">
        <is>
          <t xml:space="preserve"> </t>
        </is>
      </c>
      <c r="DC8" s="248" t="inlineStr">
        <is>
          <t xml:space="preserve"> </t>
        </is>
      </c>
      <c r="DD8" s="248" t="inlineStr">
        <is>
          <t xml:space="preserve"> </t>
        </is>
      </c>
      <c r="DE8" s="248" t="inlineStr">
        <is>
          <t xml:space="preserve"> </t>
        </is>
      </c>
      <c r="DF8" s="248" t="inlineStr">
        <is>
          <t xml:space="preserve"> </t>
        </is>
      </c>
      <c r="DG8" s="248" t="inlineStr">
        <is>
          <t xml:space="preserve"> </t>
        </is>
      </c>
      <c r="DH8" s="248" t="inlineStr">
        <is>
          <t xml:space="preserve"> </t>
        </is>
      </c>
      <c r="DI8" s="248" t="inlineStr">
        <is>
          <t xml:space="preserve"> </t>
        </is>
      </c>
      <c r="DJ8" s="248" t="inlineStr">
        <is>
          <t xml:space="preserve"> </t>
        </is>
      </c>
      <c r="DK8" s="248" t="inlineStr">
        <is>
          <t xml:space="preserve"> </t>
        </is>
      </c>
      <c r="DL8" s="248" t="inlineStr">
        <is>
          <t xml:space="preserve"> </t>
        </is>
      </c>
      <c r="DM8" s="248" t="inlineStr">
        <is>
          <t xml:space="preserve"> </t>
        </is>
      </c>
      <c r="DN8" s="248" t="inlineStr">
        <is>
          <t xml:space="preserve"> </t>
        </is>
      </c>
      <c r="DO8" s="248" t="inlineStr">
        <is>
          <t xml:space="preserve"> </t>
        </is>
      </c>
      <c r="DP8" s="248" t="inlineStr">
        <is>
          <t xml:space="preserve"> </t>
        </is>
      </c>
      <c r="DQ8" s="248" t="inlineStr">
        <is>
          <t xml:space="preserve"> </t>
        </is>
      </c>
      <c r="DR8" s="248" t="inlineStr">
        <is>
          <t xml:space="preserve"> </t>
        </is>
      </c>
      <c r="DS8" s="248" t="inlineStr">
        <is>
          <t xml:space="preserve"> </t>
        </is>
      </c>
      <c r="DT8" s="248" t="inlineStr">
        <is>
          <t xml:space="preserve"> </t>
        </is>
      </c>
      <c r="DU8" s="248" t="inlineStr">
        <is>
          <t xml:space="preserve"> </t>
        </is>
      </c>
      <c r="DV8" s="248" t="inlineStr">
        <is>
          <t xml:space="preserve"> </t>
        </is>
      </c>
      <c r="DW8" s="248" t="inlineStr">
        <is>
          <t xml:space="preserve"> </t>
        </is>
      </c>
      <c r="DX8" s="248" t="inlineStr">
        <is>
          <t xml:space="preserve"> </t>
        </is>
      </c>
      <c r="DY8" s="248" t="inlineStr">
        <is>
          <t xml:space="preserve"> </t>
        </is>
      </c>
      <c r="DZ8" s="248" t="inlineStr">
        <is>
          <t xml:space="preserve"> </t>
        </is>
      </c>
      <c r="EA8" s="248" t="inlineStr">
        <is>
          <t xml:space="preserve"> </t>
        </is>
      </c>
      <c r="EB8" s="248" t="inlineStr">
        <is>
          <t xml:space="preserve"> </t>
        </is>
      </c>
      <c r="EC8" s="248" t="inlineStr">
        <is>
          <t xml:space="preserve"> </t>
        </is>
      </c>
      <c r="ED8" s="248" t="inlineStr">
        <is>
          <t xml:space="preserve"> </t>
        </is>
      </c>
      <c r="EE8" s="248" t="inlineStr">
        <is>
          <t xml:space="preserve"> </t>
        </is>
      </c>
      <c r="EF8" s="248" t="inlineStr">
        <is>
          <t xml:space="preserve"> </t>
        </is>
      </c>
      <c r="EG8" s="248" t="inlineStr">
        <is>
          <t xml:space="preserve"> </t>
        </is>
      </c>
      <c r="EH8" s="248" t="inlineStr">
        <is>
          <t xml:space="preserve"> </t>
        </is>
      </c>
      <c r="EI8" s="248" t="inlineStr">
        <is>
          <t xml:space="preserve"> </t>
        </is>
      </c>
      <c r="EJ8" s="248" t="inlineStr">
        <is>
          <t xml:space="preserve"> </t>
        </is>
      </c>
      <c r="EK8" s="248" t="inlineStr">
        <is>
          <t xml:space="preserve"> </t>
        </is>
      </c>
      <c r="EL8" s="248" t="inlineStr">
        <is>
          <t xml:space="preserve"> </t>
        </is>
      </c>
      <c r="EM8" s="248" t="inlineStr">
        <is>
          <t xml:space="preserve"> </t>
        </is>
      </c>
      <c r="EN8" s="248" t="inlineStr">
        <is>
          <t xml:space="preserve"> </t>
        </is>
      </c>
      <c r="EO8" s="248" t="inlineStr">
        <is>
          <t xml:space="preserve"> </t>
        </is>
      </c>
      <c r="EP8" s="248" t="inlineStr">
        <is>
          <t xml:space="preserve"> </t>
        </is>
      </c>
      <c r="EQ8" s="248" t="inlineStr">
        <is>
          <t xml:space="preserve"> </t>
        </is>
      </c>
      <c r="ER8" s="248" t="inlineStr">
        <is>
          <t xml:space="preserve"> </t>
        </is>
      </c>
      <c r="ES8" s="248" t="inlineStr">
        <is>
          <t xml:space="preserve"> </t>
        </is>
      </c>
      <c r="ET8" s="248" t="inlineStr">
        <is>
          <t xml:space="preserve"> </t>
        </is>
      </c>
      <c r="EU8" s="248" t="inlineStr">
        <is>
          <t xml:space="preserve"> </t>
        </is>
      </c>
      <c r="EV8" s="248" t="inlineStr">
        <is>
          <t xml:space="preserve"> </t>
        </is>
      </c>
      <c r="EW8" s="248" t="inlineStr">
        <is>
          <t xml:space="preserve"> </t>
        </is>
      </c>
      <c r="EX8" s="248" t="inlineStr">
        <is>
          <t xml:space="preserve"> </t>
        </is>
      </c>
      <c r="EY8" s="248" t="inlineStr">
        <is>
          <t xml:space="preserve"> </t>
        </is>
      </c>
      <c r="EZ8" s="248" t="inlineStr">
        <is>
          <t xml:space="preserve"> </t>
        </is>
      </c>
      <c r="FA8" s="248" t="inlineStr">
        <is>
          <t xml:space="preserve"> </t>
        </is>
      </c>
      <c r="FB8" s="248" t="inlineStr">
        <is>
          <t xml:space="preserve"> </t>
        </is>
      </c>
      <c r="FC8" s="248" t="inlineStr">
        <is>
          <t xml:space="preserve"> </t>
        </is>
      </c>
      <c r="FD8" s="248" t="inlineStr">
        <is>
          <t xml:space="preserve"> </t>
        </is>
      </c>
      <c r="FE8" s="248" t="inlineStr">
        <is>
          <t xml:space="preserve"> </t>
        </is>
      </c>
      <c r="FF8" s="248" t="inlineStr">
        <is>
          <t xml:space="preserve"> </t>
        </is>
      </c>
      <c r="FG8" s="248" t="inlineStr">
        <is>
          <t xml:space="preserve"> </t>
        </is>
      </c>
      <c r="FH8" s="248" t="inlineStr">
        <is>
          <t xml:space="preserve"> </t>
        </is>
      </c>
      <c r="FI8" s="248" t="inlineStr">
        <is>
          <t xml:space="preserve"> </t>
        </is>
      </c>
      <c r="FJ8" s="248" t="inlineStr">
        <is>
          <t xml:space="preserve"> </t>
        </is>
      </c>
      <c r="FK8" s="248" t="inlineStr">
        <is>
          <t xml:space="preserve"> </t>
        </is>
      </c>
      <c r="FL8" s="248" t="inlineStr">
        <is>
          <t xml:space="preserve"> </t>
        </is>
      </c>
      <c r="FM8" s="248" t="inlineStr">
        <is>
          <t xml:space="preserve"> </t>
        </is>
      </c>
      <c r="FN8" s="248" t="inlineStr">
        <is>
          <t xml:space="preserve"> </t>
        </is>
      </c>
      <c r="FO8" s="248" t="inlineStr">
        <is>
          <t xml:space="preserve"> </t>
        </is>
      </c>
      <c r="FP8" s="248" t="inlineStr">
        <is>
          <t xml:space="preserve"> </t>
        </is>
      </c>
      <c r="FQ8" s="248" t="inlineStr">
        <is>
          <t xml:space="preserve"> </t>
        </is>
      </c>
      <c r="FR8" s="248" t="inlineStr">
        <is>
          <t xml:space="preserve"> </t>
        </is>
      </c>
      <c r="FS8" s="248" t="inlineStr">
        <is>
          <t xml:space="preserve"> </t>
        </is>
      </c>
      <c r="FT8" s="248" t="inlineStr">
        <is>
          <t xml:space="preserve"> </t>
        </is>
      </c>
      <c r="FU8" s="248" t="inlineStr">
        <is>
          <t xml:space="preserve"> </t>
        </is>
      </c>
      <c r="FV8" s="248" t="inlineStr">
        <is>
          <t xml:space="preserve"> </t>
        </is>
      </c>
      <c r="FW8" s="248" t="inlineStr">
        <is>
          <t xml:space="preserve"> </t>
        </is>
      </c>
      <c r="FX8" s="248" t="inlineStr">
        <is>
          <t xml:space="preserve"> </t>
        </is>
      </c>
      <c r="FY8" s="248" t="inlineStr">
        <is>
          <t xml:space="preserve"> </t>
        </is>
      </c>
      <c r="FZ8" s="248" t="inlineStr">
        <is>
          <t xml:space="preserve"> </t>
        </is>
      </c>
      <c r="GA8" s="248" t="inlineStr">
        <is>
          <t xml:space="preserve"> </t>
        </is>
      </c>
      <c r="GB8" s="248" t="inlineStr">
        <is>
          <t xml:space="preserve"> </t>
        </is>
      </c>
      <c r="GC8" s="248" t="inlineStr">
        <is>
          <t xml:space="preserve"> </t>
        </is>
      </c>
      <c r="GD8" s="248" t="inlineStr">
        <is>
          <t xml:space="preserve"> </t>
        </is>
      </c>
      <c r="GE8" s="248" t="inlineStr">
        <is>
          <t xml:space="preserve"> </t>
        </is>
      </c>
      <c r="GF8" s="248" t="inlineStr">
        <is>
          <t xml:space="preserve"> </t>
        </is>
      </c>
      <c r="GG8" s="248" t="inlineStr">
        <is>
          <t xml:space="preserve"> </t>
        </is>
      </c>
      <c r="GH8" s="248" t="inlineStr">
        <is>
          <t xml:space="preserve"> </t>
        </is>
      </c>
      <c r="GI8" s="248" t="inlineStr">
        <is>
          <t xml:space="preserve"> </t>
        </is>
      </c>
      <c r="GJ8" s="248" t="inlineStr">
        <is>
          <t xml:space="preserve"> </t>
        </is>
      </c>
      <c r="GK8" s="248" t="inlineStr">
        <is>
          <t xml:space="preserve"> </t>
        </is>
      </c>
      <c r="GL8" s="248" t="inlineStr">
        <is>
          <t xml:space="preserve"> </t>
        </is>
      </c>
      <c r="GM8" s="248" t="inlineStr">
        <is>
          <t xml:space="preserve"> </t>
        </is>
      </c>
      <c r="GN8" s="248" t="inlineStr">
        <is>
          <t xml:space="preserve"> </t>
        </is>
      </c>
      <c r="GO8" s="248" t="inlineStr">
        <is>
          <t xml:space="preserve"> </t>
        </is>
      </c>
      <c r="GP8" s="248" t="inlineStr">
        <is>
          <t xml:space="preserve"> </t>
        </is>
      </c>
      <c r="GQ8" s="248" t="inlineStr">
        <is>
          <t xml:space="preserve"> </t>
        </is>
      </c>
      <c r="GR8" s="248" t="inlineStr">
        <is>
          <t xml:space="preserve"> </t>
        </is>
      </c>
      <c r="GS8" s="248" t="inlineStr">
        <is>
          <t xml:space="preserve"> </t>
        </is>
      </c>
      <c r="GT8" s="248" t="inlineStr">
        <is>
          <t xml:space="preserve"> </t>
        </is>
      </c>
      <c r="GU8" s="248" t="inlineStr">
        <is>
          <t xml:space="preserve"> </t>
        </is>
      </c>
      <c r="GV8" s="248" t="inlineStr">
        <is>
          <t xml:space="preserve"> </t>
        </is>
      </c>
      <c r="GW8" s="248" t="inlineStr">
        <is>
          <t xml:space="preserve"> </t>
        </is>
      </c>
      <c r="GX8" s="248" t="inlineStr">
        <is>
          <t xml:space="preserve"> </t>
        </is>
      </c>
      <c r="GY8" s="248" t="inlineStr">
        <is>
          <t xml:space="preserve"> </t>
        </is>
      </c>
      <c r="GZ8" s="248" t="inlineStr">
        <is>
          <t xml:space="preserve"> </t>
        </is>
      </c>
      <c r="HA8" s="248" t="inlineStr">
        <is>
          <t xml:space="preserve"> </t>
        </is>
      </c>
      <c r="HB8" s="248" t="inlineStr">
        <is>
          <t xml:space="preserve"> </t>
        </is>
      </c>
      <c r="HC8" s="248" t="inlineStr">
        <is>
          <t xml:space="preserve"> </t>
        </is>
      </c>
      <c r="HD8" s="248" t="inlineStr">
        <is>
          <t xml:space="preserve"> </t>
        </is>
      </c>
      <c r="HE8" s="248" t="inlineStr">
        <is>
          <t xml:space="preserve"> </t>
        </is>
      </c>
      <c r="HF8" s="248" t="inlineStr">
        <is>
          <t xml:space="preserve"> </t>
        </is>
      </c>
      <c r="HG8" s="248" t="inlineStr">
        <is>
          <t xml:space="preserve"> </t>
        </is>
      </c>
      <c r="HH8" s="248" t="inlineStr">
        <is>
          <t xml:space="preserve"> </t>
        </is>
      </c>
      <c r="HI8" s="248" t="inlineStr">
        <is>
          <t xml:space="preserve"> </t>
        </is>
      </c>
      <c r="HJ8" s="248" t="inlineStr">
        <is>
          <t xml:space="preserve"> </t>
        </is>
      </c>
      <c r="HK8" s="248" t="inlineStr">
        <is>
          <t xml:space="preserve"> </t>
        </is>
      </c>
      <c r="HL8" s="248" t="inlineStr">
        <is>
          <t xml:space="preserve"> </t>
        </is>
      </c>
      <c r="HM8" s="248" t="inlineStr">
        <is>
          <t xml:space="preserve"> </t>
        </is>
      </c>
      <c r="HN8" s="248" t="inlineStr">
        <is>
          <t xml:space="preserve"> </t>
        </is>
      </c>
      <c r="HO8" s="248" t="inlineStr">
        <is>
          <t xml:space="preserve"> </t>
        </is>
      </c>
      <c r="HP8" s="248" t="inlineStr">
        <is>
          <t xml:space="preserve"> </t>
        </is>
      </c>
      <c r="HQ8" s="248" t="inlineStr">
        <is>
          <t xml:space="preserve"> </t>
        </is>
      </c>
      <c r="HR8" s="248" t="inlineStr">
        <is>
          <t xml:space="preserve"> </t>
        </is>
      </c>
      <c r="HS8" s="248" t="inlineStr">
        <is>
          <t xml:space="preserve"> </t>
        </is>
      </c>
      <c r="HT8" s="248" t="inlineStr">
        <is>
          <t xml:space="preserve"> </t>
        </is>
      </c>
      <c r="HU8" s="248" t="inlineStr">
        <is>
          <t xml:space="preserve"> </t>
        </is>
      </c>
      <c r="HV8" s="248" t="inlineStr">
        <is>
          <t xml:space="preserve"> </t>
        </is>
      </c>
      <c r="HW8" s="248" t="inlineStr">
        <is>
          <t xml:space="preserve"> </t>
        </is>
      </c>
      <c r="HX8" s="248" t="inlineStr">
        <is>
          <t xml:space="preserve"> </t>
        </is>
      </c>
      <c r="HY8" s="248" t="inlineStr">
        <is>
          <t xml:space="preserve"> </t>
        </is>
      </c>
      <c r="HZ8" s="248" t="inlineStr">
        <is>
          <t xml:space="preserve"> </t>
        </is>
      </c>
      <c r="IA8" s="248" t="inlineStr">
        <is>
          <t xml:space="preserve"> </t>
        </is>
      </c>
      <c r="IB8" s="248" t="inlineStr">
        <is>
          <t xml:space="preserve"> </t>
        </is>
      </c>
      <c r="IC8" s="248" t="inlineStr">
        <is>
          <t xml:space="preserve"> </t>
        </is>
      </c>
      <c r="ID8" s="248" t="inlineStr">
        <is>
          <t xml:space="preserve"> </t>
        </is>
      </c>
      <c r="IE8" s="248" t="inlineStr">
        <is>
          <t xml:space="preserve"> </t>
        </is>
      </c>
      <c r="IF8" s="248" t="inlineStr">
        <is>
          <t xml:space="preserve"> </t>
        </is>
      </c>
      <c r="IG8" s="248" t="inlineStr">
        <is>
          <t xml:space="preserve"> </t>
        </is>
      </c>
      <c r="IH8" s="248" t="inlineStr">
        <is>
          <t xml:space="preserve"> </t>
        </is>
      </c>
      <c r="II8" s="248" t="inlineStr">
        <is>
          <t xml:space="preserve"> </t>
        </is>
      </c>
      <c r="IJ8" s="248" t="inlineStr">
        <is>
          <t xml:space="preserve"> </t>
        </is>
      </c>
      <c r="IK8" s="248" t="inlineStr">
        <is>
          <t xml:space="preserve"> </t>
        </is>
      </c>
      <c r="IL8" s="248" t="inlineStr">
        <is>
          <t xml:space="preserve"> </t>
        </is>
      </c>
      <c r="IM8" s="248" t="inlineStr">
        <is>
          <t xml:space="preserve"> </t>
        </is>
      </c>
      <c r="IN8" s="248" t="inlineStr">
        <is>
          <t xml:space="preserve"> </t>
        </is>
      </c>
      <c r="IO8" s="248" t="inlineStr">
        <is>
          <t xml:space="preserve"> </t>
        </is>
      </c>
      <c r="IP8" s="248" t="inlineStr">
        <is>
          <t xml:space="preserve"> </t>
        </is>
      </c>
      <c r="IQ8" s="248" t="inlineStr">
        <is>
          <t xml:space="preserve"> </t>
        </is>
      </c>
      <c r="IR8" s="248" t="inlineStr">
        <is>
          <t xml:space="preserve"> </t>
        </is>
      </c>
      <c r="IS8" s="248" t="inlineStr">
        <is>
          <t xml:space="preserve"> </t>
        </is>
      </c>
      <c r="IT8" s="248" t="inlineStr">
        <is>
          <t xml:space="preserve"> </t>
        </is>
      </c>
      <c r="IU8" s="248" t="inlineStr">
        <is>
          <t xml:space="preserve"> </t>
        </is>
      </c>
      <c r="IV8" s="248" t="inlineStr">
        <is>
          <t xml:space="preserve"> </t>
        </is>
      </c>
      <c r="IW8" s="248" t="inlineStr">
        <is>
          <t xml:space="preserve"> </t>
        </is>
      </c>
      <c r="IX8" s="248" t="inlineStr">
        <is>
          <t xml:space="preserve"> </t>
        </is>
      </c>
      <c r="IY8" s="248" t="inlineStr">
        <is>
          <t xml:space="preserve"> </t>
        </is>
      </c>
      <c r="IZ8" s="248" t="inlineStr">
        <is>
          <t xml:space="preserve"> </t>
        </is>
      </c>
      <c r="JA8" s="248" t="inlineStr">
        <is>
          <t xml:space="preserve"> </t>
        </is>
      </c>
      <c r="JB8" s="248" t="inlineStr">
        <is>
          <t xml:space="preserve"> </t>
        </is>
      </c>
      <c r="JC8" s="248" t="inlineStr">
        <is>
          <t xml:space="preserve"> </t>
        </is>
      </c>
      <c r="JD8" s="248" t="inlineStr">
        <is>
          <t xml:space="preserve"> </t>
        </is>
      </c>
      <c r="JE8" s="248" t="inlineStr">
        <is>
          <t xml:space="preserve"> </t>
        </is>
      </c>
      <c r="JF8" s="248" t="inlineStr">
        <is>
          <t xml:space="preserve"> </t>
        </is>
      </c>
      <c r="JG8" s="248" t="inlineStr">
        <is>
          <t xml:space="preserve"> </t>
        </is>
      </c>
      <c r="JH8" s="248" t="inlineStr">
        <is>
          <t xml:space="preserve"> </t>
        </is>
      </c>
      <c r="JI8" s="248" t="inlineStr">
        <is>
          <t xml:space="preserve"> </t>
        </is>
      </c>
      <c r="JJ8" s="248" t="inlineStr">
        <is>
          <t xml:space="preserve"> </t>
        </is>
      </c>
      <c r="JK8" s="248" t="inlineStr">
        <is>
          <t xml:space="preserve"> </t>
        </is>
      </c>
      <c r="JL8" s="248" t="inlineStr">
        <is>
          <t xml:space="preserve"> </t>
        </is>
      </c>
      <c r="JM8" s="248" t="inlineStr">
        <is>
          <t xml:space="preserve"> </t>
        </is>
      </c>
      <c r="JN8" s="248" t="inlineStr">
        <is>
          <t xml:space="preserve"> </t>
        </is>
      </c>
      <c r="JO8" s="248" t="inlineStr">
        <is>
          <t xml:space="preserve"> </t>
        </is>
      </c>
      <c r="JP8" s="248" t="inlineStr">
        <is>
          <t xml:space="preserve"> </t>
        </is>
      </c>
      <c r="JQ8" s="248" t="inlineStr">
        <is>
          <t xml:space="preserve"> </t>
        </is>
      </c>
      <c r="JR8" s="248" t="inlineStr">
        <is>
          <t xml:space="preserve"> </t>
        </is>
      </c>
      <c r="JS8" s="248" t="inlineStr">
        <is>
          <t xml:space="preserve"> </t>
        </is>
      </c>
      <c r="JT8" s="248" t="inlineStr">
        <is>
          <t xml:space="preserve"> </t>
        </is>
      </c>
      <c r="JU8" s="248" t="inlineStr">
        <is>
          <t xml:space="preserve"> </t>
        </is>
      </c>
      <c r="JV8" s="248" t="inlineStr">
        <is>
          <t xml:space="preserve"> </t>
        </is>
      </c>
      <c r="JW8" s="248" t="inlineStr">
        <is>
          <t xml:space="preserve"> </t>
        </is>
      </c>
      <c r="JX8" s="248" t="inlineStr">
        <is>
          <t xml:space="preserve"> </t>
        </is>
      </c>
      <c r="JY8" s="248" t="inlineStr">
        <is>
          <t xml:space="preserve"> </t>
        </is>
      </c>
      <c r="JZ8" s="248" t="inlineStr">
        <is>
          <t xml:space="preserve"> </t>
        </is>
      </c>
      <c r="KA8" s="248" t="inlineStr">
        <is>
          <t xml:space="preserve"> </t>
        </is>
      </c>
      <c r="KB8" s="248" t="inlineStr">
        <is>
          <t xml:space="preserve"> </t>
        </is>
      </c>
      <c r="KC8" s="248" t="inlineStr">
        <is>
          <t xml:space="preserve"> </t>
        </is>
      </c>
      <c r="KD8" s="248" t="inlineStr">
        <is>
          <t xml:space="preserve"> </t>
        </is>
      </c>
      <c r="KE8" s="248" t="inlineStr">
        <is>
          <t xml:space="preserve"> </t>
        </is>
      </c>
      <c r="KF8" s="248" t="inlineStr">
        <is>
          <t xml:space="preserve"> </t>
        </is>
      </c>
      <c r="KG8" s="248" t="inlineStr">
        <is>
          <t xml:space="preserve"> </t>
        </is>
      </c>
      <c r="KH8" s="248" t="inlineStr">
        <is>
          <t xml:space="preserve"> </t>
        </is>
      </c>
      <c r="KI8" s="248" t="inlineStr">
        <is>
          <t xml:space="preserve"> </t>
        </is>
      </c>
      <c r="KJ8" s="248" t="inlineStr">
        <is>
          <t xml:space="preserve"> </t>
        </is>
      </c>
      <c r="KK8" s="248" t="inlineStr">
        <is>
          <t xml:space="preserve"> </t>
        </is>
      </c>
      <c r="KL8" s="248" t="inlineStr">
        <is>
          <t xml:space="preserve"> </t>
        </is>
      </c>
      <c r="KM8" s="248" t="inlineStr">
        <is>
          <t xml:space="preserve"> </t>
        </is>
      </c>
      <c r="KN8" s="248" t="inlineStr">
        <is>
          <t xml:space="preserve"> </t>
        </is>
      </c>
      <c r="KO8" s="248" t="inlineStr">
        <is>
          <t xml:space="preserve"> </t>
        </is>
      </c>
      <c r="KP8" s="248" t="inlineStr">
        <is>
          <t xml:space="preserve"> </t>
        </is>
      </c>
      <c r="KQ8" s="248" t="inlineStr">
        <is>
          <t xml:space="preserve"> </t>
        </is>
      </c>
      <c r="KR8" s="248" t="inlineStr">
        <is>
          <t xml:space="preserve"> </t>
        </is>
      </c>
      <c r="KS8" s="248" t="inlineStr">
        <is>
          <t xml:space="preserve"> </t>
        </is>
      </c>
      <c r="KT8" s="248" t="inlineStr">
        <is>
          <t xml:space="preserve"> </t>
        </is>
      </c>
      <c r="KU8" s="248" t="inlineStr">
        <is>
          <t xml:space="preserve"> </t>
        </is>
      </c>
      <c r="KV8" s="248" t="inlineStr">
        <is>
          <t xml:space="preserve"> </t>
        </is>
      </c>
      <c r="KW8" s="248" t="inlineStr">
        <is>
          <t xml:space="preserve"> </t>
        </is>
      </c>
      <c r="KX8" s="248" t="inlineStr">
        <is>
          <t xml:space="preserve"> </t>
        </is>
      </c>
      <c r="KY8" s="248" t="inlineStr">
        <is>
          <t xml:space="preserve"> </t>
        </is>
      </c>
      <c r="KZ8" s="248" t="inlineStr">
        <is>
          <t xml:space="preserve"> </t>
        </is>
      </c>
      <c r="LA8" s="248" t="inlineStr">
        <is>
          <t xml:space="preserve"> </t>
        </is>
      </c>
      <c r="LB8" s="248" t="inlineStr">
        <is>
          <t xml:space="preserve"> </t>
        </is>
      </c>
      <c r="LC8" s="248" t="inlineStr">
        <is>
          <t xml:space="preserve"> </t>
        </is>
      </c>
      <c r="LD8" s="248" t="inlineStr">
        <is>
          <t xml:space="preserve"> </t>
        </is>
      </c>
      <c r="LE8" s="248" t="inlineStr">
        <is>
          <t xml:space="preserve"> </t>
        </is>
      </c>
      <c r="LF8" s="248" t="inlineStr">
        <is>
          <t xml:space="preserve"> </t>
        </is>
      </c>
      <c r="LG8" s="248" t="inlineStr">
        <is>
          <t xml:space="preserve"> </t>
        </is>
      </c>
      <c r="LH8" s="248" t="inlineStr">
        <is>
          <t xml:space="preserve"> </t>
        </is>
      </c>
      <c r="LI8" s="248" t="inlineStr">
        <is>
          <t xml:space="preserve"> </t>
        </is>
      </c>
      <c r="LJ8" s="248" t="inlineStr">
        <is>
          <t xml:space="preserve"> </t>
        </is>
      </c>
      <c r="LK8" s="248" t="inlineStr">
        <is>
          <t xml:space="preserve"> </t>
        </is>
      </c>
      <c r="LL8" s="248" t="inlineStr">
        <is>
          <t xml:space="preserve"> </t>
        </is>
      </c>
      <c r="LM8" s="248" t="inlineStr">
        <is>
          <t xml:space="preserve"> </t>
        </is>
      </c>
      <c r="LN8" s="248" t="inlineStr">
        <is>
          <t xml:space="preserve"> </t>
        </is>
      </c>
      <c r="LO8" s="248" t="inlineStr">
        <is>
          <t xml:space="preserve"> </t>
        </is>
      </c>
      <c r="LP8" s="248" t="inlineStr">
        <is>
          <t xml:space="preserve"> </t>
        </is>
      </c>
      <c r="LQ8" s="248" t="inlineStr">
        <is>
          <t xml:space="preserve"> </t>
        </is>
      </c>
      <c r="LR8" s="248" t="inlineStr">
        <is>
          <t xml:space="preserve"> </t>
        </is>
      </c>
      <c r="LS8" s="248" t="inlineStr">
        <is>
          <t xml:space="preserve"> </t>
        </is>
      </c>
      <c r="LT8" s="248" t="inlineStr">
        <is>
          <t xml:space="preserve"> </t>
        </is>
      </c>
      <c r="LU8" s="248" t="inlineStr">
        <is>
          <t xml:space="preserve"> </t>
        </is>
      </c>
      <c r="LV8" s="248" t="inlineStr">
        <is>
          <t xml:space="preserve"> </t>
        </is>
      </c>
      <c r="LW8" s="248" t="inlineStr">
        <is>
          <t xml:space="preserve"> </t>
        </is>
      </c>
      <c r="LX8" s="248" t="inlineStr">
        <is>
          <t xml:space="preserve"> </t>
        </is>
      </c>
      <c r="LY8" s="248" t="inlineStr">
        <is>
          <t xml:space="preserve"> </t>
        </is>
      </c>
      <c r="LZ8" s="248" t="inlineStr">
        <is>
          <t xml:space="preserve"> </t>
        </is>
      </c>
      <c r="MA8" s="248" t="inlineStr">
        <is>
          <t xml:space="preserve"> </t>
        </is>
      </c>
      <c r="MB8" s="248" t="inlineStr">
        <is>
          <t xml:space="preserve"> </t>
        </is>
      </c>
      <c r="MC8" s="248" t="inlineStr">
        <is>
          <t xml:space="preserve"> </t>
        </is>
      </c>
      <c r="MD8" s="248" t="inlineStr">
        <is>
          <t xml:space="preserve"> </t>
        </is>
      </c>
      <c r="ME8" s="248" t="inlineStr">
        <is>
          <t xml:space="preserve"> </t>
        </is>
      </c>
      <c r="MF8" s="248" t="inlineStr">
        <is>
          <t xml:space="preserve"> </t>
        </is>
      </c>
      <c r="MG8" s="248" t="inlineStr">
        <is>
          <t xml:space="preserve"> </t>
        </is>
      </c>
      <c r="MH8" s="248" t="inlineStr">
        <is>
          <t xml:space="preserve"> </t>
        </is>
      </c>
      <c r="MI8" s="248" t="inlineStr">
        <is>
          <t xml:space="preserve"> </t>
        </is>
      </c>
      <c r="MJ8" s="248" t="inlineStr">
        <is>
          <t xml:space="preserve"> </t>
        </is>
      </c>
      <c r="MK8" s="248" t="inlineStr">
        <is>
          <t xml:space="preserve"> </t>
        </is>
      </c>
      <c r="ML8" s="248" t="inlineStr">
        <is>
          <t xml:space="preserve"> </t>
        </is>
      </c>
      <c r="MM8" s="248" t="inlineStr">
        <is>
          <t xml:space="preserve"> </t>
        </is>
      </c>
      <c r="MN8" s="248" t="inlineStr">
        <is>
          <t xml:space="preserve"> </t>
        </is>
      </c>
      <c r="MO8" s="248" t="inlineStr">
        <is>
          <t xml:space="preserve"> </t>
        </is>
      </c>
      <c r="MP8" s="248" t="inlineStr">
        <is>
          <t xml:space="preserve"> </t>
        </is>
      </c>
      <c r="MQ8" s="248" t="inlineStr">
        <is>
          <t xml:space="preserve"> </t>
        </is>
      </c>
      <c r="MR8" s="248" t="inlineStr">
        <is>
          <t xml:space="preserve"> </t>
        </is>
      </c>
      <c r="MS8" s="248" t="inlineStr">
        <is>
          <t xml:space="preserve"> </t>
        </is>
      </c>
      <c r="MT8" s="248" t="inlineStr">
        <is>
          <t xml:space="preserve"> </t>
        </is>
      </c>
      <c r="MU8" s="248" t="inlineStr">
        <is>
          <t xml:space="preserve"> </t>
        </is>
      </c>
      <c r="MV8" s="248" t="inlineStr">
        <is>
          <t xml:space="preserve"> </t>
        </is>
      </c>
      <c r="MW8" s="248" t="inlineStr">
        <is>
          <t xml:space="preserve"> </t>
        </is>
      </c>
      <c r="MX8" s="248" t="inlineStr">
        <is>
          <t xml:space="preserve"> </t>
        </is>
      </c>
      <c r="MY8" s="248" t="inlineStr">
        <is>
          <t xml:space="preserve"> </t>
        </is>
      </c>
      <c r="MZ8" s="248" t="inlineStr">
        <is>
          <t xml:space="preserve"> </t>
        </is>
      </c>
      <c r="NA8" s="248" t="inlineStr">
        <is>
          <t xml:space="preserve"> </t>
        </is>
      </c>
      <c r="NB8" s="248" t="inlineStr">
        <is>
          <t xml:space="preserve"> </t>
        </is>
      </c>
      <c r="NC8" s="248" t="inlineStr">
        <is>
          <t xml:space="preserve"> </t>
        </is>
      </c>
      <c r="ND8" s="248" t="inlineStr">
        <is>
          <t xml:space="preserve"> </t>
        </is>
      </c>
      <c r="NE8" s="248" t="inlineStr">
        <is>
          <t xml:space="preserve"> </t>
        </is>
      </c>
    </row>
    <row r="9" ht="15" customHeight="1" s="166">
      <c r="A9" s="249" t="inlineStr">
        <is>
          <t>Daily Consumption</t>
        </is>
      </c>
      <c r="B9" s="245" t="n"/>
      <c r="C9" s="250" t="inlineStr">
        <is>
          <t>kWh</t>
        </is>
      </c>
      <c r="D9" s="251">
        <f>'Daily Consumption'!B17</f>
        <v/>
      </c>
      <c r="E9" s="252">
        <f>'Daily Consumption'!C17</f>
        <v/>
      </c>
      <c r="F9" s="252">
        <f>'Daily Consumption'!D17</f>
        <v/>
      </c>
      <c r="G9" s="252">
        <f>'Daily Consumption'!E17</f>
        <v/>
      </c>
      <c r="H9" s="252">
        <f>'Daily Consumption'!F17</f>
        <v/>
      </c>
      <c r="I9" s="252">
        <f>'Daily Consumption'!G17</f>
        <v/>
      </c>
      <c r="J9" s="252">
        <f>'Daily Consumption'!H17</f>
        <v/>
      </c>
      <c r="K9" s="252">
        <f>'Daily Consumption'!I17</f>
        <v/>
      </c>
      <c r="L9" s="252">
        <f>'Daily Consumption'!J17</f>
        <v/>
      </c>
      <c r="M9" s="252">
        <f>'Daily Consumption'!K17</f>
        <v/>
      </c>
      <c r="N9" s="252">
        <f>'Daily Consumption'!L17</f>
        <v/>
      </c>
      <c r="O9" s="252">
        <f>'Daily Consumption'!M17</f>
        <v/>
      </c>
      <c r="P9" s="252">
        <f>'Daily Consumption'!N17</f>
        <v/>
      </c>
      <c r="Q9" s="252">
        <f>'Daily Consumption'!O17</f>
        <v/>
      </c>
      <c r="R9" s="253">
        <f>'Daily Consumption'!P17</f>
        <v/>
      </c>
      <c r="S9" s="253">
        <f>'Daily Consumption'!Q17</f>
        <v/>
      </c>
      <c r="T9" s="253">
        <f>'Daily Consumption'!R17</f>
        <v/>
      </c>
      <c r="U9" s="253">
        <f>'Daily Consumption'!S17</f>
        <v/>
      </c>
      <c r="V9" s="253">
        <f>'Daily Consumption'!T17</f>
        <v/>
      </c>
      <c r="W9" s="253">
        <f>'Daily Consumption'!U17</f>
        <v/>
      </c>
      <c r="X9" s="253">
        <f>'Daily Consumption'!V17</f>
        <v/>
      </c>
      <c r="Y9" s="253">
        <f>'Daily Consumption'!W17</f>
        <v/>
      </c>
      <c r="Z9" s="253">
        <f>'Daily Consumption'!X17</f>
        <v/>
      </c>
      <c r="AA9" s="253">
        <f>'Daily Consumption'!Y17</f>
        <v/>
      </c>
      <c r="AB9" s="253">
        <f>'Daily Consumption'!Z17</f>
        <v/>
      </c>
      <c r="AC9" s="253">
        <f>'Daily Consumption'!AA17</f>
        <v/>
      </c>
      <c r="AD9" s="253">
        <f>'Daily Consumption'!AB17</f>
        <v/>
      </c>
      <c r="AE9" s="253">
        <f>'Daily Consumption'!AC17</f>
        <v/>
      </c>
      <c r="AF9" s="253">
        <f>'Daily Consumption'!AD17</f>
        <v/>
      </c>
      <c r="AG9" s="253">
        <f>'Daily Consumption'!AE17</f>
        <v/>
      </c>
      <c r="AH9" s="253">
        <f>'Daily Consumption'!AF17</f>
        <v/>
      </c>
      <c r="AI9" s="253">
        <f>'Daily Consumption'!AG17</f>
        <v/>
      </c>
      <c r="AJ9" s="253">
        <f>'Daily Consumption'!AH17</f>
        <v/>
      </c>
      <c r="AK9" s="253">
        <f>'Daily Consumption'!AI17</f>
        <v/>
      </c>
      <c r="AL9" s="253">
        <f>'Daily Consumption'!AJ17</f>
        <v/>
      </c>
      <c r="AM9" s="253">
        <f>'Daily Consumption'!AK17</f>
        <v/>
      </c>
      <c r="AN9" s="253">
        <f>'Daily Consumption'!AL17</f>
        <v/>
      </c>
      <c r="AO9" s="253">
        <f>'Daily Consumption'!AM17</f>
        <v/>
      </c>
      <c r="AP9" s="253">
        <f>'Daily Consumption'!AN17</f>
        <v/>
      </c>
      <c r="AQ9" s="253">
        <f>'Daily Consumption'!AO17</f>
        <v/>
      </c>
      <c r="AR9" s="253">
        <f>'Daily Consumption'!AP17</f>
        <v/>
      </c>
      <c r="AS9" s="253">
        <f>'Daily Consumption'!AQ17</f>
        <v/>
      </c>
      <c r="AT9" s="253">
        <f>'Daily Consumption'!AR17</f>
        <v/>
      </c>
      <c r="AU9" s="253">
        <f>'Daily Consumption'!AS17</f>
        <v/>
      </c>
      <c r="AV9" s="253">
        <f>'Daily Consumption'!AT17</f>
        <v/>
      </c>
      <c r="AW9" s="253">
        <f>'Daily Consumption'!AU17</f>
        <v/>
      </c>
      <c r="AX9" s="253">
        <f>'Daily Consumption'!AV17</f>
        <v/>
      </c>
      <c r="AY9" s="253">
        <f>'Daily Consumption'!AW17</f>
        <v/>
      </c>
      <c r="AZ9" s="253">
        <f>'Daily Consumption'!AX17</f>
        <v/>
      </c>
      <c r="BA9" s="253">
        <f>'Daily Consumption'!AY17</f>
        <v/>
      </c>
      <c r="BB9" s="253">
        <f>'Daily Consumption'!AZ17</f>
        <v/>
      </c>
      <c r="BC9" s="253">
        <f>'Daily Consumption'!BA17</f>
        <v/>
      </c>
      <c r="BD9" s="253">
        <f>'Daily Consumption'!BB17</f>
        <v/>
      </c>
      <c r="BE9" s="253">
        <f>'Daily Consumption'!BC17</f>
        <v/>
      </c>
      <c r="BF9" s="253">
        <f>'Daily Consumption'!BD17</f>
        <v/>
      </c>
      <c r="BG9" s="253">
        <f>'Daily Consumption'!BE17</f>
        <v/>
      </c>
      <c r="BH9" s="253">
        <f>'Daily Consumption'!BF17</f>
        <v/>
      </c>
      <c r="BI9" s="253">
        <f>'Daily Consumption'!BG17</f>
        <v/>
      </c>
      <c r="BJ9" s="253">
        <f>'Daily Consumption'!BH17</f>
        <v/>
      </c>
      <c r="BK9" s="253">
        <f>'Daily Consumption'!BI17</f>
        <v/>
      </c>
      <c r="BL9" s="253">
        <f>'Daily Consumption'!BJ17</f>
        <v/>
      </c>
      <c r="BM9" s="253">
        <f>'Daily Consumption'!BK17</f>
        <v/>
      </c>
      <c r="BN9" s="253">
        <f>'Daily Consumption'!BL17</f>
        <v/>
      </c>
      <c r="BO9" s="253">
        <f>'Daily Consumption'!BM17</f>
        <v/>
      </c>
      <c r="BP9" s="253">
        <f>'Daily Consumption'!BN17</f>
        <v/>
      </c>
      <c r="BQ9" s="253">
        <f>'Daily Consumption'!BO17</f>
        <v/>
      </c>
      <c r="BR9" s="253">
        <f>'Daily Consumption'!BP17</f>
        <v/>
      </c>
      <c r="BS9" s="253">
        <f>'Daily Consumption'!BQ17</f>
        <v/>
      </c>
      <c r="BT9" s="253">
        <f>'Daily Consumption'!BR17</f>
        <v/>
      </c>
      <c r="BU9" s="253">
        <f>'Daily Consumption'!BS17</f>
        <v/>
      </c>
      <c r="BV9" s="253">
        <f>'Daily Consumption'!BT17</f>
        <v/>
      </c>
      <c r="BW9" s="253">
        <f>'Daily Consumption'!BU17</f>
        <v/>
      </c>
      <c r="BX9" s="253">
        <f>'Daily Consumption'!BV17</f>
        <v/>
      </c>
      <c r="BY9" s="253">
        <f>'Daily Consumption'!BW17</f>
        <v/>
      </c>
      <c r="BZ9" s="253">
        <f>'Daily Consumption'!BX17</f>
        <v/>
      </c>
      <c r="CA9" s="253">
        <f>'Daily Consumption'!BY17</f>
        <v/>
      </c>
      <c r="CB9" s="253">
        <f>'Daily Consumption'!BZ17</f>
        <v/>
      </c>
      <c r="CC9" s="253">
        <f>'Daily Consumption'!CA17</f>
        <v/>
      </c>
      <c r="CD9" s="253">
        <f>'Daily Consumption'!CB17</f>
        <v/>
      </c>
      <c r="CE9" s="253">
        <f>'Daily Consumption'!CC17</f>
        <v/>
      </c>
      <c r="CF9" s="253">
        <f>'Daily Consumption'!CD17</f>
        <v/>
      </c>
      <c r="CG9" s="253">
        <f>'Daily Consumption'!CE17</f>
        <v/>
      </c>
      <c r="CH9" s="253">
        <f>'Daily Consumption'!CF17</f>
        <v/>
      </c>
      <c r="CI9" s="253">
        <f>'Daily Consumption'!CG17</f>
        <v/>
      </c>
      <c r="CJ9" s="253">
        <f>'Daily Consumption'!CH17</f>
        <v/>
      </c>
      <c r="CK9" s="253">
        <f>'Daily Consumption'!CI17</f>
        <v/>
      </c>
      <c r="CL9" s="253">
        <f>'Daily Consumption'!CJ17</f>
        <v/>
      </c>
      <c r="CM9" s="253">
        <f>'Daily Consumption'!CK17</f>
        <v/>
      </c>
      <c r="CN9" s="253">
        <f>'Daily Consumption'!CL17</f>
        <v/>
      </c>
      <c r="CO9" s="253">
        <f>'Daily Consumption'!CM17</f>
        <v/>
      </c>
      <c r="CP9" s="253">
        <f>'Daily Consumption'!CN17</f>
        <v/>
      </c>
      <c r="CQ9" s="253">
        <f>'Daily Consumption'!CO17</f>
        <v/>
      </c>
      <c r="CR9" s="253">
        <f>'Daily Consumption'!CP17</f>
        <v/>
      </c>
      <c r="CS9" s="253">
        <f>'Daily Consumption'!CQ17</f>
        <v/>
      </c>
      <c r="CT9" s="253">
        <f>'Daily Consumption'!CR17</f>
        <v/>
      </c>
      <c r="CU9" s="253">
        <f>'Daily Consumption'!CS17</f>
        <v/>
      </c>
      <c r="CV9" s="253">
        <f>'Daily Consumption'!CT17</f>
        <v/>
      </c>
      <c r="CW9" s="253">
        <f>'Daily Consumption'!CU17</f>
        <v/>
      </c>
      <c r="CX9" s="253">
        <f>'Daily Consumption'!CV17</f>
        <v/>
      </c>
      <c r="CY9" s="253">
        <f>'Daily Consumption'!CW17</f>
        <v/>
      </c>
      <c r="CZ9" s="253">
        <f>'Daily Consumption'!CX17</f>
        <v/>
      </c>
      <c r="DA9" s="253">
        <f>'Daily Consumption'!CY17</f>
        <v/>
      </c>
      <c r="DB9" s="253">
        <f>'Daily Consumption'!CZ17</f>
        <v/>
      </c>
      <c r="DC9" s="253">
        <f>'Daily Consumption'!DA17</f>
        <v/>
      </c>
      <c r="DD9" s="253">
        <f>'Daily Consumption'!DB17</f>
        <v/>
      </c>
      <c r="DE9" s="253">
        <f>'Daily Consumption'!DC17</f>
        <v/>
      </c>
      <c r="DF9" s="253">
        <f>'Daily Consumption'!DD17</f>
        <v/>
      </c>
      <c r="DG9" s="253">
        <f>'Daily Consumption'!DE17</f>
        <v/>
      </c>
      <c r="DH9" s="253">
        <f>'Daily Consumption'!DF17</f>
        <v/>
      </c>
      <c r="DI9" s="253">
        <f>'Daily Consumption'!DG17</f>
        <v/>
      </c>
      <c r="DJ9" s="253">
        <f>'Daily Consumption'!DH17</f>
        <v/>
      </c>
      <c r="DK9" s="253">
        <f>'Daily Consumption'!DI17</f>
        <v/>
      </c>
      <c r="DL9" s="253">
        <f>'Daily Consumption'!DJ17</f>
        <v/>
      </c>
      <c r="DM9" s="253">
        <f>'Daily Consumption'!DK17</f>
        <v/>
      </c>
      <c r="DN9" s="253">
        <f>'Daily Consumption'!DL17</f>
        <v/>
      </c>
      <c r="DO9" s="253">
        <f>'Daily Consumption'!DM17</f>
        <v/>
      </c>
      <c r="DP9" s="253">
        <f>'Daily Consumption'!DN17</f>
        <v/>
      </c>
      <c r="DQ9" s="253">
        <f>'Daily Consumption'!DO17</f>
        <v/>
      </c>
      <c r="DR9" s="253">
        <f>'Daily Consumption'!DP17</f>
        <v/>
      </c>
      <c r="DS9" s="253">
        <f>'Daily Consumption'!DQ17</f>
        <v/>
      </c>
      <c r="DT9" s="253">
        <f>'Daily Consumption'!DR17</f>
        <v/>
      </c>
      <c r="DU9" s="253">
        <f>'Daily Consumption'!DS17</f>
        <v/>
      </c>
      <c r="DV9" s="253">
        <f>'Daily Consumption'!DT17</f>
        <v/>
      </c>
      <c r="DW9" s="253">
        <f>'Daily Consumption'!DU17</f>
        <v/>
      </c>
      <c r="DX9" s="253">
        <f>'Daily Consumption'!DV17</f>
        <v/>
      </c>
      <c r="DY9" s="253">
        <f>'Daily Consumption'!DW17</f>
        <v/>
      </c>
      <c r="DZ9" s="253">
        <f>'Daily Consumption'!DX17</f>
        <v/>
      </c>
      <c r="EA9" s="253">
        <f>'Daily Consumption'!DY17</f>
        <v/>
      </c>
      <c r="EB9" s="253">
        <f>'Daily Consumption'!DZ17</f>
        <v/>
      </c>
      <c r="EC9" s="253">
        <f>'Daily Consumption'!EA17</f>
        <v/>
      </c>
      <c r="ED9" s="253">
        <f>'Daily Consumption'!EB17</f>
        <v/>
      </c>
      <c r="EE9" s="253">
        <f>'Daily Consumption'!EC17</f>
        <v/>
      </c>
      <c r="EF9" s="253">
        <f>'Daily Consumption'!ED17</f>
        <v/>
      </c>
      <c r="EG9" s="253">
        <f>'Daily Consumption'!EE17</f>
        <v/>
      </c>
      <c r="EH9" s="253">
        <f>'Daily Consumption'!EF17</f>
        <v/>
      </c>
      <c r="EI9" s="253">
        <f>'Daily Consumption'!EG17</f>
        <v/>
      </c>
      <c r="EJ9" s="253">
        <f>'Daily Consumption'!EH17</f>
        <v/>
      </c>
      <c r="EK9" s="253">
        <f>'Daily Consumption'!EI17</f>
        <v/>
      </c>
      <c r="EL9" s="253">
        <f>'Daily Consumption'!EJ17</f>
        <v/>
      </c>
      <c r="EM9" s="253">
        <f>'Daily Consumption'!EK17</f>
        <v/>
      </c>
      <c r="EN9" s="253">
        <f>'Daily Consumption'!EL17</f>
        <v/>
      </c>
      <c r="EO9" s="253">
        <f>'Daily Consumption'!EM17</f>
        <v/>
      </c>
      <c r="EP9" s="253">
        <f>'Daily Consumption'!EN17</f>
        <v/>
      </c>
      <c r="EQ9" s="253">
        <f>'Daily Consumption'!EO17</f>
        <v/>
      </c>
      <c r="ER9" s="253">
        <f>'Daily Consumption'!EP17</f>
        <v/>
      </c>
      <c r="ES9" s="253">
        <f>'Daily Consumption'!EQ17</f>
        <v/>
      </c>
      <c r="ET9" s="253">
        <f>'Daily Consumption'!ER17</f>
        <v/>
      </c>
      <c r="EU9" s="253">
        <f>'Daily Consumption'!ES17</f>
        <v/>
      </c>
      <c r="EV9" s="253">
        <f>'Daily Consumption'!ET17</f>
        <v/>
      </c>
      <c r="EW9" s="253">
        <f>'Daily Consumption'!EU17</f>
        <v/>
      </c>
      <c r="EX9" s="253">
        <f>'Daily Consumption'!EV17</f>
        <v/>
      </c>
      <c r="EY9" s="253">
        <f>'Daily Consumption'!EW17</f>
        <v/>
      </c>
      <c r="EZ9" s="253">
        <f>'Daily Consumption'!EX17</f>
        <v/>
      </c>
      <c r="FA9" s="253">
        <f>'Daily Consumption'!EY17</f>
        <v/>
      </c>
      <c r="FB9" s="253">
        <f>'Daily Consumption'!EZ17</f>
        <v/>
      </c>
      <c r="FC9" s="253">
        <f>'Daily Consumption'!FA17</f>
        <v/>
      </c>
      <c r="FD9" s="253">
        <f>'Daily Consumption'!FB17</f>
        <v/>
      </c>
      <c r="FE9" s="253">
        <f>'Daily Consumption'!FC17</f>
        <v/>
      </c>
      <c r="FF9" s="253">
        <f>'Daily Consumption'!FD17</f>
        <v/>
      </c>
      <c r="FG9" s="253">
        <f>'Daily Consumption'!FE17</f>
        <v/>
      </c>
      <c r="FH9" s="253">
        <f>'Daily Consumption'!FF17</f>
        <v/>
      </c>
      <c r="FI9" s="253">
        <f>'Daily Consumption'!FG17</f>
        <v/>
      </c>
      <c r="FJ9" s="253">
        <f>'Daily Consumption'!FH17</f>
        <v/>
      </c>
      <c r="FK9" s="253">
        <f>'Daily Consumption'!FI17</f>
        <v/>
      </c>
      <c r="FL9" s="253">
        <f>'Daily Consumption'!FJ17</f>
        <v/>
      </c>
      <c r="FM9" s="253">
        <f>'Daily Consumption'!FK17</f>
        <v/>
      </c>
      <c r="FN9" s="253">
        <f>'Daily Consumption'!FL17</f>
        <v/>
      </c>
      <c r="FO9" s="253">
        <f>'Daily Consumption'!FM17</f>
        <v/>
      </c>
      <c r="FP9" s="253">
        <f>'Daily Consumption'!FN17</f>
        <v/>
      </c>
      <c r="FQ9" s="253">
        <f>'Daily Consumption'!FO17</f>
        <v/>
      </c>
      <c r="FR9" s="253">
        <f>'Daily Consumption'!FP17</f>
        <v/>
      </c>
      <c r="FS9" s="253">
        <f>'Daily Consumption'!FQ17</f>
        <v/>
      </c>
      <c r="FT9" s="253">
        <f>'Daily Consumption'!FR17</f>
        <v/>
      </c>
      <c r="FU9" s="253">
        <f>'Daily Consumption'!FS17</f>
        <v/>
      </c>
      <c r="FV9" s="253">
        <f>'Daily Consumption'!FT17</f>
        <v/>
      </c>
      <c r="FW9" s="253">
        <f>'Daily Consumption'!FU17</f>
        <v/>
      </c>
      <c r="FX9" s="253">
        <f>'Daily Consumption'!FV17</f>
        <v/>
      </c>
      <c r="FY9" s="253">
        <f>'Daily Consumption'!FW17</f>
        <v/>
      </c>
      <c r="FZ9" s="253">
        <f>'Daily Consumption'!FX17</f>
        <v/>
      </c>
      <c r="GA9" s="253">
        <f>'Daily Consumption'!FY17</f>
        <v/>
      </c>
      <c r="GB9" s="253">
        <f>'Daily Consumption'!FZ17</f>
        <v/>
      </c>
      <c r="GC9" s="253">
        <f>'Daily Consumption'!GA17</f>
        <v/>
      </c>
      <c r="GD9" s="253">
        <f>'Daily Consumption'!GB17</f>
        <v/>
      </c>
      <c r="GE9" s="253">
        <f>'Daily Consumption'!GC17</f>
        <v/>
      </c>
      <c r="GF9" s="253">
        <f>'Daily Consumption'!GD17</f>
        <v/>
      </c>
      <c r="GG9" s="253">
        <f>'Daily Consumption'!GE17</f>
        <v/>
      </c>
      <c r="GH9" s="253">
        <f>'Daily Consumption'!GF17</f>
        <v/>
      </c>
      <c r="GI9" s="253">
        <f>'Daily Consumption'!GG17</f>
        <v/>
      </c>
      <c r="GJ9" s="253">
        <f>'Daily Consumption'!GH17</f>
        <v/>
      </c>
      <c r="GK9" s="253">
        <f>'Daily Consumption'!GI17</f>
        <v/>
      </c>
      <c r="GL9" s="253">
        <f>'Daily Consumption'!GJ17</f>
        <v/>
      </c>
      <c r="GM9" s="253">
        <f>'Daily Consumption'!GK17</f>
        <v/>
      </c>
      <c r="GN9" s="253">
        <f>'Daily Consumption'!GL17</f>
        <v/>
      </c>
      <c r="GO9" s="253">
        <f>'Daily Consumption'!GM17</f>
        <v/>
      </c>
      <c r="GP9" s="253">
        <f>'Daily Consumption'!GN17</f>
        <v/>
      </c>
      <c r="GQ9" s="253">
        <f>'Daily Consumption'!GO17</f>
        <v/>
      </c>
      <c r="GR9" s="253">
        <f>'Daily Consumption'!GP17</f>
        <v/>
      </c>
      <c r="GS9" s="253">
        <f>'Daily Consumption'!GQ17</f>
        <v/>
      </c>
      <c r="GT9" s="253">
        <f>'Daily Consumption'!GR17</f>
        <v/>
      </c>
      <c r="GU9" s="253">
        <f>'Daily Consumption'!GS17</f>
        <v/>
      </c>
      <c r="GV9" s="253">
        <f>'Daily Consumption'!GT17</f>
        <v/>
      </c>
      <c r="GW9" s="253">
        <f>'Daily Consumption'!GU17</f>
        <v/>
      </c>
      <c r="GX9" s="253">
        <f>'Daily Consumption'!GV17</f>
        <v/>
      </c>
      <c r="GY9" s="253">
        <f>'Daily Consumption'!GW17</f>
        <v/>
      </c>
      <c r="GZ9" s="253">
        <f>'Daily Consumption'!GX17</f>
        <v/>
      </c>
      <c r="HA9" s="253">
        <f>'Daily Consumption'!GY17</f>
        <v/>
      </c>
      <c r="HB9" s="253">
        <f>'Daily Consumption'!GZ17</f>
        <v/>
      </c>
      <c r="HC9" s="253">
        <f>'Daily Consumption'!HA17</f>
        <v/>
      </c>
      <c r="HD9" s="253">
        <f>'Daily Consumption'!HB17</f>
        <v/>
      </c>
      <c r="HE9" s="253">
        <f>'Daily Consumption'!HC17</f>
        <v/>
      </c>
      <c r="HF9" s="253">
        <f>'Daily Consumption'!HD17</f>
        <v/>
      </c>
      <c r="HG9" s="253">
        <f>'Daily Consumption'!HE17</f>
        <v/>
      </c>
      <c r="HH9" s="253">
        <f>'Daily Consumption'!HF17</f>
        <v/>
      </c>
      <c r="HI9" s="253">
        <f>'Daily Consumption'!HG17</f>
        <v/>
      </c>
      <c r="HJ9" s="253">
        <f>'Daily Consumption'!HH17</f>
        <v/>
      </c>
      <c r="HK9" s="253">
        <f>'Daily Consumption'!HI17</f>
        <v/>
      </c>
      <c r="HL9" s="253">
        <f>'Daily Consumption'!HJ17</f>
        <v/>
      </c>
      <c r="HM9" s="253">
        <f>'Daily Consumption'!HK17</f>
        <v/>
      </c>
      <c r="HN9" s="253">
        <f>'Daily Consumption'!HL17</f>
        <v/>
      </c>
      <c r="HO9" s="253">
        <f>'Daily Consumption'!HM17</f>
        <v/>
      </c>
      <c r="HP9" s="253">
        <f>'Daily Consumption'!HN17</f>
        <v/>
      </c>
      <c r="HQ9" s="253">
        <f>'Daily Consumption'!HO17</f>
        <v/>
      </c>
      <c r="HR9" s="253">
        <f>'Daily Consumption'!HP17</f>
        <v/>
      </c>
      <c r="HS9" s="253">
        <f>'Daily Consumption'!HQ17</f>
        <v/>
      </c>
      <c r="HT9" s="253">
        <f>'Daily Consumption'!HR17</f>
        <v/>
      </c>
      <c r="HU9" s="253">
        <f>'Daily Consumption'!HS17</f>
        <v/>
      </c>
      <c r="HV9" s="253">
        <f>'Daily Consumption'!HT17</f>
        <v/>
      </c>
      <c r="HW9" s="253">
        <f>'Daily Consumption'!HU17</f>
        <v/>
      </c>
      <c r="HX9" s="253">
        <f>'Daily Consumption'!HV17</f>
        <v/>
      </c>
      <c r="HY9" s="253">
        <f>'Daily Consumption'!HW17</f>
        <v/>
      </c>
      <c r="HZ9" s="253">
        <f>'Daily Consumption'!HX17</f>
        <v/>
      </c>
      <c r="IA9" s="253">
        <f>'Daily Consumption'!HY17</f>
        <v/>
      </c>
      <c r="IB9" s="253">
        <f>'Daily Consumption'!HZ17</f>
        <v/>
      </c>
      <c r="IC9" s="253">
        <f>'Daily Consumption'!IA17</f>
        <v/>
      </c>
      <c r="ID9" s="253">
        <f>'Daily Consumption'!IB17</f>
        <v/>
      </c>
      <c r="IE9" s="253">
        <f>'Daily Consumption'!IC17</f>
        <v/>
      </c>
      <c r="IF9" s="253">
        <f>'Daily Consumption'!ID17</f>
        <v/>
      </c>
      <c r="IG9" s="253">
        <f>'Daily Consumption'!IE17</f>
        <v/>
      </c>
      <c r="IH9" s="253">
        <f>'Daily Consumption'!IF17</f>
        <v/>
      </c>
      <c r="II9" s="253">
        <f>'Daily Consumption'!IG17</f>
        <v/>
      </c>
      <c r="IJ9" s="253">
        <f>'Daily Consumption'!IH17</f>
        <v/>
      </c>
      <c r="IK9" s="253">
        <f>'Daily Consumption'!II17</f>
        <v/>
      </c>
      <c r="IL9" s="253">
        <f>'Daily Consumption'!IJ17</f>
        <v/>
      </c>
      <c r="IM9" s="253">
        <f>'Daily Consumption'!IK17</f>
        <v/>
      </c>
      <c r="IN9" s="253">
        <f>'Daily Consumption'!IL17</f>
        <v/>
      </c>
      <c r="IO9" s="253">
        <f>'Daily Consumption'!IM17</f>
        <v/>
      </c>
      <c r="IP9" s="253">
        <f>'Daily Consumption'!IN17</f>
        <v/>
      </c>
      <c r="IQ9" s="253">
        <f>'Daily Consumption'!IO17</f>
        <v/>
      </c>
      <c r="IR9" s="253">
        <f>'Daily Consumption'!IP17</f>
        <v/>
      </c>
      <c r="IS9" s="253">
        <f>'Daily Consumption'!IQ17</f>
        <v/>
      </c>
      <c r="IT9" s="253">
        <f>'Daily Consumption'!IR17</f>
        <v/>
      </c>
      <c r="IU9" s="253">
        <f>'Daily Consumption'!IS17</f>
        <v/>
      </c>
      <c r="IV9" s="253">
        <f>'Daily Consumption'!IT17</f>
        <v/>
      </c>
      <c r="IW9" s="253">
        <f>'Daily Consumption'!IU17</f>
        <v/>
      </c>
      <c r="IX9" s="253">
        <f>'Daily Consumption'!IV17</f>
        <v/>
      </c>
      <c r="IY9" s="253">
        <f>'Daily Consumption'!IW17</f>
        <v/>
      </c>
      <c r="IZ9" s="253">
        <f>'Daily Consumption'!IX17</f>
        <v/>
      </c>
      <c r="JA9" s="253">
        <f>'Daily Consumption'!IY17</f>
        <v/>
      </c>
      <c r="JB9" s="253">
        <f>'Daily Consumption'!IZ17</f>
        <v/>
      </c>
      <c r="JC9" s="253">
        <f>'Daily Consumption'!JA17</f>
        <v/>
      </c>
      <c r="JD9" s="253">
        <f>'Daily Consumption'!JB17</f>
        <v/>
      </c>
      <c r="JE9" s="253">
        <f>'Daily Consumption'!JC17</f>
        <v/>
      </c>
      <c r="JF9" s="253">
        <f>'Daily Consumption'!JD17</f>
        <v/>
      </c>
      <c r="JG9" s="253">
        <f>'Daily Consumption'!JE17</f>
        <v/>
      </c>
      <c r="JH9" s="253">
        <f>'Daily Consumption'!JF17</f>
        <v/>
      </c>
      <c r="JI9" s="253">
        <f>'Daily Consumption'!JG17</f>
        <v/>
      </c>
      <c r="JJ9" s="253">
        <f>'Daily Consumption'!JH17</f>
        <v/>
      </c>
      <c r="JK9" s="253">
        <f>'Daily Consumption'!JI17</f>
        <v/>
      </c>
      <c r="JL9" s="253">
        <f>'Daily Consumption'!JJ17</f>
        <v/>
      </c>
      <c r="JM9" s="253">
        <f>'Daily Consumption'!JK17</f>
        <v/>
      </c>
      <c r="JN9" s="253">
        <f>'Daily Consumption'!JL17</f>
        <v/>
      </c>
      <c r="JO9" s="253">
        <f>'Daily Consumption'!JM17</f>
        <v/>
      </c>
      <c r="JP9" s="253">
        <f>'Daily Consumption'!JN17</f>
        <v/>
      </c>
      <c r="JQ9" s="253">
        <f>'Daily Consumption'!JO17</f>
        <v/>
      </c>
      <c r="JR9" s="253">
        <f>'Daily Consumption'!JP17</f>
        <v/>
      </c>
      <c r="JS9" s="253">
        <f>'Daily Consumption'!JQ17</f>
        <v/>
      </c>
      <c r="JT9" s="253">
        <f>'Daily Consumption'!JR17</f>
        <v/>
      </c>
      <c r="JU9" s="253">
        <f>'Daily Consumption'!JS17</f>
        <v/>
      </c>
      <c r="JV9" s="253">
        <f>'Daily Consumption'!JT17</f>
        <v/>
      </c>
      <c r="JW9" s="253">
        <f>'Daily Consumption'!JU17</f>
        <v/>
      </c>
      <c r="JX9" s="253">
        <f>'Daily Consumption'!JV17</f>
        <v/>
      </c>
      <c r="JY9" s="253">
        <f>'Daily Consumption'!JW17</f>
        <v/>
      </c>
      <c r="JZ9" s="253">
        <f>'Daily Consumption'!JX17</f>
        <v/>
      </c>
      <c r="KA9" s="253">
        <f>'Daily Consumption'!JY17</f>
        <v/>
      </c>
      <c r="KB9" s="253">
        <f>'Daily Consumption'!JZ17</f>
        <v/>
      </c>
      <c r="KC9" s="253">
        <f>'Daily Consumption'!KA17</f>
        <v/>
      </c>
      <c r="KD9" s="253">
        <f>'Daily Consumption'!KB17</f>
        <v/>
      </c>
      <c r="KE9" s="253">
        <f>'Daily Consumption'!KC17</f>
        <v/>
      </c>
      <c r="KF9" s="253">
        <f>'Daily Consumption'!KD17</f>
        <v/>
      </c>
      <c r="KG9" s="253">
        <f>'Daily Consumption'!KE17</f>
        <v/>
      </c>
      <c r="KH9" s="253">
        <f>'Daily Consumption'!KF17</f>
        <v/>
      </c>
      <c r="KI9" s="253">
        <f>'Daily Consumption'!KG17</f>
        <v/>
      </c>
      <c r="KJ9" s="253">
        <f>'Daily Consumption'!KH17</f>
        <v/>
      </c>
      <c r="KK9" s="253">
        <f>'Daily Consumption'!KI17</f>
        <v/>
      </c>
      <c r="KL9" s="253">
        <f>'Daily Consumption'!KJ17</f>
        <v/>
      </c>
      <c r="KM9" s="253">
        <f>'Daily Consumption'!KK17</f>
        <v/>
      </c>
      <c r="KN9" s="253">
        <f>'Daily Consumption'!KL17</f>
        <v/>
      </c>
      <c r="KO9" s="253">
        <f>'Daily Consumption'!KM17</f>
        <v/>
      </c>
      <c r="KP9" s="253">
        <f>'Daily Consumption'!KN17</f>
        <v/>
      </c>
      <c r="KQ9" s="253">
        <f>'Daily Consumption'!KO17</f>
        <v/>
      </c>
      <c r="KR9" s="253">
        <f>'Daily Consumption'!KP17</f>
        <v/>
      </c>
      <c r="KS9" s="253">
        <f>'Daily Consumption'!KQ17</f>
        <v/>
      </c>
      <c r="KT9" s="253">
        <f>'Daily Consumption'!KR17</f>
        <v/>
      </c>
      <c r="KU9" s="253">
        <f>'Daily Consumption'!KS17</f>
        <v/>
      </c>
      <c r="KV9" s="253">
        <f>'Daily Consumption'!KT17</f>
        <v/>
      </c>
      <c r="KW9" s="253">
        <f>'Daily Consumption'!KU17</f>
        <v/>
      </c>
      <c r="KX9" s="253">
        <f>'Daily Consumption'!KV17</f>
        <v/>
      </c>
      <c r="KY9" s="253">
        <f>'Daily Consumption'!KW17</f>
        <v/>
      </c>
      <c r="KZ9" s="253">
        <f>'Daily Consumption'!KX17</f>
        <v/>
      </c>
      <c r="LA9" s="253">
        <f>'Daily Consumption'!KY17</f>
        <v/>
      </c>
      <c r="LB9" s="253">
        <f>'Daily Consumption'!KZ17</f>
        <v/>
      </c>
      <c r="LC9" s="253">
        <f>'Daily Consumption'!LA17</f>
        <v/>
      </c>
      <c r="LD9" s="253">
        <f>'Daily Consumption'!LB17</f>
        <v/>
      </c>
      <c r="LE9" s="253">
        <f>'Daily Consumption'!LC17</f>
        <v/>
      </c>
      <c r="LF9" s="253">
        <f>'Daily Consumption'!LD17</f>
        <v/>
      </c>
      <c r="LG9" s="253">
        <f>'Daily Consumption'!LE17</f>
        <v/>
      </c>
      <c r="LH9" s="253">
        <f>'Daily Consumption'!LF17</f>
        <v/>
      </c>
      <c r="LI9" s="253">
        <f>'Daily Consumption'!LG17</f>
        <v/>
      </c>
      <c r="LJ9" s="253">
        <f>'Daily Consumption'!LH17</f>
        <v/>
      </c>
      <c r="LK9" s="253">
        <f>'Daily Consumption'!LI17</f>
        <v/>
      </c>
      <c r="LL9" s="253">
        <f>'Daily Consumption'!LJ17</f>
        <v/>
      </c>
      <c r="LM9" s="253">
        <f>'Daily Consumption'!LK17</f>
        <v/>
      </c>
      <c r="LN9" s="253">
        <f>'Daily Consumption'!LL17</f>
        <v/>
      </c>
      <c r="LO9" s="253">
        <f>'Daily Consumption'!LM17</f>
        <v/>
      </c>
      <c r="LP9" s="253">
        <f>'Daily Consumption'!LN17</f>
        <v/>
      </c>
      <c r="LQ9" s="253">
        <f>'Daily Consumption'!LO17</f>
        <v/>
      </c>
      <c r="LR9" s="253">
        <f>'Daily Consumption'!LP17</f>
        <v/>
      </c>
      <c r="LS9" s="253">
        <f>'Daily Consumption'!LQ17</f>
        <v/>
      </c>
      <c r="LT9" s="253">
        <f>'Daily Consumption'!LR17</f>
        <v/>
      </c>
      <c r="LU9" s="253">
        <f>'Daily Consumption'!LS17</f>
        <v/>
      </c>
      <c r="LV9" s="253">
        <f>'Daily Consumption'!LT17</f>
        <v/>
      </c>
      <c r="LW9" s="253">
        <f>'Daily Consumption'!LU17</f>
        <v/>
      </c>
      <c r="LX9" s="253">
        <f>'Daily Consumption'!LV17</f>
        <v/>
      </c>
      <c r="LY9" s="253">
        <f>'Daily Consumption'!LW17</f>
        <v/>
      </c>
      <c r="LZ9" s="253">
        <f>'Daily Consumption'!LX17</f>
        <v/>
      </c>
      <c r="MA9" s="253">
        <f>'Daily Consumption'!LY17</f>
        <v/>
      </c>
      <c r="MB9" s="253">
        <f>'Daily Consumption'!LZ17</f>
        <v/>
      </c>
      <c r="MC9" s="253">
        <f>'Daily Consumption'!MA17</f>
        <v/>
      </c>
      <c r="MD9" s="253">
        <f>'Daily Consumption'!MB17</f>
        <v/>
      </c>
      <c r="ME9" s="253">
        <f>'Daily Consumption'!MC17</f>
        <v/>
      </c>
      <c r="MF9" s="253">
        <f>'Daily Consumption'!MD17</f>
        <v/>
      </c>
      <c r="MG9" s="253">
        <f>'Daily Consumption'!ME17</f>
        <v/>
      </c>
      <c r="MH9" s="253">
        <f>'Daily Consumption'!MF17</f>
        <v/>
      </c>
      <c r="MI9" s="253">
        <f>'Daily Consumption'!MG17</f>
        <v/>
      </c>
      <c r="MJ9" s="253">
        <f>'Daily Consumption'!MH17</f>
        <v/>
      </c>
      <c r="MK9" s="253">
        <f>'Daily Consumption'!MI17</f>
        <v/>
      </c>
      <c r="ML9" s="253">
        <f>'Daily Consumption'!MJ17</f>
        <v/>
      </c>
      <c r="MM9" s="253">
        <f>'Daily Consumption'!MK17</f>
        <v/>
      </c>
      <c r="MN9" s="253">
        <f>'Daily Consumption'!ML17</f>
        <v/>
      </c>
      <c r="MO9" s="253">
        <f>'Daily Consumption'!MM17</f>
        <v/>
      </c>
      <c r="MP9" s="253">
        <f>'Daily Consumption'!MN17</f>
        <v/>
      </c>
      <c r="MQ9" s="253">
        <f>'Daily Consumption'!MO17</f>
        <v/>
      </c>
      <c r="MR9" s="253">
        <f>'Daily Consumption'!MP17</f>
        <v/>
      </c>
      <c r="MS9" s="253">
        <f>'Daily Consumption'!MQ17</f>
        <v/>
      </c>
      <c r="MT9" s="253">
        <f>'Daily Consumption'!MR17</f>
        <v/>
      </c>
      <c r="MU9" s="253">
        <f>'Daily Consumption'!MS17</f>
        <v/>
      </c>
      <c r="MV9" s="253">
        <f>'Daily Consumption'!MT17</f>
        <v/>
      </c>
      <c r="MW9" s="253">
        <f>'Daily Consumption'!MU17</f>
        <v/>
      </c>
      <c r="MX9" s="253">
        <f>'Daily Consumption'!MV17</f>
        <v/>
      </c>
      <c r="MY9" s="253">
        <f>'Daily Consumption'!MW17</f>
        <v/>
      </c>
      <c r="MZ9" s="253">
        <f>'Daily Consumption'!MX17</f>
        <v/>
      </c>
      <c r="NA9" s="253">
        <f>'Daily Consumption'!MY17</f>
        <v/>
      </c>
      <c r="NB9" s="253">
        <f>'Daily Consumption'!MZ17</f>
        <v/>
      </c>
      <c r="NC9" s="253">
        <f>'Daily Consumption'!NA17</f>
        <v/>
      </c>
      <c r="ND9" s="253">
        <f>'Daily Consumption'!NB17</f>
        <v/>
      </c>
      <c r="NE9" s="253">
        <f>'Daily Consumption'!NE17</f>
        <v/>
      </c>
    </row>
    <row r="10" ht="15" customHeight="1" s="166">
      <c r="A10" s="249" t="inlineStr">
        <is>
          <t>Daily Consumption N-1</t>
        </is>
      </c>
      <c r="B10" s="245" t="n"/>
      <c r="C10" s="250" t="inlineStr">
        <is>
          <t>kWh</t>
        </is>
      </c>
      <c r="D10" s="252" t="n"/>
      <c r="E10" s="251">
        <f>'Daily Consumption'!B17</f>
        <v/>
      </c>
      <c r="F10" s="252">
        <f>'Daily Consumption'!C17</f>
        <v/>
      </c>
      <c r="G10" s="252">
        <f>'Daily Consumption'!D17</f>
        <v/>
      </c>
      <c r="H10" s="252">
        <f>'Daily Consumption'!E17</f>
        <v/>
      </c>
      <c r="I10" s="252">
        <f>'Daily Consumption'!F17</f>
        <v/>
      </c>
      <c r="J10" s="252">
        <f>'Daily Consumption'!G17</f>
        <v/>
      </c>
      <c r="K10" s="252">
        <f>'Daily Consumption'!H17</f>
        <v/>
      </c>
      <c r="L10" s="252">
        <f>'Daily Consumption'!I17</f>
        <v/>
      </c>
      <c r="M10" s="252">
        <f>'Daily Consumption'!J17</f>
        <v/>
      </c>
      <c r="N10" s="252">
        <f>'Daily Consumption'!K17</f>
        <v/>
      </c>
      <c r="O10" s="252">
        <f>'Daily Consumption'!L17</f>
        <v/>
      </c>
      <c r="P10" s="252">
        <f>'Daily Consumption'!M17</f>
        <v/>
      </c>
      <c r="Q10" s="252">
        <f>'Daily Consumption'!N17</f>
        <v/>
      </c>
      <c r="R10" s="252">
        <f>'Daily Consumption'!O17</f>
        <v/>
      </c>
      <c r="S10" s="252">
        <f>'Daily Consumption'!P17</f>
        <v/>
      </c>
      <c r="T10" s="252">
        <f>'Daily Consumption'!Q17</f>
        <v/>
      </c>
      <c r="U10" s="252">
        <f>'Daily Consumption'!R17</f>
        <v/>
      </c>
      <c r="V10" s="252">
        <f>'Daily Consumption'!S17</f>
        <v/>
      </c>
      <c r="W10" s="252">
        <f>'Daily Consumption'!T17</f>
        <v/>
      </c>
      <c r="X10" s="252">
        <f>'Daily Consumption'!U17</f>
        <v/>
      </c>
      <c r="Y10" s="252">
        <f>'Daily Consumption'!V17</f>
        <v/>
      </c>
      <c r="Z10" s="252">
        <f>'Daily Consumption'!W17</f>
        <v/>
      </c>
      <c r="AA10" s="252">
        <f>'Daily Consumption'!X17</f>
        <v/>
      </c>
      <c r="AB10" s="252">
        <f>'Daily Consumption'!Y17</f>
        <v/>
      </c>
      <c r="AC10" s="252">
        <f>'Daily Consumption'!Z17</f>
        <v/>
      </c>
      <c r="AD10" s="252">
        <f>'Daily Consumption'!AA17</f>
        <v/>
      </c>
      <c r="AE10" s="252">
        <f>'Daily Consumption'!AB17</f>
        <v/>
      </c>
      <c r="AF10" s="252">
        <f>'Daily Consumption'!AC17</f>
        <v/>
      </c>
      <c r="AG10" s="252">
        <f>'Daily Consumption'!AD17</f>
        <v/>
      </c>
      <c r="AH10" s="252">
        <f>'Daily Consumption'!AE17</f>
        <v/>
      </c>
      <c r="AI10" s="252">
        <f>'Daily Consumption'!AF17</f>
        <v/>
      </c>
      <c r="AJ10" s="252">
        <f>'Daily Consumption'!AG17</f>
        <v/>
      </c>
      <c r="AK10" s="252">
        <f>'Daily Consumption'!AH17</f>
        <v/>
      </c>
      <c r="AL10" s="252">
        <f>'Daily Consumption'!AI17</f>
        <v/>
      </c>
      <c r="AM10" s="252">
        <f>'Daily Consumption'!AJ17</f>
        <v/>
      </c>
      <c r="AN10" s="252">
        <f>'Daily Consumption'!AK17</f>
        <v/>
      </c>
      <c r="AO10" s="252">
        <f>'Daily Consumption'!AL17</f>
        <v/>
      </c>
      <c r="AP10" s="252">
        <f>'Daily Consumption'!AM17</f>
        <v/>
      </c>
      <c r="AQ10" s="252">
        <f>'Daily Consumption'!AN17</f>
        <v/>
      </c>
      <c r="AR10" s="252">
        <f>'Daily Consumption'!AO17</f>
        <v/>
      </c>
      <c r="AS10" s="252">
        <f>'Daily Consumption'!AP17</f>
        <v/>
      </c>
      <c r="AT10" s="252">
        <f>'Daily Consumption'!AQ17</f>
        <v/>
      </c>
      <c r="AU10" s="252">
        <f>'Daily Consumption'!AR17</f>
        <v/>
      </c>
      <c r="AV10" s="252">
        <f>'Daily Consumption'!AS17</f>
        <v/>
      </c>
      <c r="AW10" s="252">
        <f>'Daily Consumption'!AT17</f>
        <v/>
      </c>
      <c r="AX10" s="252">
        <f>'Daily Consumption'!AU17</f>
        <v/>
      </c>
      <c r="AY10" s="252">
        <f>'Daily Consumption'!AV17</f>
        <v/>
      </c>
      <c r="AZ10" s="252">
        <f>'Daily Consumption'!AW17</f>
        <v/>
      </c>
      <c r="BA10" s="252">
        <f>'Daily Consumption'!AX17</f>
        <v/>
      </c>
      <c r="BB10" s="252">
        <f>'Daily Consumption'!AY17</f>
        <v/>
      </c>
      <c r="BC10" s="252">
        <f>'Daily Consumption'!AZ17</f>
        <v/>
      </c>
      <c r="BD10" s="252">
        <f>'Daily Consumption'!BA17</f>
        <v/>
      </c>
      <c r="BE10" s="252">
        <f>'Daily Consumption'!BB17</f>
        <v/>
      </c>
      <c r="BF10" s="252">
        <f>'Daily Consumption'!BC17</f>
        <v/>
      </c>
      <c r="BG10" s="252">
        <f>'Daily Consumption'!BD17</f>
        <v/>
      </c>
      <c r="BH10" s="252">
        <f>'Daily Consumption'!BE17</f>
        <v/>
      </c>
      <c r="BI10" s="252">
        <f>'Daily Consumption'!BF17</f>
        <v/>
      </c>
      <c r="BJ10" s="252">
        <f>'Daily Consumption'!BG17</f>
        <v/>
      </c>
      <c r="BK10" s="252">
        <f>'Daily Consumption'!BH17</f>
        <v/>
      </c>
      <c r="BL10" s="252">
        <f>'Daily Consumption'!BI17</f>
        <v/>
      </c>
      <c r="BM10" s="252">
        <f>'Daily Consumption'!BJ17</f>
        <v/>
      </c>
      <c r="BN10" s="252">
        <f>'Daily Consumption'!BK17</f>
        <v/>
      </c>
      <c r="BO10" s="252">
        <f>'Daily Consumption'!BL17</f>
        <v/>
      </c>
      <c r="BP10" s="252">
        <f>'Daily Consumption'!BM17</f>
        <v/>
      </c>
      <c r="BQ10" s="252">
        <f>'Daily Consumption'!BN17</f>
        <v/>
      </c>
      <c r="BR10" s="252">
        <f>'Daily Consumption'!BO17</f>
        <v/>
      </c>
      <c r="BS10" s="252">
        <f>'Daily Consumption'!BP17</f>
        <v/>
      </c>
      <c r="BT10" s="252">
        <f>'Daily Consumption'!BQ17</f>
        <v/>
      </c>
      <c r="BU10" s="252">
        <f>'Daily Consumption'!BR17</f>
        <v/>
      </c>
      <c r="BV10" s="252">
        <f>'Daily Consumption'!BS17</f>
        <v/>
      </c>
      <c r="BW10" s="252">
        <f>'Daily Consumption'!BT17</f>
        <v/>
      </c>
      <c r="BX10" s="252">
        <f>'Daily Consumption'!BU17</f>
        <v/>
      </c>
      <c r="BY10" s="252">
        <f>'Daily Consumption'!BV17</f>
        <v/>
      </c>
      <c r="BZ10" s="252">
        <f>'Daily Consumption'!BW17</f>
        <v/>
      </c>
      <c r="CA10" s="252">
        <f>'Daily Consumption'!BX17</f>
        <v/>
      </c>
      <c r="CB10" s="252">
        <f>'Daily Consumption'!BY17</f>
        <v/>
      </c>
      <c r="CC10" s="252">
        <f>'Daily Consumption'!BZ17</f>
        <v/>
      </c>
      <c r="CD10" s="252">
        <f>'Daily Consumption'!CA17</f>
        <v/>
      </c>
      <c r="CE10" s="252">
        <f>'Daily Consumption'!CB17</f>
        <v/>
      </c>
      <c r="CF10" s="252">
        <f>'Daily Consumption'!CC17</f>
        <v/>
      </c>
      <c r="CG10" s="252">
        <f>'Daily Consumption'!CD17</f>
        <v/>
      </c>
      <c r="CH10" s="252">
        <f>'Daily Consumption'!CE17</f>
        <v/>
      </c>
      <c r="CI10" s="252">
        <f>'Daily Consumption'!CF17</f>
        <v/>
      </c>
      <c r="CJ10" s="252">
        <f>'Daily Consumption'!CG17</f>
        <v/>
      </c>
      <c r="CK10" s="252">
        <f>'Daily Consumption'!CH17</f>
        <v/>
      </c>
      <c r="CL10" s="252">
        <f>'Daily Consumption'!CI17</f>
        <v/>
      </c>
      <c r="CM10" s="252">
        <f>'Daily Consumption'!CJ17</f>
        <v/>
      </c>
      <c r="CN10" s="252">
        <f>'Daily Consumption'!CK17</f>
        <v/>
      </c>
      <c r="CO10" s="252">
        <f>'Daily Consumption'!CL17</f>
        <v/>
      </c>
      <c r="CP10" s="252">
        <f>'Daily Consumption'!CM17</f>
        <v/>
      </c>
      <c r="CQ10" s="252">
        <f>'Daily Consumption'!CN17</f>
        <v/>
      </c>
      <c r="CR10" s="252">
        <f>'Daily Consumption'!CO17</f>
        <v/>
      </c>
      <c r="CS10" s="252">
        <f>'Daily Consumption'!CP17</f>
        <v/>
      </c>
      <c r="CT10" s="252">
        <f>'Daily Consumption'!CQ17</f>
        <v/>
      </c>
      <c r="CU10" s="252">
        <f>'Daily Consumption'!CR17</f>
        <v/>
      </c>
      <c r="CV10" s="252">
        <f>'Daily Consumption'!CS17</f>
        <v/>
      </c>
      <c r="CW10" s="252">
        <f>'Daily Consumption'!CT17</f>
        <v/>
      </c>
      <c r="CX10" s="252">
        <f>'Daily Consumption'!CU17</f>
        <v/>
      </c>
      <c r="CY10" s="252">
        <f>'Daily Consumption'!CV17</f>
        <v/>
      </c>
      <c r="CZ10" s="252">
        <f>'Daily Consumption'!CW17</f>
        <v/>
      </c>
      <c r="DA10" s="252">
        <f>'Daily Consumption'!CX17</f>
        <v/>
      </c>
      <c r="DB10" s="252">
        <f>'Daily Consumption'!CY17</f>
        <v/>
      </c>
      <c r="DC10" s="252">
        <f>'Daily Consumption'!CZ17</f>
        <v/>
      </c>
      <c r="DD10" s="252">
        <f>'Daily Consumption'!DA17</f>
        <v/>
      </c>
      <c r="DE10" s="252">
        <f>'Daily Consumption'!DB17</f>
        <v/>
      </c>
      <c r="DF10" s="252">
        <f>'Daily Consumption'!DC17</f>
        <v/>
      </c>
      <c r="DG10" s="252">
        <f>'Daily Consumption'!DD17</f>
        <v/>
      </c>
      <c r="DH10" s="252">
        <f>'Daily Consumption'!DE17</f>
        <v/>
      </c>
      <c r="DI10" s="252">
        <f>'Daily Consumption'!DF17</f>
        <v/>
      </c>
      <c r="DJ10" s="252">
        <f>'Daily Consumption'!DG17</f>
        <v/>
      </c>
      <c r="DK10" s="252">
        <f>'Daily Consumption'!DH17</f>
        <v/>
      </c>
      <c r="DL10" s="252">
        <f>'Daily Consumption'!DI17</f>
        <v/>
      </c>
      <c r="DM10" s="252">
        <f>'Daily Consumption'!DJ17</f>
        <v/>
      </c>
      <c r="DN10" s="252">
        <f>'Daily Consumption'!DK17</f>
        <v/>
      </c>
      <c r="DO10" s="252">
        <f>'Daily Consumption'!DL17</f>
        <v/>
      </c>
      <c r="DP10" s="252">
        <f>'Daily Consumption'!DM17</f>
        <v/>
      </c>
      <c r="DQ10" s="252">
        <f>'Daily Consumption'!DN17</f>
        <v/>
      </c>
      <c r="DR10" s="252">
        <f>'Daily Consumption'!DO17</f>
        <v/>
      </c>
      <c r="DS10" s="252">
        <f>'Daily Consumption'!DP17</f>
        <v/>
      </c>
      <c r="DT10" s="252">
        <f>'Daily Consumption'!DQ17</f>
        <v/>
      </c>
      <c r="DU10" s="252">
        <f>'Daily Consumption'!DR17</f>
        <v/>
      </c>
      <c r="DV10" s="252">
        <f>'Daily Consumption'!DS17</f>
        <v/>
      </c>
      <c r="DW10" s="252">
        <f>'Daily Consumption'!DT17</f>
        <v/>
      </c>
      <c r="DX10" s="252">
        <f>'Daily Consumption'!DU17</f>
        <v/>
      </c>
      <c r="DY10" s="252">
        <f>'Daily Consumption'!DV17</f>
        <v/>
      </c>
      <c r="DZ10" s="252">
        <f>'Daily Consumption'!DW17</f>
        <v/>
      </c>
      <c r="EA10" s="252">
        <f>'Daily Consumption'!DX17</f>
        <v/>
      </c>
      <c r="EB10" s="252">
        <f>'Daily Consumption'!DY17</f>
        <v/>
      </c>
      <c r="EC10" s="252">
        <f>'Daily Consumption'!DZ17</f>
        <v/>
      </c>
      <c r="ED10" s="252">
        <f>'Daily Consumption'!EA17</f>
        <v/>
      </c>
      <c r="EE10" s="252">
        <f>'Daily Consumption'!EB17</f>
        <v/>
      </c>
      <c r="EF10" s="252">
        <f>'Daily Consumption'!EC17</f>
        <v/>
      </c>
      <c r="EG10" s="252">
        <f>'Daily Consumption'!ED17</f>
        <v/>
      </c>
      <c r="EH10" s="252">
        <f>'Daily Consumption'!EE17</f>
        <v/>
      </c>
      <c r="EI10" s="252">
        <f>'Daily Consumption'!EF17</f>
        <v/>
      </c>
      <c r="EJ10" s="252">
        <f>'Daily Consumption'!EG17</f>
        <v/>
      </c>
      <c r="EK10" s="252">
        <f>'Daily Consumption'!EH17</f>
        <v/>
      </c>
      <c r="EL10" s="252">
        <f>'Daily Consumption'!EI17</f>
        <v/>
      </c>
      <c r="EM10" s="252">
        <f>'Daily Consumption'!EJ17</f>
        <v/>
      </c>
      <c r="EN10" s="252">
        <f>'Daily Consumption'!EK17</f>
        <v/>
      </c>
      <c r="EO10" s="252">
        <f>'Daily Consumption'!EL17</f>
        <v/>
      </c>
      <c r="EP10" s="252">
        <f>'Daily Consumption'!EM17</f>
        <v/>
      </c>
      <c r="EQ10" s="252">
        <f>'Daily Consumption'!EN17</f>
        <v/>
      </c>
      <c r="ER10" s="252">
        <f>'Daily Consumption'!EO17</f>
        <v/>
      </c>
      <c r="ES10" s="252">
        <f>'Daily Consumption'!EP17</f>
        <v/>
      </c>
      <c r="ET10" s="252">
        <f>'Daily Consumption'!EQ17</f>
        <v/>
      </c>
      <c r="EU10" s="252">
        <f>'Daily Consumption'!ER17</f>
        <v/>
      </c>
      <c r="EV10" s="252">
        <f>'Daily Consumption'!ES17</f>
        <v/>
      </c>
      <c r="EW10" s="252">
        <f>'Daily Consumption'!ET17</f>
        <v/>
      </c>
      <c r="EX10" s="252">
        <f>'Daily Consumption'!EU17</f>
        <v/>
      </c>
      <c r="EY10" s="252">
        <f>'Daily Consumption'!EV17</f>
        <v/>
      </c>
      <c r="EZ10" s="252">
        <f>'Daily Consumption'!EW17</f>
        <v/>
      </c>
      <c r="FA10" s="252">
        <f>'Daily Consumption'!EX17</f>
        <v/>
      </c>
      <c r="FB10" s="252">
        <f>'Daily Consumption'!EY17</f>
        <v/>
      </c>
      <c r="FC10" s="252">
        <f>'Daily Consumption'!EZ17</f>
        <v/>
      </c>
      <c r="FD10" s="252">
        <f>'Daily Consumption'!FA17</f>
        <v/>
      </c>
      <c r="FE10" s="252">
        <f>'Daily Consumption'!FB17</f>
        <v/>
      </c>
      <c r="FF10" s="252">
        <f>'Daily Consumption'!FC17</f>
        <v/>
      </c>
      <c r="FG10" s="252">
        <f>'Daily Consumption'!FD17</f>
        <v/>
      </c>
      <c r="FH10" s="252">
        <f>'Daily Consumption'!FE17</f>
        <v/>
      </c>
      <c r="FI10" s="252">
        <f>'Daily Consumption'!FF17</f>
        <v/>
      </c>
      <c r="FJ10" s="252">
        <f>'Daily Consumption'!FG17</f>
        <v/>
      </c>
      <c r="FK10" s="252">
        <f>'Daily Consumption'!FH17</f>
        <v/>
      </c>
      <c r="FL10" s="252">
        <f>'Daily Consumption'!FI17</f>
        <v/>
      </c>
      <c r="FM10" s="252">
        <f>'Daily Consumption'!FJ17</f>
        <v/>
      </c>
      <c r="FN10" s="252">
        <f>'Daily Consumption'!FK17</f>
        <v/>
      </c>
      <c r="FO10" s="252">
        <f>'Daily Consumption'!FL17</f>
        <v/>
      </c>
      <c r="FP10" s="252">
        <f>'Daily Consumption'!FM17</f>
        <v/>
      </c>
      <c r="FQ10" s="252">
        <f>'Daily Consumption'!FN17</f>
        <v/>
      </c>
      <c r="FR10" s="252">
        <f>'Daily Consumption'!FO17</f>
        <v/>
      </c>
      <c r="FS10" s="252">
        <f>'Daily Consumption'!FP17</f>
        <v/>
      </c>
      <c r="FT10" s="252">
        <f>'Daily Consumption'!FQ17</f>
        <v/>
      </c>
      <c r="FU10" s="252">
        <f>'Daily Consumption'!FR17</f>
        <v/>
      </c>
      <c r="FV10" s="252">
        <f>'Daily Consumption'!FS17</f>
        <v/>
      </c>
      <c r="FW10" s="252">
        <f>'Daily Consumption'!FT17</f>
        <v/>
      </c>
      <c r="FX10" s="252">
        <f>'Daily Consumption'!FU17</f>
        <v/>
      </c>
      <c r="FY10" s="252">
        <f>'Daily Consumption'!FV17</f>
        <v/>
      </c>
      <c r="FZ10" s="252">
        <f>'Daily Consumption'!FW17</f>
        <v/>
      </c>
      <c r="GA10" s="252">
        <f>'Daily Consumption'!FX17</f>
        <v/>
      </c>
      <c r="GB10" s="252">
        <f>'Daily Consumption'!FY17</f>
        <v/>
      </c>
      <c r="GC10" s="252">
        <f>'Daily Consumption'!FZ17</f>
        <v/>
      </c>
      <c r="GD10" s="252">
        <f>'Daily Consumption'!GA17</f>
        <v/>
      </c>
      <c r="GE10" s="252">
        <f>'Daily Consumption'!GB17</f>
        <v/>
      </c>
      <c r="GF10" s="252">
        <f>'Daily Consumption'!GC17</f>
        <v/>
      </c>
      <c r="GG10" s="252">
        <f>'Daily Consumption'!GD17</f>
        <v/>
      </c>
      <c r="GH10" s="252">
        <f>'Daily Consumption'!GE17</f>
        <v/>
      </c>
      <c r="GI10" s="252">
        <f>'Daily Consumption'!GF17</f>
        <v/>
      </c>
      <c r="GJ10" s="252">
        <f>'Daily Consumption'!GG17</f>
        <v/>
      </c>
      <c r="GK10" s="252">
        <f>'Daily Consumption'!GH17</f>
        <v/>
      </c>
      <c r="GL10" s="252">
        <f>'Daily Consumption'!GI17</f>
        <v/>
      </c>
      <c r="GM10" s="252">
        <f>'Daily Consumption'!GJ17</f>
        <v/>
      </c>
      <c r="GN10" s="252">
        <f>'Daily Consumption'!GK17</f>
        <v/>
      </c>
      <c r="GO10" s="252">
        <f>'Daily Consumption'!GL17</f>
        <v/>
      </c>
      <c r="GP10" s="252">
        <f>'Daily Consumption'!GM17</f>
        <v/>
      </c>
      <c r="GQ10" s="252">
        <f>'Daily Consumption'!GN17</f>
        <v/>
      </c>
      <c r="GR10" s="252">
        <f>'Daily Consumption'!GO17</f>
        <v/>
      </c>
      <c r="GS10" s="252">
        <f>'Daily Consumption'!GP17</f>
        <v/>
      </c>
      <c r="GT10" s="252">
        <f>'Daily Consumption'!GQ17</f>
        <v/>
      </c>
      <c r="GU10" s="252">
        <f>'Daily Consumption'!GR17</f>
        <v/>
      </c>
      <c r="GV10" s="252">
        <f>'Daily Consumption'!GS17</f>
        <v/>
      </c>
      <c r="GW10" s="252">
        <f>'Daily Consumption'!GT17</f>
        <v/>
      </c>
      <c r="GX10" s="252">
        <f>'Daily Consumption'!GU17</f>
        <v/>
      </c>
      <c r="GY10" s="252">
        <f>'Daily Consumption'!GV17</f>
        <v/>
      </c>
      <c r="GZ10" s="252">
        <f>'Daily Consumption'!GW17</f>
        <v/>
      </c>
      <c r="HA10" s="252">
        <f>'Daily Consumption'!GX17</f>
        <v/>
      </c>
      <c r="HB10" s="252">
        <f>'Daily Consumption'!GY17</f>
        <v/>
      </c>
      <c r="HC10" s="252">
        <f>'Daily Consumption'!GZ17</f>
        <v/>
      </c>
      <c r="HD10" s="252">
        <f>'Daily Consumption'!HA17</f>
        <v/>
      </c>
      <c r="HE10" s="252">
        <f>'Daily Consumption'!HB17</f>
        <v/>
      </c>
      <c r="HF10" s="252">
        <f>'Daily Consumption'!HC17</f>
        <v/>
      </c>
      <c r="HG10" s="252">
        <f>'Daily Consumption'!HD17</f>
        <v/>
      </c>
      <c r="HH10" s="252">
        <f>'Daily Consumption'!HE17</f>
        <v/>
      </c>
      <c r="HI10" s="252">
        <f>'Daily Consumption'!HF17</f>
        <v/>
      </c>
      <c r="HJ10" s="252">
        <f>'Daily Consumption'!HG17</f>
        <v/>
      </c>
      <c r="HK10" s="252">
        <f>'Daily Consumption'!HH17</f>
        <v/>
      </c>
      <c r="HL10" s="252">
        <f>'Daily Consumption'!HI17</f>
        <v/>
      </c>
      <c r="HM10" s="252">
        <f>'Daily Consumption'!HJ17</f>
        <v/>
      </c>
      <c r="HN10" s="252">
        <f>'Daily Consumption'!HK17</f>
        <v/>
      </c>
      <c r="HO10" s="252">
        <f>'Daily Consumption'!HL17</f>
        <v/>
      </c>
      <c r="HP10" s="252">
        <f>'Daily Consumption'!HM17</f>
        <v/>
      </c>
      <c r="HQ10" s="252">
        <f>'Daily Consumption'!HN17</f>
        <v/>
      </c>
      <c r="HR10" s="252">
        <f>'Daily Consumption'!HO17</f>
        <v/>
      </c>
      <c r="HS10" s="252">
        <f>'Daily Consumption'!HP17</f>
        <v/>
      </c>
      <c r="HT10" s="252">
        <f>'Daily Consumption'!HQ17</f>
        <v/>
      </c>
      <c r="HU10" s="252">
        <f>'Daily Consumption'!HR17</f>
        <v/>
      </c>
      <c r="HV10" s="252">
        <f>'Daily Consumption'!HS17</f>
        <v/>
      </c>
      <c r="HW10" s="252">
        <f>'Daily Consumption'!HT17</f>
        <v/>
      </c>
      <c r="HX10" s="252">
        <f>'Daily Consumption'!HU17</f>
        <v/>
      </c>
      <c r="HY10" s="252">
        <f>'Daily Consumption'!HV17</f>
        <v/>
      </c>
      <c r="HZ10" s="252">
        <f>'Daily Consumption'!HW17</f>
        <v/>
      </c>
      <c r="IA10" s="252">
        <f>'Daily Consumption'!HX17</f>
        <v/>
      </c>
      <c r="IB10" s="252">
        <f>'Daily Consumption'!HY17</f>
        <v/>
      </c>
      <c r="IC10" s="252">
        <f>'Daily Consumption'!HZ17</f>
        <v/>
      </c>
      <c r="ID10" s="252">
        <f>'Daily Consumption'!IA17</f>
        <v/>
      </c>
      <c r="IE10" s="252">
        <f>'Daily Consumption'!IB17</f>
        <v/>
      </c>
      <c r="IF10" s="252">
        <f>'Daily Consumption'!IC17</f>
        <v/>
      </c>
      <c r="IG10" s="252">
        <f>'Daily Consumption'!ID17</f>
        <v/>
      </c>
      <c r="IH10" s="252">
        <f>'Daily Consumption'!IE17</f>
        <v/>
      </c>
      <c r="II10" s="252">
        <f>'Daily Consumption'!IF17</f>
        <v/>
      </c>
      <c r="IJ10" s="252">
        <f>'Daily Consumption'!IG17</f>
        <v/>
      </c>
      <c r="IK10" s="252">
        <f>'Daily Consumption'!IH17</f>
        <v/>
      </c>
      <c r="IL10" s="252">
        <f>'Daily Consumption'!II17</f>
        <v/>
      </c>
      <c r="IM10" s="252">
        <f>'Daily Consumption'!IJ17</f>
        <v/>
      </c>
      <c r="IN10" s="252">
        <f>'Daily Consumption'!IK17</f>
        <v/>
      </c>
      <c r="IO10" s="252">
        <f>'Daily Consumption'!IL17</f>
        <v/>
      </c>
      <c r="IP10" s="252">
        <f>'Daily Consumption'!IM17</f>
        <v/>
      </c>
      <c r="IQ10" s="252">
        <f>'Daily Consumption'!IN17</f>
        <v/>
      </c>
      <c r="IR10" s="252">
        <f>'Daily Consumption'!IO17</f>
        <v/>
      </c>
      <c r="IS10" s="252">
        <f>'Daily Consumption'!IP17</f>
        <v/>
      </c>
      <c r="IT10" s="252">
        <f>'Daily Consumption'!IQ17</f>
        <v/>
      </c>
      <c r="IU10" s="252">
        <f>'Daily Consumption'!IR17</f>
        <v/>
      </c>
      <c r="IV10" s="252">
        <f>'Daily Consumption'!IS17</f>
        <v/>
      </c>
      <c r="IW10" s="252">
        <f>'Daily Consumption'!IT17</f>
        <v/>
      </c>
      <c r="IX10" s="252">
        <f>'Daily Consumption'!IU17</f>
        <v/>
      </c>
      <c r="IY10" s="252">
        <f>'Daily Consumption'!IV17</f>
        <v/>
      </c>
      <c r="IZ10" s="252">
        <f>'Daily Consumption'!IW17</f>
        <v/>
      </c>
      <c r="JA10" s="252">
        <f>'Daily Consumption'!IX17</f>
        <v/>
      </c>
      <c r="JB10" s="252">
        <f>'Daily Consumption'!IY17</f>
        <v/>
      </c>
      <c r="JC10" s="252">
        <f>'Daily Consumption'!IZ17</f>
        <v/>
      </c>
      <c r="JD10" s="252">
        <f>'Daily Consumption'!JA17</f>
        <v/>
      </c>
      <c r="JE10" s="252">
        <f>'Daily Consumption'!JB17</f>
        <v/>
      </c>
      <c r="JF10" s="252">
        <f>'Daily Consumption'!JC17</f>
        <v/>
      </c>
      <c r="JG10" s="252">
        <f>'Daily Consumption'!JD17</f>
        <v/>
      </c>
      <c r="JH10" s="252">
        <f>'Daily Consumption'!JE17</f>
        <v/>
      </c>
      <c r="JI10" s="252">
        <f>'Daily Consumption'!JF17</f>
        <v/>
      </c>
      <c r="JJ10" s="252">
        <f>'Daily Consumption'!JG17</f>
        <v/>
      </c>
      <c r="JK10" s="252">
        <f>'Daily Consumption'!JH17</f>
        <v/>
      </c>
      <c r="JL10" s="252">
        <f>'Daily Consumption'!JI17</f>
        <v/>
      </c>
      <c r="JM10" s="252">
        <f>'Daily Consumption'!JJ17</f>
        <v/>
      </c>
      <c r="JN10" s="252">
        <f>'Daily Consumption'!JK17</f>
        <v/>
      </c>
      <c r="JO10" s="252">
        <f>'Daily Consumption'!JL17</f>
        <v/>
      </c>
      <c r="JP10" s="252">
        <f>'Daily Consumption'!JM17</f>
        <v/>
      </c>
      <c r="JQ10" s="252">
        <f>'Daily Consumption'!JN17</f>
        <v/>
      </c>
      <c r="JR10" s="252">
        <f>'Daily Consumption'!JO17</f>
        <v/>
      </c>
      <c r="JS10" s="252">
        <f>'Daily Consumption'!JP17</f>
        <v/>
      </c>
      <c r="JT10" s="252">
        <f>'Daily Consumption'!JQ17</f>
        <v/>
      </c>
      <c r="JU10" s="252">
        <f>'Daily Consumption'!JR17</f>
        <v/>
      </c>
      <c r="JV10" s="252">
        <f>'Daily Consumption'!JS17</f>
        <v/>
      </c>
      <c r="JW10" s="252">
        <f>'Daily Consumption'!JT17</f>
        <v/>
      </c>
      <c r="JX10" s="252">
        <f>'Daily Consumption'!JU17</f>
        <v/>
      </c>
      <c r="JY10" s="252">
        <f>'Daily Consumption'!JV17</f>
        <v/>
      </c>
      <c r="JZ10" s="252">
        <f>'Daily Consumption'!JW17</f>
        <v/>
      </c>
      <c r="KA10" s="252">
        <f>'Daily Consumption'!JX17</f>
        <v/>
      </c>
      <c r="KB10" s="252">
        <f>'Daily Consumption'!JY17</f>
        <v/>
      </c>
      <c r="KC10" s="252">
        <f>'Daily Consumption'!JZ17</f>
        <v/>
      </c>
      <c r="KD10" s="252">
        <f>'Daily Consumption'!KA17</f>
        <v/>
      </c>
      <c r="KE10" s="252">
        <f>'Daily Consumption'!KB17</f>
        <v/>
      </c>
      <c r="KF10" s="252">
        <f>'Daily Consumption'!KC17</f>
        <v/>
      </c>
      <c r="KG10" s="252">
        <f>'Daily Consumption'!KD17</f>
        <v/>
      </c>
      <c r="KH10" s="252">
        <f>'Daily Consumption'!KE17</f>
        <v/>
      </c>
      <c r="KI10" s="252">
        <f>'Daily Consumption'!KF17</f>
        <v/>
      </c>
      <c r="KJ10" s="252">
        <f>'Daily Consumption'!KG17</f>
        <v/>
      </c>
      <c r="KK10" s="252">
        <f>'Daily Consumption'!KH17</f>
        <v/>
      </c>
      <c r="KL10" s="252">
        <f>'Daily Consumption'!KI17</f>
        <v/>
      </c>
      <c r="KM10" s="252">
        <f>'Daily Consumption'!KJ17</f>
        <v/>
      </c>
      <c r="KN10" s="252">
        <f>'Daily Consumption'!KK17</f>
        <v/>
      </c>
      <c r="KO10" s="252">
        <f>'Daily Consumption'!KL17</f>
        <v/>
      </c>
      <c r="KP10" s="252">
        <f>'Daily Consumption'!KM17</f>
        <v/>
      </c>
      <c r="KQ10" s="252">
        <f>'Daily Consumption'!KN17</f>
        <v/>
      </c>
      <c r="KR10" s="252">
        <f>'Daily Consumption'!KO17</f>
        <v/>
      </c>
      <c r="KS10" s="252">
        <f>'Daily Consumption'!KP17</f>
        <v/>
      </c>
      <c r="KT10" s="252">
        <f>'Daily Consumption'!KQ17</f>
        <v/>
      </c>
      <c r="KU10" s="252">
        <f>'Daily Consumption'!KR17</f>
        <v/>
      </c>
      <c r="KV10" s="252">
        <f>'Daily Consumption'!KS17</f>
        <v/>
      </c>
      <c r="KW10" s="252">
        <f>'Daily Consumption'!KT17</f>
        <v/>
      </c>
      <c r="KX10" s="252">
        <f>'Daily Consumption'!KU17</f>
        <v/>
      </c>
      <c r="KY10" s="252">
        <f>'Daily Consumption'!KV17</f>
        <v/>
      </c>
      <c r="KZ10" s="252">
        <f>'Daily Consumption'!KW17</f>
        <v/>
      </c>
      <c r="LA10" s="252">
        <f>'Daily Consumption'!KX17</f>
        <v/>
      </c>
      <c r="LB10" s="252">
        <f>'Daily Consumption'!KY17</f>
        <v/>
      </c>
      <c r="LC10" s="252">
        <f>'Daily Consumption'!KZ17</f>
        <v/>
      </c>
      <c r="LD10" s="252">
        <f>'Daily Consumption'!LA17</f>
        <v/>
      </c>
      <c r="LE10" s="252">
        <f>'Daily Consumption'!LB17</f>
        <v/>
      </c>
      <c r="LF10" s="252">
        <f>'Daily Consumption'!LC17</f>
        <v/>
      </c>
      <c r="LG10" s="252">
        <f>'Daily Consumption'!LD17</f>
        <v/>
      </c>
      <c r="LH10" s="252">
        <f>'Daily Consumption'!LE17</f>
        <v/>
      </c>
      <c r="LI10" s="252">
        <f>'Daily Consumption'!LF17</f>
        <v/>
      </c>
      <c r="LJ10" s="252">
        <f>'Daily Consumption'!LG17</f>
        <v/>
      </c>
      <c r="LK10" s="252">
        <f>'Daily Consumption'!LH17</f>
        <v/>
      </c>
      <c r="LL10" s="252">
        <f>'Daily Consumption'!LI17</f>
        <v/>
      </c>
      <c r="LM10" s="252">
        <f>'Daily Consumption'!LJ17</f>
        <v/>
      </c>
      <c r="LN10" s="252">
        <f>'Daily Consumption'!LK17</f>
        <v/>
      </c>
      <c r="LO10" s="252">
        <f>'Daily Consumption'!LL17</f>
        <v/>
      </c>
      <c r="LP10" s="252">
        <f>'Daily Consumption'!LM17</f>
        <v/>
      </c>
      <c r="LQ10" s="252">
        <f>'Daily Consumption'!LN17</f>
        <v/>
      </c>
      <c r="LR10" s="252">
        <f>'Daily Consumption'!LO17</f>
        <v/>
      </c>
      <c r="LS10" s="252">
        <f>'Daily Consumption'!LP17</f>
        <v/>
      </c>
      <c r="LT10" s="252">
        <f>'Daily Consumption'!LQ17</f>
        <v/>
      </c>
      <c r="LU10" s="252">
        <f>'Daily Consumption'!LR17</f>
        <v/>
      </c>
      <c r="LV10" s="252">
        <f>'Daily Consumption'!LS17</f>
        <v/>
      </c>
      <c r="LW10" s="252">
        <f>'Daily Consumption'!LT17</f>
        <v/>
      </c>
      <c r="LX10" s="252">
        <f>'Daily Consumption'!LU17</f>
        <v/>
      </c>
      <c r="LY10" s="252">
        <f>'Daily Consumption'!LV17</f>
        <v/>
      </c>
      <c r="LZ10" s="252">
        <f>'Daily Consumption'!LW17</f>
        <v/>
      </c>
      <c r="MA10" s="252">
        <f>'Daily Consumption'!LX17</f>
        <v/>
      </c>
      <c r="MB10" s="252">
        <f>'Daily Consumption'!LY17</f>
        <v/>
      </c>
      <c r="MC10" s="252">
        <f>'Daily Consumption'!LZ17</f>
        <v/>
      </c>
      <c r="MD10" s="252">
        <f>'Daily Consumption'!MA17</f>
        <v/>
      </c>
      <c r="ME10" s="252">
        <f>'Daily Consumption'!MB17</f>
        <v/>
      </c>
      <c r="MF10" s="252">
        <f>'Daily Consumption'!MC17</f>
        <v/>
      </c>
      <c r="MG10" s="252">
        <f>'Daily Consumption'!MD17</f>
        <v/>
      </c>
      <c r="MH10" s="252">
        <f>'Daily Consumption'!ME17</f>
        <v/>
      </c>
      <c r="MI10" s="252">
        <f>'Daily Consumption'!MF17</f>
        <v/>
      </c>
      <c r="MJ10" s="252">
        <f>'Daily Consumption'!MG17</f>
        <v/>
      </c>
      <c r="MK10" s="252">
        <f>'Daily Consumption'!MH17</f>
        <v/>
      </c>
      <c r="ML10" s="252">
        <f>'Daily Consumption'!MI17</f>
        <v/>
      </c>
      <c r="MM10" s="252">
        <f>'Daily Consumption'!MJ17</f>
        <v/>
      </c>
      <c r="MN10" s="252">
        <f>'Daily Consumption'!MK17</f>
        <v/>
      </c>
      <c r="MO10" s="252">
        <f>'Daily Consumption'!ML17</f>
        <v/>
      </c>
      <c r="MP10" s="252">
        <f>'Daily Consumption'!MM17</f>
        <v/>
      </c>
      <c r="MQ10" s="252">
        <f>'Daily Consumption'!MN17</f>
        <v/>
      </c>
      <c r="MR10" s="252">
        <f>'Daily Consumption'!MO17</f>
        <v/>
      </c>
      <c r="MS10" s="252">
        <f>'Daily Consumption'!MP17</f>
        <v/>
      </c>
      <c r="MT10" s="252">
        <f>'Daily Consumption'!MQ17</f>
        <v/>
      </c>
      <c r="MU10" s="252">
        <f>'Daily Consumption'!MR17</f>
        <v/>
      </c>
      <c r="MV10" s="252">
        <f>'Daily Consumption'!MS17</f>
        <v/>
      </c>
      <c r="MW10" s="252">
        <f>'Daily Consumption'!MT17</f>
        <v/>
      </c>
      <c r="MX10" s="252">
        <f>'Daily Consumption'!MU17</f>
        <v/>
      </c>
      <c r="MY10" s="252">
        <f>'Daily Consumption'!MV17</f>
        <v/>
      </c>
      <c r="MZ10" s="252">
        <f>'Daily Consumption'!MW17</f>
        <v/>
      </c>
      <c r="NA10" s="252">
        <f>'Daily Consumption'!MX17</f>
        <v/>
      </c>
      <c r="NB10" s="252">
        <f>'Daily Consumption'!MY17</f>
        <v/>
      </c>
      <c r="NC10" s="252">
        <f>'Daily Consumption'!MZ17</f>
        <v/>
      </c>
      <c r="ND10" s="252">
        <f>'Daily Consumption'!NA17</f>
        <v/>
      </c>
      <c r="NE10" s="252">
        <f>'Daily Consumption'!ND17</f>
        <v/>
      </c>
    </row>
    <row r="11" ht="15.75" customHeight="1" s="166">
      <c r="A11" s="247" t="inlineStr">
        <is>
          <t>WATER CONSUMPTION</t>
        </is>
      </c>
      <c r="B11" s="244" t="n"/>
      <c r="C11" s="245" t="n"/>
      <c r="D11" s="254" t="inlineStr">
        <is>
          <t xml:space="preserve"> </t>
        </is>
      </c>
      <c r="E11" s="254" t="inlineStr">
        <is>
          <t xml:space="preserve"> </t>
        </is>
      </c>
      <c r="F11" s="254" t="inlineStr">
        <is>
          <t xml:space="preserve"> </t>
        </is>
      </c>
      <c r="G11" s="254" t="inlineStr">
        <is>
          <t xml:space="preserve"> </t>
        </is>
      </c>
      <c r="H11" s="254" t="inlineStr">
        <is>
          <t xml:space="preserve"> </t>
        </is>
      </c>
      <c r="I11" s="254" t="inlineStr">
        <is>
          <t xml:space="preserve"> </t>
        </is>
      </c>
      <c r="J11" s="254" t="inlineStr">
        <is>
          <t xml:space="preserve"> </t>
        </is>
      </c>
      <c r="K11" s="254" t="inlineStr">
        <is>
          <t xml:space="preserve"> </t>
        </is>
      </c>
      <c r="L11" s="254" t="inlineStr">
        <is>
          <t xml:space="preserve"> </t>
        </is>
      </c>
      <c r="M11" s="254" t="inlineStr">
        <is>
          <t xml:space="preserve"> </t>
        </is>
      </c>
      <c r="N11" s="254" t="inlineStr">
        <is>
          <t xml:space="preserve"> </t>
        </is>
      </c>
      <c r="O11" s="254" t="inlineStr">
        <is>
          <t xml:space="preserve"> </t>
        </is>
      </c>
      <c r="P11" s="254" t="inlineStr">
        <is>
          <t xml:space="preserve"> </t>
        </is>
      </c>
      <c r="Q11" s="254" t="inlineStr">
        <is>
          <t xml:space="preserve"> </t>
        </is>
      </c>
      <c r="R11" s="254" t="inlineStr">
        <is>
          <t xml:space="preserve"> </t>
        </is>
      </c>
      <c r="S11" s="254" t="inlineStr">
        <is>
          <t xml:space="preserve"> </t>
        </is>
      </c>
      <c r="T11" s="254" t="inlineStr">
        <is>
          <t xml:space="preserve"> </t>
        </is>
      </c>
      <c r="U11" s="254" t="inlineStr">
        <is>
          <t xml:space="preserve"> </t>
        </is>
      </c>
      <c r="V11" s="254" t="inlineStr">
        <is>
          <t xml:space="preserve"> </t>
        </is>
      </c>
      <c r="W11" s="254" t="inlineStr">
        <is>
          <t xml:space="preserve"> </t>
        </is>
      </c>
      <c r="X11" s="254" t="inlineStr">
        <is>
          <t xml:space="preserve"> </t>
        </is>
      </c>
      <c r="Y11" s="254" t="inlineStr">
        <is>
          <t xml:space="preserve"> </t>
        </is>
      </c>
      <c r="Z11" s="254" t="inlineStr">
        <is>
          <t xml:space="preserve"> </t>
        </is>
      </c>
      <c r="AA11" s="254" t="inlineStr">
        <is>
          <t xml:space="preserve"> </t>
        </is>
      </c>
      <c r="AB11" s="254" t="inlineStr">
        <is>
          <t xml:space="preserve"> </t>
        </is>
      </c>
      <c r="AC11" s="254" t="inlineStr">
        <is>
          <t xml:space="preserve"> </t>
        </is>
      </c>
      <c r="AD11" s="254" t="inlineStr">
        <is>
          <t xml:space="preserve"> </t>
        </is>
      </c>
      <c r="AE11" s="254" t="inlineStr">
        <is>
          <t xml:space="preserve"> </t>
        </is>
      </c>
      <c r="AF11" s="254" t="inlineStr">
        <is>
          <t xml:space="preserve"> </t>
        </is>
      </c>
      <c r="AG11" s="254" t="inlineStr">
        <is>
          <t xml:space="preserve"> </t>
        </is>
      </c>
      <c r="AH11" s="254" t="inlineStr">
        <is>
          <t xml:space="preserve"> </t>
        </is>
      </c>
      <c r="AI11" s="254" t="inlineStr">
        <is>
          <t xml:space="preserve"> </t>
        </is>
      </c>
      <c r="AJ11" s="254" t="inlineStr">
        <is>
          <t xml:space="preserve"> </t>
        </is>
      </c>
      <c r="AK11" s="254" t="inlineStr">
        <is>
          <t xml:space="preserve"> </t>
        </is>
      </c>
      <c r="AL11" s="254" t="inlineStr">
        <is>
          <t xml:space="preserve"> </t>
        </is>
      </c>
      <c r="AM11" s="254" t="inlineStr">
        <is>
          <t xml:space="preserve"> </t>
        </is>
      </c>
      <c r="AN11" s="254" t="inlineStr">
        <is>
          <t xml:space="preserve"> </t>
        </is>
      </c>
      <c r="AO11" s="254" t="inlineStr">
        <is>
          <t xml:space="preserve"> </t>
        </is>
      </c>
      <c r="AP11" s="254" t="inlineStr">
        <is>
          <t xml:space="preserve"> </t>
        </is>
      </c>
      <c r="AQ11" s="254" t="inlineStr">
        <is>
          <t xml:space="preserve"> </t>
        </is>
      </c>
      <c r="AR11" s="254" t="inlineStr">
        <is>
          <t xml:space="preserve"> </t>
        </is>
      </c>
      <c r="AS11" s="254" t="inlineStr">
        <is>
          <t xml:space="preserve"> </t>
        </is>
      </c>
      <c r="AT11" s="254" t="inlineStr">
        <is>
          <t xml:space="preserve"> </t>
        </is>
      </c>
      <c r="AU11" s="254" t="inlineStr">
        <is>
          <t xml:space="preserve"> </t>
        </is>
      </c>
      <c r="AV11" s="254" t="inlineStr">
        <is>
          <t xml:space="preserve"> </t>
        </is>
      </c>
      <c r="AW11" s="254" t="inlineStr">
        <is>
          <t xml:space="preserve"> </t>
        </is>
      </c>
      <c r="AX11" s="254" t="inlineStr">
        <is>
          <t xml:space="preserve"> </t>
        </is>
      </c>
      <c r="AY11" s="254" t="inlineStr">
        <is>
          <t xml:space="preserve"> </t>
        </is>
      </c>
      <c r="AZ11" s="254" t="inlineStr">
        <is>
          <t xml:space="preserve"> </t>
        </is>
      </c>
      <c r="BA11" s="254" t="inlineStr">
        <is>
          <t xml:space="preserve"> </t>
        </is>
      </c>
      <c r="BB11" s="254" t="inlineStr">
        <is>
          <t xml:space="preserve"> </t>
        </is>
      </c>
      <c r="BC11" s="254" t="inlineStr">
        <is>
          <t xml:space="preserve"> </t>
        </is>
      </c>
      <c r="BD11" s="254" t="inlineStr">
        <is>
          <t xml:space="preserve"> </t>
        </is>
      </c>
      <c r="BE11" s="254" t="inlineStr">
        <is>
          <t xml:space="preserve"> </t>
        </is>
      </c>
      <c r="BF11" s="254" t="inlineStr">
        <is>
          <t xml:space="preserve"> </t>
        </is>
      </c>
      <c r="BG11" s="254" t="inlineStr">
        <is>
          <t xml:space="preserve"> </t>
        </is>
      </c>
      <c r="BH11" s="254" t="inlineStr">
        <is>
          <t xml:space="preserve"> </t>
        </is>
      </c>
      <c r="BI11" s="254" t="inlineStr">
        <is>
          <t xml:space="preserve"> </t>
        </is>
      </c>
      <c r="BJ11" s="254" t="inlineStr">
        <is>
          <t xml:space="preserve"> </t>
        </is>
      </c>
      <c r="BK11" s="254" t="inlineStr">
        <is>
          <t xml:space="preserve"> </t>
        </is>
      </c>
      <c r="BL11" s="254" t="inlineStr">
        <is>
          <t xml:space="preserve"> </t>
        </is>
      </c>
      <c r="BM11" s="254" t="inlineStr">
        <is>
          <t xml:space="preserve"> </t>
        </is>
      </c>
      <c r="BN11" s="254" t="inlineStr">
        <is>
          <t xml:space="preserve"> </t>
        </is>
      </c>
      <c r="BO11" s="254" t="inlineStr">
        <is>
          <t xml:space="preserve"> </t>
        </is>
      </c>
      <c r="BP11" s="254" t="inlineStr">
        <is>
          <t xml:space="preserve"> </t>
        </is>
      </c>
      <c r="BQ11" s="254" t="inlineStr">
        <is>
          <t xml:space="preserve"> </t>
        </is>
      </c>
      <c r="BR11" s="254" t="inlineStr">
        <is>
          <t xml:space="preserve"> </t>
        </is>
      </c>
      <c r="BS11" s="254" t="inlineStr">
        <is>
          <t xml:space="preserve"> </t>
        </is>
      </c>
      <c r="BT11" s="254" t="inlineStr">
        <is>
          <t xml:space="preserve"> </t>
        </is>
      </c>
      <c r="BU11" s="254" t="inlineStr">
        <is>
          <t xml:space="preserve"> </t>
        </is>
      </c>
      <c r="BV11" s="254" t="inlineStr">
        <is>
          <t xml:space="preserve"> </t>
        </is>
      </c>
      <c r="BW11" s="254" t="inlineStr">
        <is>
          <t xml:space="preserve"> </t>
        </is>
      </c>
      <c r="BX11" s="254" t="inlineStr">
        <is>
          <t xml:space="preserve"> </t>
        </is>
      </c>
      <c r="BY11" s="254" t="inlineStr">
        <is>
          <t xml:space="preserve"> </t>
        </is>
      </c>
      <c r="BZ11" s="254" t="inlineStr">
        <is>
          <t xml:space="preserve"> </t>
        </is>
      </c>
      <c r="CA11" s="254" t="inlineStr">
        <is>
          <t xml:space="preserve"> </t>
        </is>
      </c>
      <c r="CB11" s="254" t="inlineStr">
        <is>
          <t xml:space="preserve"> </t>
        </is>
      </c>
      <c r="CC11" s="254" t="inlineStr">
        <is>
          <t xml:space="preserve"> </t>
        </is>
      </c>
      <c r="CD11" s="254" t="inlineStr">
        <is>
          <t xml:space="preserve"> </t>
        </is>
      </c>
      <c r="CE11" s="254" t="inlineStr">
        <is>
          <t xml:space="preserve"> </t>
        </is>
      </c>
      <c r="CF11" s="254" t="inlineStr">
        <is>
          <t xml:space="preserve"> </t>
        </is>
      </c>
      <c r="CG11" s="254" t="inlineStr">
        <is>
          <t xml:space="preserve"> </t>
        </is>
      </c>
      <c r="CH11" s="254" t="inlineStr">
        <is>
          <t xml:space="preserve"> </t>
        </is>
      </c>
      <c r="CI11" s="254" t="inlineStr">
        <is>
          <t xml:space="preserve"> </t>
        </is>
      </c>
      <c r="CJ11" s="254" t="inlineStr">
        <is>
          <t xml:space="preserve"> </t>
        </is>
      </c>
      <c r="CK11" s="254" t="inlineStr">
        <is>
          <t xml:space="preserve"> </t>
        </is>
      </c>
      <c r="CL11" s="254" t="inlineStr">
        <is>
          <t xml:space="preserve"> </t>
        </is>
      </c>
      <c r="CM11" s="254" t="inlineStr">
        <is>
          <t xml:space="preserve"> </t>
        </is>
      </c>
      <c r="CN11" s="254" t="inlineStr">
        <is>
          <t xml:space="preserve"> </t>
        </is>
      </c>
      <c r="CO11" s="254" t="inlineStr">
        <is>
          <t xml:space="preserve"> </t>
        </is>
      </c>
      <c r="CP11" s="254" t="inlineStr">
        <is>
          <t xml:space="preserve"> </t>
        </is>
      </c>
      <c r="CQ11" s="254" t="inlineStr">
        <is>
          <t xml:space="preserve"> </t>
        </is>
      </c>
      <c r="CR11" s="254" t="inlineStr">
        <is>
          <t xml:space="preserve"> </t>
        </is>
      </c>
      <c r="CS11" s="254" t="inlineStr">
        <is>
          <t xml:space="preserve"> </t>
        </is>
      </c>
      <c r="CT11" s="254" t="inlineStr">
        <is>
          <t xml:space="preserve"> </t>
        </is>
      </c>
      <c r="CU11" s="254" t="inlineStr">
        <is>
          <t xml:space="preserve"> </t>
        </is>
      </c>
      <c r="CV11" s="254" t="inlineStr">
        <is>
          <t xml:space="preserve"> </t>
        </is>
      </c>
      <c r="CW11" s="254" t="inlineStr">
        <is>
          <t xml:space="preserve"> </t>
        </is>
      </c>
      <c r="CX11" s="254" t="inlineStr">
        <is>
          <t xml:space="preserve"> </t>
        </is>
      </c>
      <c r="CY11" s="254" t="inlineStr">
        <is>
          <t xml:space="preserve"> </t>
        </is>
      </c>
      <c r="CZ11" s="254" t="inlineStr">
        <is>
          <t xml:space="preserve"> </t>
        </is>
      </c>
      <c r="DA11" s="254" t="inlineStr">
        <is>
          <t xml:space="preserve"> </t>
        </is>
      </c>
      <c r="DB11" s="254" t="inlineStr">
        <is>
          <t xml:space="preserve"> </t>
        </is>
      </c>
      <c r="DC11" s="254" t="inlineStr">
        <is>
          <t xml:space="preserve"> </t>
        </is>
      </c>
      <c r="DD11" s="254" t="inlineStr">
        <is>
          <t xml:space="preserve"> </t>
        </is>
      </c>
      <c r="DE11" s="254" t="inlineStr">
        <is>
          <t xml:space="preserve"> </t>
        </is>
      </c>
      <c r="DF11" s="254" t="inlineStr">
        <is>
          <t xml:space="preserve"> </t>
        </is>
      </c>
      <c r="DG11" s="254" t="inlineStr">
        <is>
          <t xml:space="preserve"> </t>
        </is>
      </c>
      <c r="DH11" s="254" t="inlineStr">
        <is>
          <t xml:space="preserve"> </t>
        </is>
      </c>
      <c r="DI11" s="254" t="inlineStr">
        <is>
          <t xml:space="preserve"> </t>
        </is>
      </c>
      <c r="DJ11" s="254" t="inlineStr">
        <is>
          <t xml:space="preserve"> </t>
        </is>
      </c>
      <c r="DK11" s="254" t="inlineStr">
        <is>
          <t xml:space="preserve"> </t>
        </is>
      </c>
      <c r="DL11" s="254" t="inlineStr">
        <is>
          <t xml:space="preserve"> </t>
        </is>
      </c>
      <c r="DM11" s="254" t="inlineStr">
        <is>
          <t xml:space="preserve"> </t>
        </is>
      </c>
      <c r="DN11" s="254" t="inlineStr">
        <is>
          <t xml:space="preserve"> </t>
        </is>
      </c>
      <c r="DO11" s="254" t="inlineStr">
        <is>
          <t xml:space="preserve"> </t>
        </is>
      </c>
      <c r="DP11" s="254" t="inlineStr">
        <is>
          <t xml:space="preserve"> </t>
        </is>
      </c>
      <c r="DQ11" s="254" t="inlineStr">
        <is>
          <t xml:space="preserve"> </t>
        </is>
      </c>
      <c r="DR11" s="254" t="inlineStr">
        <is>
          <t xml:space="preserve"> </t>
        </is>
      </c>
      <c r="DS11" s="254" t="inlineStr">
        <is>
          <t xml:space="preserve"> </t>
        </is>
      </c>
      <c r="DT11" s="254" t="inlineStr">
        <is>
          <t xml:space="preserve"> </t>
        </is>
      </c>
      <c r="DU11" s="254" t="inlineStr">
        <is>
          <t xml:space="preserve"> </t>
        </is>
      </c>
      <c r="DV11" s="254" t="inlineStr">
        <is>
          <t xml:space="preserve"> </t>
        </is>
      </c>
      <c r="DW11" s="254" t="inlineStr">
        <is>
          <t xml:space="preserve"> </t>
        </is>
      </c>
      <c r="DX11" s="254" t="inlineStr">
        <is>
          <t xml:space="preserve"> </t>
        </is>
      </c>
      <c r="DY11" s="254" t="inlineStr">
        <is>
          <t xml:space="preserve"> </t>
        </is>
      </c>
      <c r="DZ11" s="254" t="inlineStr">
        <is>
          <t xml:space="preserve"> </t>
        </is>
      </c>
      <c r="EA11" s="254" t="inlineStr">
        <is>
          <t xml:space="preserve"> </t>
        </is>
      </c>
      <c r="EB11" s="254" t="inlineStr">
        <is>
          <t xml:space="preserve"> </t>
        </is>
      </c>
      <c r="EC11" s="254" t="inlineStr">
        <is>
          <t xml:space="preserve"> </t>
        </is>
      </c>
      <c r="ED11" s="254" t="inlineStr">
        <is>
          <t xml:space="preserve"> </t>
        </is>
      </c>
      <c r="EE11" s="254" t="inlineStr">
        <is>
          <t xml:space="preserve"> </t>
        </is>
      </c>
      <c r="EF11" s="254" t="inlineStr">
        <is>
          <t xml:space="preserve"> </t>
        </is>
      </c>
      <c r="EG11" s="254" t="inlineStr">
        <is>
          <t xml:space="preserve"> </t>
        </is>
      </c>
      <c r="EH11" s="254" t="inlineStr">
        <is>
          <t xml:space="preserve"> </t>
        </is>
      </c>
      <c r="EI11" s="254" t="inlineStr">
        <is>
          <t xml:space="preserve"> </t>
        </is>
      </c>
      <c r="EJ11" s="254" t="inlineStr">
        <is>
          <t xml:space="preserve"> </t>
        </is>
      </c>
      <c r="EK11" s="254" t="inlineStr">
        <is>
          <t xml:space="preserve"> </t>
        </is>
      </c>
      <c r="EL11" s="254" t="inlineStr">
        <is>
          <t xml:space="preserve"> </t>
        </is>
      </c>
      <c r="EM11" s="254" t="inlineStr">
        <is>
          <t xml:space="preserve"> </t>
        </is>
      </c>
      <c r="EN11" s="254" t="inlineStr">
        <is>
          <t xml:space="preserve"> </t>
        </is>
      </c>
      <c r="EO11" s="254" t="inlineStr">
        <is>
          <t xml:space="preserve"> </t>
        </is>
      </c>
      <c r="EP11" s="254" t="inlineStr">
        <is>
          <t xml:space="preserve"> </t>
        </is>
      </c>
      <c r="EQ11" s="254" t="inlineStr">
        <is>
          <t xml:space="preserve"> </t>
        </is>
      </c>
      <c r="ER11" s="254" t="inlineStr">
        <is>
          <t xml:space="preserve"> </t>
        </is>
      </c>
      <c r="ES11" s="254" t="inlineStr">
        <is>
          <t xml:space="preserve"> </t>
        </is>
      </c>
      <c r="ET11" s="254" t="inlineStr">
        <is>
          <t xml:space="preserve"> </t>
        </is>
      </c>
      <c r="EU11" s="254" t="inlineStr">
        <is>
          <t xml:space="preserve"> </t>
        </is>
      </c>
      <c r="EV11" s="254" t="inlineStr">
        <is>
          <t xml:space="preserve"> </t>
        </is>
      </c>
      <c r="EW11" s="254" t="inlineStr">
        <is>
          <t xml:space="preserve"> </t>
        </is>
      </c>
      <c r="EX11" s="254" t="inlineStr">
        <is>
          <t xml:space="preserve"> </t>
        </is>
      </c>
      <c r="EY11" s="254" t="inlineStr">
        <is>
          <t xml:space="preserve"> </t>
        </is>
      </c>
      <c r="EZ11" s="254" t="inlineStr">
        <is>
          <t xml:space="preserve"> </t>
        </is>
      </c>
      <c r="FA11" s="254" t="inlineStr">
        <is>
          <t xml:space="preserve"> </t>
        </is>
      </c>
      <c r="FB11" s="254" t="inlineStr">
        <is>
          <t xml:space="preserve"> </t>
        </is>
      </c>
      <c r="FC11" s="254" t="inlineStr">
        <is>
          <t xml:space="preserve"> </t>
        </is>
      </c>
      <c r="FD11" s="254" t="inlineStr">
        <is>
          <t xml:space="preserve"> </t>
        </is>
      </c>
      <c r="FE11" s="254" t="inlineStr">
        <is>
          <t xml:space="preserve"> </t>
        </is>
      </c>
      <c r="FF11" s="254" t="inlineStr">
        <is>
          <t xml:space="preserve"> </t>
        </is>
      </c>
      <c r="FG11" s="254" t="inlineStr">
        <is>
          <t xml:space="preserve"> </t>
        </is>
      </c>
      <c r="FH11" s="254" t="inlineStr">
        <is>
          <t xml:space="preserve"> </t>
        </is>
      </c>
      <c r="FI11" s="254" t="inlineStr">
        <is>
          <t xml:space="preserve"> </t>
        </is>
      </c>
      <c r="FJ11" s="254" t="inlineStr">
        <is>
          <t xml:space="preserve"> </t>
        </is>
      </c>
      <c r="FK11" s="254" t="inlineStr">
        <is>
          <t xml:space="preserve"> </t>
        </is>
      </c>
      <c r="FL11" s="254" t="inlineStr">
        <is>
          <t xml:space="preserve"> </t>
        </is>
      </c>
      <c r="FM11" s="254" t="inlineStr">
        <is>
          <t xml:space="preserve"> </t>
        </is>
      </c>
      <c r="FN11" s="254" t="inlineStr">
        <is>
          <t xml:space="preserve"> </t>
        </is>
      </c>
      <c r="FO11" s="254" t="inlineStr">
        <is>
          <t xml:space="preserve"> </t>
        </is>
      </c>
      <c r="FP11" s="254" t="inlineStr">
        <is>
          <t xml:space="preserve"> </t>
        </is>
      </c>
      <c r="FQ11" s="254" t="inlineStr">
        <is>
          <t xml:space="preserve"> </t>
        </is>
      </c>
      <c r="FR11" s="254" t="inlineStr">
        <is>
          <t xml:space="preserve"> </t>
        </is>
      </c>
      <c r="FS11" s="254" t="inlineStr">
        <is>
          <t xml:space="preserve"> </t>
        </is>
      </c>
      <c r="FT11" s="254" t="inlineStr">
        <is>
          <t xml:space="preserve"> </t>
        </is>
      </c>
      <c r="FU11" s="254" t="inlineStr">
        <is>
          <t xml:space="preserve"> </t>
        </is>
      </c>
      <c r="FV11" s="254" t="inlineStr">
        <is>
          <t xml:space="preserve"> </t>
        </is>
      </c>
      <c r="FW11" s="254" t="inlineStr">
        <is>
          <t xml:space="preserve"> </t>
        </is>
      </c>
      <c r="FX11" s="254" t="inlineStr">
        <is>
          <t xml:space="preserve"> </t>
        </is>
      </c>
      <c r="FY11" s="254" t="inlineStr">
        <is>
          <t xml:space="preserve"> </t>
        </is>
      </c>
      <c r="FZ11" s="254" t="inlineStr">
        <is>
          <t xml:space="preserve"> </t>
        </is>
      </c>
      <c r="GA11" s="254" t="inlineStr">
        <is>
          <t xml:space="preserve"> </t>
        </is>
      </c>
      <c r="GB11" s="254" t="inlineStr">
        <is>
          <t xml:space="preserve"> </t>
        </is>
      </c>
      <c r="GC11" s="254" t="inlineStr">
        <is>
          <t xml:space="preserve"> </t>
        </is>
      </c>
      <c r="GD11" s="254" t="inlineStr">
        <is>
          <t xml:space="preserve"> </t>
        </is>
      </c>
      <c r="GE11" s="254" t="inlineStr">
        <is>
          <t xml:space="preserve"> </t>
        </is>
      </c>
      <c r="GF11" s="254" t="inlineStr">
        <is>
          <t xml:space="preserve"> </t>
        </is>
      </c>
      <c r="GG11" s="254" t="inlineStr">
        <is>
          <t xml:space="preserve"> </t>
        </is>
      </c>
      <c r="GH11" s="254" t="inlineStr">
        <is>
          <t xml:space="preserve"> </t>
        </is>
      </c>
      <c r="GI11" s="254" t="inlineStr">
        <is>
          <t xml:space="preserve"> </t>
        </is>
      </c>
      <c r="GJ11" s="254" t="inlineStr">
        <is>
          <t xml:space="preserve"> </t>
        </is>
      </c>
      <c r="GK11" s="254" t="inlineStr">
        <is>
          <t xml:space="preserve"> </t>
        </is>
      </c>
      <c r="GL11" s="254" t="inlineStr">
        <is>
          <t xml:space="preserve"> </t>
        </is>
      </c>
      <c r="GM11" s="254" t="inlineStr">
        <is>
          <t xml:space="preserve"> </t>
        </is>
      </c>
      <c r="GN11" s="254" t="inlineStr">
        <is>
          <t xml:space="preserve"> </t>
        </is>
      </c>
      <c r="GO11" s="254" t="inlineStr">
        <is>
          <t xml:space="preserve"> </t>
        </is>
      </c>
      <c r="GP11" s="254" t="inlineStr">
        <is>
          <t xml:space="preserve"> </t>
        </is>
      </c>
      <c r="GQ11" s="254" t="inlineStr">
        <is>
          <t xml:space="preserve"> </t>
        </is>
      </c>
      <c r="GR11" s="254" t="inlineStr">
        <is>
          <t xml:space="preserve"> </t>
        </is>
      </c>
      <c r="GS11" s="254" t="inlineStr">
        <is>
          <t xml:space="preserve"> </t>
        </is>
      </c>
      <c r="GT11" s="254" t="inlineStr">
        <is>
          <t xml:space="preserve"> </t>
        </is>
      </c>
      <c r="GU11" s="254" t="inlineStr">
        <is>
          <t xml:space="preserve"> </t>
        </is>
      </c>
      <c r="GV11" s="254" t="inlineStr">
        <is>
          <t xml:space="preserve"> </t>
        </is>
      </c>
      <c r="GW11" s="254" t="inlineStr">
        <is>
          <t xml:space="preserve"> </t>
        </is>
      </c>
      <c r="GX11" s="254" t="inlineStr">
        <is>
          <t xml:space="preserve"> </t>
        </is>
      </c>
      <c r="GY11" s="254" t="inlineStr">
        <is>
          <t xml:space="preserve"> </t>
        </is>
      </c>
      <c r="GZ11" s="254" t="inlineStr">
        <is>
          <t xml:space="preserve"> </t>
        </is>
      </c>
      <c r="HA11" s="254" t="inlineStr">
        <is>
          <t xml:space="preserve"> </t>
        </is>
      </c>
      <c r="HB11" s="254" t="inlineStr">
        <is>
          <t xml:space="preserve"> </t>
        </is>
      </c>
      <c r="HC11" s="254" t="inlineStr">
        <is>
          <t xml:space="preserve"> </t>
        </is>
      </c>
      <c r="HD11" s="254" t="inlineStr">
        <is>
          <t xml:space="preserve"> </t>
        </is>
      </c>
      <c r="HE11" s="254" t="inlineStr">
        <is>
          <t xml:space="preserve"> </t>
        </is>
      </c>
      <c r="HF11" s="254" t="inlineStr">
        <is>
          <t xml:space="preserve"> </t>
        </is>
      </c>
      <c r="HG11" s="254" t="inlineStr">
        <is>
          <t xml:space="preserve"> </t>
        </is>
      </c>
      <c r="HH11" s="254" t="inlineStr">
        <is>
          <t xml:space="preserve"> </t>
        </is>
      </c>
      <c r="HI11" s="254" t="inlineStr">
        <is>
          <t xml:space="preserve"> </t>
        </is>
      </c>
      <c r="HJ11" s="254" t="inlineStr">
        <is>
          <t xml:space="preserve"> </t>
        </is>
      </c>
      <c r="HK11" s="254" t="inlineStr">
        <is>
          <t xml:space="preserve"> </t>
        </is>
      </c>
      <c r="HL11" s="254" t="inlineStr">
        <is>
          <t xml:space="preserve"> </t>
        </is>
      </c>
      <c r="HM11" s="254" t="inlineStr">
        <is>
          <t xml:space="preserve"> </t>
        </is>
      </c>
      <c r="HN11" s="254" t="inlineStr">
        <is>
          <t xml:space="preserve"> </t>
        </is>
      </c>
      <c r="HO11" s="254" t="inlineStr">
        <is>
          <t xml:space="preserve"> </t>
        </is>
      </c>
      <c r="HP11" s="254" t="inlineStr">
        <is>
          <t xml:space="preserve"> </t>
        </is>
      </c>
      <c r="HQ11" s="254" t="inlineStr">
        <is>
          <t xml:space="preserve"> </t>
        </is>
      </c>
      <c r="HR11" s="254" t="inlineStr">
        <is>
          <t xml:space="preserve"> </t>
        </is>
      </c>
      <c r="HS11" s="254" t="inlineStr">
        <is>
          <t xml:space="preserve"> </t>
        </is>
      </c>
      <c r="HT11" s="254" t="inlineStr">
        <is>
          <t xml:space="preserve"> </t>
        </is>
      </c>
      <c r="HU11" s="254" t="inlineStr">
        <is>
          <t xml:space="preserve"> </t>
        </is>
      </c>
      <c r="HV11" s="254" t="inlineStr">
        <is>
          <t xml:space="preserve"> </t>
        </is>
      </c>
      <c r="HW11" s="254" t="inlineStr">
        <is>
          <t xml:space="preserve"> </t>
        </is>
      </c>
      <c r="HX11" s="254" t="inlineStr">
        <is>
          <t xml:space="preserve"> </t>
        </is>
      </c>
      <c r="HY11" s="254" t="inlineStr">
        <is>
          <t xml:space="preserve"> </t>
        </is>
      </c>
      <c r="HZ11" s="254" t="inlineStr">
        <is>
          <t xml:space="preserve"> </t>
        </is>
      </c>
      <c r="IA11" s="254" t="inlineStr">
        <is>
          <t xml:space="preserve"> </t>
        </is>
      </c>
      <c r="IB11" s="254" t="inlineStr">
        <is>
          <t xml:space="preserve"> </t>
        </is>
      </c>
      <c r="IC11" s="254" t="inlineStr">
        <is>
          <t xml:space="preserve"> </t>
        </is>
      </c>
      <c r="ID11" s="254" t="inlineStr">
        <is>
          <t xml:space="preserve"> </t>
        </is>
      </c>
      <c r="IE11" s="254" t="inlineStr">
        <is>
          <t xml:space="preserve"> </t>
        </is>
      </c>
      <c r="IF11" s="254" t="inlineStr">
        <is>
          <t xml:space="preserve"> </t>
        </is>
      </c>
      <c r="IG11" s="254" t="inlineStr">
        <is>
          <t xml:space="preserve"> </t>
        </is>
      </c>
      <c r="IH11" s="254" t="inlineStr">
        <is>
          <t xml:space="preserve"> </t>
        </is>
      </c>
      <c r="II11" s="254" t="inlineStr">
        <is>
          <t xml:space="preserve"> </t>
        </is>
      </c>
      <c r="IJ11" s="254" t="inlineStr">
        <is>
          <t xml:space="preserve"> </t>
        </is>
      </c>
      <c r="IK11" s="254" t="inlineStr">
        <is>
          <t xml:space="preserve"> </t>
        </is>
      </c>
      <c r="IL11" s="254" t="inlineStr">
        <is>
          <t xml:space="preserve"> </t>
        </is>
      </c>
      <c r="IM11" s="254" t="inlineStr">
        <is>
          <t xml:space="preserve"> </t>
        </is>
      </c>
      <c r="IN11" s="254" t="inlineStr">
        <is>
          <t xml:space="preserve"> </t>
        </is>
      </c>
      <c r="IO11" s="254" t="inlineStr">
        <is>
          <t xml:space="preserve"> </t>
        </is>
      </c>
      <c r="IP11" s="254" t="inlineStr">
        <is>
          <t xml:space="preserve"> </t>
        </is>
      </c>
      <c r="IQ11" s="254" t="inlineStr">
        <is>
          <t xml:space="preserve"> </t>
        </is>
      </c>
      <c r="IR11" s="254" t="inlineStr">
        <is>
          <t xml:space="preserve"> </t>
        </is>
      </c>
      <c r="IS11" s="254" t="inlineStr">
        <is>
          <t xml:space="preserve"> </t>
        </is>
      </c>
      <c r="IT11" s="254" t="inlineStr">
        <is>
          <t xml:space="preserve"> </t>
        </is>
      </c>
      <c r="IU11" s="254" t="inlineStr">
        <is>
          <t xml:space="preserve"> </t>
        </is>
      </c>
      <c r="IV11" s="254" t="inlineStr">
        <is>
          <t xml:space="preserve"> </t>
        </is>
      </c>
      <c r="IW11" s="254" t="inlineStr">
        <is>
          <t xml:space="preserve"> </t>
        </is>
      </c>
      <c r="IX11" s="254" t="inlineStr">
        <is>
          <t xml:space="preserve"> </t>
        </is>
      </c>
      <c r="IY11" s="254" t="inlineStr">
        <is>
          <t xml:space="preserve"> </t>
        </is>
      </c>
      <c r="IZ11" s="254" t="inlineStr">
        <is>
          <t xml:space="preserve"> </t>
        </is>
      </c>
      <c r="JA11" s="254" t="inlineStr">
        <is>
          <t xml:space="preserve"> </t>
        </is>
      </c>
      <c r="JB11" s="254" t="inlineStr">
        <is>
          <t xml:space="preserve"> </t>
        </is>
      </c>
      <c r="JC11" s="254" t="inlineStr">
        <is>
          <t xml:space="preserve"> </t>
        </is>
      </c>
      <c r="JD11" s="254" t="inlineStr">
        <is>
          <t xml:space="preserve"> </t>
        </is>
      </c>
      <c r="JE11" s="254" t="inlineStr">
        <is>
          <t xml:space="preserve"> </t>
        </is>
      </c>
      <c r="JF11" s="254" t="inlineStr">
        <is>
          <t xml:space="preserve"> </t>
        </is>
      </c>
      <c r="JG11" s="254" t="inlineStr">
        <is>
          <t xml:space="preserve"> </t>
        </is>
      </c>
      <c r="JH11" s="254" t="inlineStr">
        <is>
          <t xml:space="preserve"> </t>
        </is>
      </c>
      <c r="JI11" s="254" t="inlineStr">
        <is>
          <t xml:space="preserve"> </t>
        </is>
      </c>
      <c r="JJ11" s="254" t="inlineStr">
        <is>
          <t xml:space="preserve"> </t>
        </is>
      </c>
      <c r="JK11" s="254" t="inlineStr">
        <is>
          <t xml:space="preserve"> </t>
        </is>
      </c>
      <c r="JL11" s="254" t="inlineStr">
        <is>
          <t xml:space="preserve"> </t>
        </is>
      </c>
      <c r="JM11" s="254" t="inlineStr">
        <is>
          <t xml:space="preserve"> </t>
        </is>
      </c>
      <c r="JN11" s="254" t="inlineStr">
        <is>
          <t xml:space="preserve"> </t>
        </is>
      </c>
      <c r="JO11" s="254" t="inlineStr">
        <is>
          <t xml:space="preserve"> </t>
        </is>
      </c>
      <c r="JP11" s="254" t="inlineStr">
        <is>
          <t xml:space="preserve"> </t>
        </is>
      </c>
      <c r="JQ11" s="254" t="inlineStr">
        <is>
          <t xml:space="preserve"> </t>
        </is>
      </c>
      <c r="JR11" s="254" t="inlineStr">
        <is>
          <t xml:space="preserve"> </t>
        </is>
      </c>
      <c r="JS11" s="254" t="inlineStr">
        <is>
          <t xml:space="preserve"> </t>
        </is>
      </c>
      <c r="JT11" s="254" t="inlineStr">
        <is>
          <t xml:space="preserve"> </t>
        </is>
      </c>
      <c r="JU11" s="254" t="inlineStr">
        <is>
          <t xml:space="preserve"> </t>
        </is>
      </c>
      <c r="JV11" s="254" t="inlineStr">
        <is>
          <t xml:space="preserve"> </t>
        </is>
      </c>
      <c r="JW11" s="254" t="inlineStr">
        <is>
          <t xml:space="preserve"> </t>
        </is>
      </c>
      <c r="JX11" s="254" t="inlineStr">
        <is>
          <t xml:space="preserve"> </t>
        </is>
      </c>
      <c r="JY11" s="254" t="inlineStr">
        <is>
          <t xml:space="preserve"> </t>
        </is>
      </c>
      <c r="JZ11" s="254" t="inlineStr">
        <is>
          <t xml:space="preserve"> </t>
        </is>
      </c>
      <c r="KA11" s="254" t="inlineStr">
        <is>
          <t xml:space="preserve"> </t>
        </is>
      </c>
      <c r="KB11" s="254" t="inlineStr">
        <is>
          <t xml:space="preserve"> </t>
        </is>
      </c>
      <c r="KC11" s="254" t="inlineStr">
        <is>
          <t xml:space="preserve"> </t>
        </is>
      </c>
      <c r="KD11" s="254" t="inlineStr">
        <is>
          <t xml:space="preserve"> </t>
        </is>
      </c>
      <c r="KE11" s="254" t="inlineStr">
        <is>
          <t xml:space="preserve"> </t>
        </is>
      </c>
      <c r="KF11" s="254" t="inlineStr">
        <is>
          <t xml:space="preserve"> </t>
        </is>
      </c>
      <c r="KG11" s="254" t="inlineStr">
        <is>
          <t xml:space="preserve"> </t>
        </is>
      </c>
      <c r="KH11" s="254" t="inlineStr">
        <is>
          <t xml:space="preserve"> </t>
        </is>
      </c>
      <c r="KI11" s="254" t="inlineStr">
        <is>
          <t xml:space="preserve"> </t>
        </is>
      </c>
      <c r="KJ11" s="254" t="inlineStr">
        <is>
          <t xml:space="preserve"> </t>
        </is>
      </c>
      <c r="KK11" s="254" t="inlineStr">
        <is>
          <t xml:space="preserve"> </t>
        </is>
      </c>
      <c r="KL11" s="254" t="inlineStr">
        <is>
          <t xml:space="preserve"> </t>
        </is>
      </c>
      <c r="KM11" s="254" t="inlineStr">
        <is>
          <t xml:space="preserve"> </t>
        </is>
      </c>
      <c r="KN11" s="254" t="inlineStr">
        <is>
          <t xml:space="preserve"> </t>
        </is>
      </c>
      <c r="KO11" s="254" t="inlineStr">
        <is>
          <t xml:space="preserve"> </t>
        </is>
      </c>
      <c r="KP11" s="254" t="inlineStr">
        <is>
          <t xml:space="preserve"> </t>
        </is>
      </c>
      <c r="KQ11" s="254" t="inlineStr">
        <is>
          <t xml:space="preserve"> </t>
        </is>
      </c>
      <c r="KR11" s="254" t="inlineStr">
        <is>
          <t xml:space="preserve"> </t>
        </is>
      </c>
      <c r="KS11" s="254" t="inlineStr">
        <is>
          <t xml:space="preserve"> </t>
        </is>
      </c>
      <c r="KT11" s="254" t="inlineStr">
        <is>
          <t xml:space="preserve"> </t>
        </is>
      </c>
      <c r="KU11" s="254" t="inlineStr">
        <is>
          <t xml:space="preserve"> </t>
        </is>
      </c>
      <c r="KV11" s="254" t="inlineStr">
        <is>
          <t xml:space="preserve"> </t>
        </is>
      </c>
      <c r="KW11" s="254" t="inlineStr">
        <is>
          <t xml:space="preserve"> </t>
        </is>
      </c>
      <c r="KX11" s="254" t="inlineStr">
        <is>
          <t xml:space="preserve"> </t>
        </is>
      </c>
      <c r="KY11" s="254" t="inlineStr">
        <is>
          <t xml:space="preserve"> </t>
        </is>
      </c>
      <c r="KZ11" s="254" t="inlineStr">
        <is>
          <t xml:space="preserve"> </t>
        </is>
      </c>
      <c r="LA11" s="254" t="inlineStr">
        <is>
          <t xml:space="preserve"> </t>
        </is>
      </c>
      <c r="LB11" s="254" t="inlineStr">
        <is>
          <t xml:space="preserve"> </t>
        </is>
      </c>
      <c r="LC11" s="254" t="inlineStr">
        <is>
          <t xml:space="preserve"> </t>
        </is>
      </c>
      <c r="LD11" s="254" t="inlineStr">
        <is>
          <t xml:space="preserve"> </t>
        </is>
      </c>
      <c r="LE11" s="254" t="inlineStr">
        <is>
          <t xml:space="preserve"> </t>
        </is>
      </c>
      <c r="LF11" s="254" t="inlineStr">
        <is>
          <t xml:space="preserve"> </t>
        </is>
      </c>
      <c r="LG11" s="254" t="inlineStr">
        <is>
          <t xml:space="preserve"> </t>
        </is>
      </c>
      <c r="LH11" s="254" t="inlineStr">
        <is>
          <t xml:space="preserve"> </t>
        </is>
      </c>
      <c r="LI11" s="254" t="inlineStr">
        <is>
          <t xml:space="preserve"> </t>
        </is>
      </c>
      <c r="LJ11" s="254" t="inlineStr">
        <is>
          <t xml:space="preserve"> </t>
        </is>
      </c>
      <c r="LK11" s="254" t="inlineStr">
        <is>
          <t xml:space="preserve"> </t>
        </is>
      </c>
      <c r="LL11" s="254" t="inlineStr">
        <is>
          <t xml:space="preserve"> </t>
        </is>
      </c>
      <c r="LM11" s="254" t="inlineStr">
        <is>
          <t xml:space="preserve"> </t>
        </is>
      </c>
      <c r="LN11" s="254" t="inlineStr">
        <is>
          <t xml:space="preserve"> </t>
        </is>
      </c>
      <c r="LO11" s="254" t="inlineStr">
        <is>
          <t xml:space="preserve"> </t>
        </is>
      </c>
      <c r="LP11" s="254" t="inlineStr">
        <is>
          <t xml:space="preserve"> </t>
        </is>
      </c>
      <c r="LQ11" s="254" t="inlineStr">
        <is>
          <t xml:space="preserve"> </t>
        </is>
      </c>
      <c r="LR11" s="254" t="inlineStr">
        <is>
          <t xml:space="preserve"> </t>
        </is>
      </c>
      <c r="LS11" s="254" t="inlineStr">
        <is>
          <t xml:space="preserve"> </t>
        </is>
      </c>
      <c r="LT11" s="254" t="inlineStr">
        <is>
          <t xml:space="preserve"> </t>
        </is>
      </c>
      <c r="LU11" s="254" t="inlineStr">
        <is>
          <t xml:space="preserve"> </t>
        </is>
      </c>
      <c r="LV11" s="254" t="inlineStr">
        <is>
          <t xml:space="preserve"> </t>
        </is>
      </c>
      <c r="LW11" s="254" t="inlineStr">
        <is>
          <t xml:space="preserve"> </t>
        </is>
      </c>
      <c r="LX11" s="254" t="inlineStr">
        <is>
          <t xml:space="preserve"> </t>
        </is>
      </c>
      <c r="LY11" s="254" t="inlineStr">
        <is>
          <t xml:space="preserve"> </t>
        </is>
      </c>
      <c r="LZ11" s="254" t="inlineStr">
        <is>
          <t xml:space="preserve"> </t>
        </is>
      </c>
      <c r="MA11" s="254" t="inlineStr">
        <is>
          <t xml:space="preserve"> </t>
        </is>
      </c>
      <c r="MB11" s="254" t="inlineStr">
        <is>
          <t xml:space="preserve"> </t>
        </is>
      </c>
      <c r="MC11" s="254" t="inlineStr">
        <is>
          <t xml:space="preserve"> </t>
        </is>
      </c>
      <c r="MD11" s="254" t="inlineStr">
        <is>
          <t xml:space="preserve"> </t>
        </is>
      </c>
      <c r="ME11" s="254" t="inlineStr">
        <is>
          <t xml:space="preserve"> </t>
        </is>
      </c>
      <c r="MF11" s="254" t="inlineStr">
        <is>
          <t xml:space="preserve"> </t>
        </is>
      </c>
      <c r="MG11" s="254" t="inlineStr">
        <is>
          <t xml:space="preserve"> </t>
        </is>
      </c>
      <c r="MH11" s="254" t="inlineStr">
        <is>
          <t xml:space="preserve"> </t>
        </is>
      </c>
      <c r="MI11" s="254" t="inlineStr">
        <is>
          <t xml:space="preserve"> </t>
        </is>
      </c>
      <c r="MJ11" s="254" t="inlineStr">
        <is>
          <t xml:space="preserve"> </t>
        </is>
      </c>
      <c r="MK11" s="254" t="inlineStr">
        <is>
          <t xml:space="preserve"> </t>
        </is>
      </c>
      <c r="ML11" s="254" t="inlineStr">
        <is>
          <t xml:space="preserve"> </t>
        </is>
      </c>
      <c r="MM11" s="254" t="inlineStr">
        <is>
          <t xml:space="preserve"> </t>
        </is>
      </c>
      <c r="MN11" s="254" t="inlineStr">
        <is>
          <t xml:space="preserve"> </t>
        </is>
      </c>
      <c r="MO11" s="254" t="inlineStr">
        <is>
          <t xml:space="preserve"> </t>
        </is>
      </c>
      <c r="MP11" s="254" t="inlineStr">
        <is>
          <t xml:space="preserve"> </t>
        </is>
      </c>
      <c r="MQ11" s="254" t="inlineStr">
        <is>
          <t xml:space="preserve"> </t>
        </is>
      </c>
      <c r="MR11" s="254" t="inlineStr">
        <is>
          <t xml:space="preserve"> </t>
        </is>
      </c>
      <c r="MS11" s="254" t="inlineStr">
        <is>
          <t xml:space="preserve"> </t>
        </is>
      </c>
      <c r="MT11" s="254" t="inlineStr">
        <is>
          <t xml:space="preserve"> </t>
        </is>
      </c>
      <c r="MU11" s="254" t="inlineStr">
        <is>
          <t xml:space="preserve"> </t>
        </is>
      </c>
      <c r="MV11" s="254" t="inlineStr">
        <is>
          <t xml:space="preserve"> </t>
        </is>
      </c>
      <c r="MW11" s="254" t="inlineStr">
        <is>
          <t xml:space="preserve"> </t>
        </is>
      </c>
      <c r="MX11" s="254" t="inlineStr">
        <is>
          <t xml:space="preserve"> </t>
        </is>
      </c>
      <c r="MY11" s="254" t="inlineStr">
        <is>
          <t xml:space="preserve"> </t>
        </is>
      </c>
      <c r="MZ11" s="254" t="inlineStr">
        <is>
          <t xml:space="preserve"> </t>
        </is>
      </c>
      <c r="NA11" s="254" t="inlineStr">
        <is>
          <t xml:space="preserve"> </t>
        </is>
      </c>
      <c r="NB11" s="254" t="inlineStr">
        <is>
          <t xml:space="preserve"> </t>
        </is>
      </c>
      <c r="NC11" s="254" t="inlineStr">
        <is>
          <t xml:space="preserve"> </t>
        </is>
      </c>
      <c r="ND11" s="254" t="inlineStr">
        <is>
          <t xml:space="preserve"> </t>
        </is>
      </c>
      <c r="NE11" s="254" t="inlineStr">
        <is>
          <t xml:space="preserve"> </t>
        </is>
      </c>
    </row>
    <row r="12" ht="15" customHeight="1" s="166">
      <c r="A12" s="249" t="inlineStr">
        <is>
          <t>Daily Consumption</t>
        </is>
      </c>
      <c r="B12" s="245" t="n"/>
      <c r="C12" s="250" t="inlineStr">
        <is>
          <t>m³</t>
        </is>
      </c>
      <c r="D12" s="255">
        <f>'Daily Consumption'!B32</f>
        <v/>
      </c>
      <c r="E12" s="256">
        <f>'Daily Consumption'!C32</f>
        <v/>
      </c>
      <c r="F12" s="256">
        <f>'Daily Consumption'!D32</f>
        <v/>
      </c>
      <c r="G12" s="256">
        <f>'Daily Consumption'!E32</f>
        <v/>
      </c>
      <c r="H12" s="256">
        <f>'Daily Consumption'!F32</f>
        <v/>
      </c>
      <c r="I12" s="256">
        <f>'Daily Consumption'!G32</f>
        <v/>
      </c>
      <c r="J12" s="256">
        <f>'Daily Consumption'!H32</f>
        <v/>
      </c>
      <c r="K12" s="256">
        <f>'Daily Consumption'!I32</f>
        <v/>
      </c>
      <c r="L12" s="256">
        <f>'Daily Consumption'!J32</f>
        <v/>
      </c>
      <c r="M12" s="256">
        <f>'Daily Consumption'!K32</f>
        <v/>
      </c>
      <c r="N12" s="256">
        <f>'Daily Consumption'!L32</f>
        <v/>
      </c>
      <c r="O12" s="256">
        <f>'Daily Consumption'!M32</f>
        <v/>
      </c>
      <c r="P12" s="256">
        <f>'Daily Consumption'!N32</f>
        <v/>
      </c>
      <c r="Q12" s="256">
        <f>'Daily Consumption'!O32</f>
        <v/>
      </c>
      <c r="R12" s="256">
        <f>'Daily Consumption'!P32</f>
        <v/>
      </c>
      <c r="S12" s="256">
        <f>'Daily Consumption'!Q32</f>
        <v/>
      </c>
      <c r="T12" s="256">
        <f>'Daily Consumption'!R32</f>
        <v/>
      </c>
      <c r="U12" s="256">
        <f>'Daily Consumption'!S32</f>
        <v/>
      </c>
      <c r="V12" s="256">
        <f>'Daily Consumption'!T32</f>
        <v/>
      </c>
      <c r="W12" s="256">
        <f>'Daily Consumption'!U32</f>
        <v/>
      </c>
      <c r="X12" s="256">
        <f>'Daily Consumption'!V32</f>
        <v/>
      </c>
      <c r="Y12" s="256">
        <f>'Daily Consumption'!W32</f>
        <v/>
      </c>
      <c r="Z12" s="256">
        <f>'Daily Consumption'!X32</f>
        <v/>
      </c>
      <c r="AA12" s="256">
        <f>'Daily Consumption'!Y32</f>
        <v/>
      </c>
      <c r="AB12" s="256">
        <f>'Daily Consumption'!Z32</f>
        <v/>
      </c>
      <c r="AC12" s="256">
        <f>'Daily Consumption'!AA32</f>
        <v/>
      </c>
      <c r="AD12" s="256">
        <f>'Daily Consumption'!AB32</f>
        <v/>
      </c>
      <c r="AE12" s="256">
        <f>'Daily Consumption'!AC32</f>
        <v/>
      </c>
      <c r="AF12" s="256">
        <f>'Daily Consumption'!AD32</f>
        <v/>
      </c>
      <c r="AG12" s="256">
        <f>'Daily Consumption'!AE32</f>
        <v/>
      </c>
      <c r="AH12" s="256">
        <f>'Daily Consumption'!AF32</f>
        <v/>
      </c>
      <c r="AI12" s="256">
        <f>'Daily Consumption'!AG32</f>
        <v/>
      </c>
      <c r="AJ12" s="256">
        <f>'Daily Consumption'!AH32</f>
        <v/>
      </c>
      <c r="AK12" s="256">
        <f>'Daily Consumption'!AI32</f>
        <v/>
      </c>
      <c r="AL12" s="256">
        <f>'Daily Consumption'!AJ32</f>
        <v/>
      </c>
      <c r="AM12" s="256">
        <f>'Daily Consumption'!AK32</f>
        <v/>
      </c>
      <c r="AN12" s="256">
        <f>'Daily Consumption'!AL32</f>
        <v/>
      </c>
      <c r="AO12" s="256">
        <f>'Daily Consumption'!AM32</f>
        <v/>
      </c>
      <c r="AP12" s="256">
        <f>'Daily Consumption'!AN32</f>
        <v/>
      </c>
      <c r="AQ12" s="256">
        <f>'Daily Consumption'!AO32</f>
        <v/>
      </c>
      <c r="AR12" s="256">
        <f>'Daily Consumption'!AP32</f>
        <v/>
      </c>
      <c r="AS12" s="256">
        <f>'Daily Consumption'!AQ32</f>
        <v/>
      </c>
      <c r="AT12" s="256">
        <f>'Daily Consumption'!AR32</f>
        <v/>
      </c>
      <c r="AU12" s="256">
        <f>'Daily Consumption'!AS32</f>
        <v/>
      </c>
      <c r="AV12" s="256">
        <f>'Daily Consumption'!AT32</f>
        <v/>
      </c>
      <c r="AW12" s="256">
        <f>'Daily Consumption'!AU32</f>
        <v/>
      </c>
      <c r="AX12" s="256">
        <f>'Daily Consumption'!AV32</f>
        <v/>
      </c>
      <c r="AY12" s="256">
        <f>'Daily Consumption'!AW32</f>
        <v/>
      </c>
      <c r="AZ12" s="256">
        <f>'Daily Consumption'!AX32</f>
        <v/>
      </c>
      <c r="BA12" s="256">
        <f>'Daily Consumption'!AY32</f>
        <v/>
      </c>
      <c r="BB12" s="256">
        <f>'Daily Consumption'!AZ32</f>
        <v/>
      </c>
      <c r="BC12" s="256">
        <f>'Daily Consumption'!BA32</f>
        <v/>
      </c>
      <c r="BD12" s="256">
        <f>'Daily Consumption'!BB32</f>
        <v/>
      </c>
      <c r="BE12" s="256">
        <f>'Daily Consumption'!BC32</f>
        <v/>
      </c>
      <c r="BF12" s="256">
        <f>'Daily Consumption'!BD32</f>
        <v/>
      </c>
      <c r="BG12" s="256">
        <f>'Daily Consumption'!BE32</f>
        <v/>
      </c>
      <c r="BH12" s="256">
        <f>'Daily Consumption'!BF32</f>
        <v/>
      </c>
      <c r="BI12" s="256">
        <f>'Daily Consumption'!BG32</f>
        <v/>
      </c>
      <c r="BJ12" s="256">
        <f>'Daily Consumption'!BH32</f>
        <v/>
      </c>
      <c r="BK12" s="256">
        <f>'Daily Consumption'!BI32</f>
        <v/>
      </c>
      <c r="BL12" s="256">
        <f>'Daily Consumption'!BJ32</f>
        <v/>
      </c>
      <c r="BM12" s="256">
        <f>'Daily Consumption'!BK32</f>
        <v/>
      </c>
      <c r="BN12" s="256">
        <f>'Daily Consumption'!BL32</f>
        <v/>
      </c>
      <c r="BO12" s="256">
        <f>'Daily Consumption'!BM32</f>
        <v/>
      </c>
      <c r="BP12" s="256">
        <f>'Daily Consumption'!BN32</f>
        <v/>
      </c>
      <c r="BQ12" s="256">
        <f>'Daily Consumption'!BO32</f>
        <v/>
      </c>
      <c r="BR12" s="256">
        <f>'Daily Consumption'!BP32</f>
        <v/>
      </c>
      <c r="BS12" s="256">
        <f>'Daily Consumption'!BQ32</f>
        <v/>
      </c>
      <c r="BT12" s="256">
        <f>'Daily Consumption'!BR32</f>
        <v/>
      </c>
      <c r="BU12" s="256">
        <f>'Daily Consumption'!BS32</f>
        <v/>
      </c>
      <c r="BV12" s="256">
        <f>'Daily Consumption'!BT32</f>
        <v/>
      </c>
      <c r="BW12" s="256">
        <f>'Daily Consumption'!BU32</f>
        <v/>
      </c>
      <c r="BX12" s="256">
        <f>'Daily Consumption'!BV32</f>
        <v/>
      </c>
      <c r="BY12" s="256">
        <f>'Daily Consumption'!BW32</f>
        <v/>
      </c>
      <c r="BZ12" s="256">
        <f>'Daily Consumption'!BX32</f>
        <v/>
      </c>
      <c r="CA12" s="256">
        <f>'Daily Consumption'!BY32</f>
        <v/>
      </c>
      <c r="CB12" s="256">
        <f>'Daily Consumption'!BZ32</f>
        <v/>
      </c>
      <c r="CC12" s="256">
        <f>'Daily Consumption'!CA32</f>
        <v/>
      </c>
      <c r="CD12" s="256">
        <f>'Daily Consumption'!CB32</f>
        <v/>
      </c>
      <c r="CE12" s="256">
        <f>'Daily Consumption'!CC32</f>
        <v/>
      </c>
      <c r="CF12" s="256">
        <f>'Daily Consumption'!CD32</f>
        <v/>
      </c>
      <c r="CG12" s="256">
        <f>'Daily Consumption'!CE32</f>
        <v/>
      </c>
      <c r="CH12" s="256">
        <f>'Daily Consumption'!CF32</f>
        <v/>
      </c>
      <c r="CI12" s="256">
        <f>'Daily Consumption'!CG32</f>
        <v/>
      </c>
      <c r="CJ12" s="256">
        <f>'Daily Consumption'!CH32</f>
        <v/>
      </c>
      <c r="CK12" s="256">
        <f>'Daily Consumption'!CI32</f>
        <v/>
      </c>
      <c r="CL12" s="256">
        <f>'Daily Consumption'!CJ32</f>
        <v/>
      </c>
      <c r="CM12" s="256">
        <f>'Daily Consumption'!CK32</f>
        <v/>
      </c>
      <c r="CN12" s="256">
        <f>'Daily Consumption'!CL32</f>
        <v/>
      </c>
      <c r="CO12" s="256">
        <f>'Daily Consumption'!CM32</f>
        <v/>
      </c>
      <c r="CP12" s="256">
        <f>'Daily Consumption'!CN32</f>
        <v/>
      </c>
      <c r="CQ12" s="256">
        <f>'Daily Consumption'!CO32</f>
        <v/>
      </c>
      <c r="CR12" s="256">
        <f>'Daily Consumption'!CP32</f>
        <v/>
      </c>
      <c r="CS12" s="256">
        <f>'Daily Consumption'!CQ32</f>
        <v/>
      </c>
      <c r="CT12" s="256">
        <f>'Daily Consumption'!CR32</f>
        <v/>
      </c>
      <c r="CU12" s="256">
        <f>'Daily Consumption'!CS32</f>
        <v/>
      </c>
      <c r="CV12" s="256">
        <f>'Daily Consumption'!CT32</f>
        <v/>
      </c>
      <c r="CW12" s="256">
        <f>'Daily Consumption'!CU32</f>
        <v/>
      </c>
      <c r="CX12" s="256">
        <f>'Daily Consumption'!CV32</f>
        <v/>
      </c>
      <c r="CY12" s="256">
        <f>'Daily Consumption'!CW32</f>
        <v/>
      </c>
      <c r="CZ12" s="256">
        <f>'Daily Consumption'!CX32</f>
        <v/>
      </c>
      <c r="DA12" s="256">
        <f>'Daily Consumption'!CY32</f>
        <v/>
      </c>
      <c r="DB12" s="256">
        <f>'Daily Consumption'!CZ32</f>
        <v/>
      </c>
      <c r="DC12" s="256">
        <f>'Daily Consumption'!DA32</f>
        <v/>
      </c>
      <c r="DD12" s="256">
        <f>'Daily Consumption'!DB32</f>
        <v/>
      </c>
      <c r="DE12" s="256">
        <f>'Daily Consumption'!DC32</f>
        <v/>
      </c>
      <c r="DF12" s="256">
        <f>'Daily Consumption'!DD32</f>
        <v/>
      </c>
      <c r="DG12" s="256">
        <f>'Daily Consumption'!DE32</f>
        <v/>
      </c>
      <c r="DH12" s="256">
        <f>'Daily Consumption'!DF32</f>
        <v/>
      </c>
      <c r="DI12" s="256">
        <f>'Daily Consumption'!DG32</f>
        <v/>
      </c>
      <c r="DJ12" s="256">
        <f>'Daily Consumption'!DH32</f>
        <v/>
      </c>
      <c r="DK12" s="256">
        <f>'Daily Consumption'!DI32</f>
        <v/>
      </c>
      <c r="DL12" s="256">
        <f>'Daily Consumption'!DJ32</f>
        <v/>
      </c>
      <c r="DM12" s="256">
        <f>'Daily Consumption'!DK32</f>
        <v/>
      </c>
      <c r="DN12" s="256">
        <f>'Daily Consumption'!DL32</f>
        <v/>
      </c>
      <c r="DO12" s="256">
        <f>'Daily Consumption'!DM32</f>
        <v/>
      </c>
      <c r="DP12" s="256">
        <f>'Daily Consumption'!DN32</f>
        <v/>
      </c>
      <c r="DQ12" s="256">
        <f>'Daily Consumption'!DO32</f>
        <v/>
      </c>
      <c r="DR12" s="256">
        <f>'Daily Consumption'!DP32</f>
        <v/>
      </c>
      <c r="DS12" s="256">
        <f>'Daily Consumption'!DQ32</f>
        <v/>
      </c>
      <c r="DT12" s="256">
        <f>'Daily Consumption'!DR32</f>
        <v/>
      </c>
      <c r="DU12" s="256">
        <f>'Daily Consumption'!DS32</f>
        <v/>
      </c>
      <c r="DV12" s="256">
        <f>'Daily Consumption'!DT32</f>
        <v/>
      </c>
      <c r="DW12" s="256">
        <f>'Daily Consumption'!DU32</f>
        <v/>
      </c>
      <c r="DX12" s="256">
        <f>'Daily Consumption'!DV32</f>
        <v/>
      </c>
      <c r="DY12" s="256">
        <f>'Daily Consumption'!DW32</f>
        <v/>
      </c>
      <c r="DZ12" s="256">
        <f>'Daily Consumption'!DX32</f>
        <v/>
      </c>
      <c r="EA12" s="256">
        <f>'Daily Consumption'!DY32</f>
        <v/>
      </c>
      <c r="EB12" s="256">
        <f>'Daily Consumption'!DZ32</f>
        <v/>
      </c>
      <c r="EC12" s="256">
        <f>'Daily Consumption'!EA32</f>
        <v/>
      </c>
      <c r="ED12" s="256">
        <f>'Daily Consumption'!EB32</f>
        <v/>
      </c>
      <c r="EE12" s="256">
        <f>'Daily Consumption'!EC32</f>
        <v/>
      </c>
      <c r="EF12" s="256">
        <f>'Daily Consumption'!ED32</f>
        <v/>
      </c>
      <c r="EG12" s="256">
        <f>'Daily Consumption'!EE32</f>
        <v/>
      </c>
      <c r="EH12" s="256">
        <f>'Daily Consumption'!EF32</f>
        <v/>
      </c>
      <c r="EI12" s="256">
        <f>'Daily Consumption'!EG32</f>
        <v/>
      </c>
      <c r="EJ12" s="256">
        <f>'Daily Consumption'!EH32</f>
        <v/>
      </c>
      <c r="EK12" s="256">
        <f>'Daily Consumption'!EI32</f>
        <v/>
      </c>
      <c r="EL12" s="256">
        <f>'Daily Consumption'!EJ32</f>
        <v/>
      </c>
      <c r="EM12" s="256">
        <f>'Daily Consumption'!EK32</f>
        <v/>
      </c>
      <c r="EN12" s="256">
        <f>'Daily Consumption'!EL32</f>
        <v/>
      </c>
      <c r="EO12" s="256">
        <f>'Daily Consumption'!EM32</f>
        <v/>
      </c>
      <c r="EP12" s="256">
        <f>'Daily Consumption'!EN32</f>
        <v/>
      </c>
      <c r="EQ12" s="256">
        <f>'Daily Consumption'!EO32</f>
        <v/>
      </c>
      <c r="ER12" s="256">
        <f>'Daily Consumption'!EP32</f>
        <v/>
      </c>
      <c r="ES12" s="256">
        <f>'Daily Consumption'!EQ32</f>
        <v/>
      </c>
      <c r="ET12" s="256">
        <f>'Daily Consumption'!ER32</f>
        <v/>
      </c>
      <c r="EU12" s="256">
        <f>'Daily Consumption'!ES32</f>
        <v/>
      </c>
      <c r="EV12" s="256">
        <f>'Daily Consumption'!ET32</f>
        <v/>
      </c>
      <c r="EW12" s="256">
        <f>'Daily Consumption'!EU32</f>
        <v/>
      </c>
      <c r="EX12" s="256">
        <f>'Daily Consumption'!EV32</f>
        <v/>
      </c>
      <c r="EY12" s="256">
        <f>'Daily Consumption'!EW32</f>
        <v/>
      </c>
      <c r="EZ12" s="256">
        <f>'Daily Consumption'!EX32</f>
        <v/>
      </c>
      <c r="FA12" s="256">
        <f>'Daily Consumption'!EY32</f>
        <v/>
      </c>
      <c r="FB12" s="256">
        <f>'Daily Consumption'!EZ32</f>
        <v/>
      </c>
      <c r="FC12" s="256">
        <f>'Daily Consumption'!FA32</f>
        <v/>
      </c>
      <c r="FD12" s="256">
        <f>'Daily Consumption'!FB32</f>
        <v/>
      </c>
      <c r="FE12" s="256">
        <f>'Daily Consumption'!FC32</f>
        <v/>
      </c>
      <c r="FF12" s="256">
        <f>'Daily Consumption'!FD32</f>
        <v/>
      </c>
      <c r="FG12" s="256">
        <f>'Daily Consumption'!FE32</f>
        <v/>
      </c>
      <c r="FH12" s="256">
        <f>'Daily Consumption'!FF32</f>
        <v/>
      </c>
      <c r="FI12" s="256">
        <f>'Daily Consumption'!FG32</f>
        <v/>
      </c>
      <c r="FJ12" s="256">
        <f>'Daily Consumption'!FH32</f>
        <v/>
      </c>
      <c r="FK12" s="256">
        <f>'Daily Consumption'!FI32</f>
        <v/>
      </c>
      <c r="FL12" s="256">
        <f>'Daily Consumption'!FJ32</f>
        <v/>
      </c>
      <c r="FM12" s="256">
        <f>'Daily Consumption'!FK32</f>
        <v/>
      </c>
      <c r="FN12" s="256">
        <f>'Daily Consumption'!FL32</f>
        <v/>
      </c>
      <c r="FO12" s="256">
        <f>'Daily Consumption'!FM32</f>
        <v/>
      </c>
      <c r="FP12" s="256">
        <f>'Daily Consumption'!FN32</f>
        <v/>
      </c>
      <c r="FQ12" s="256">
        <f>'Daily Consumption'!FO32</f>
        <v/>
      </c>
      <c r="FR12" s="256">
        <f>'Daily Consumption'!FP32</f>
        <v/>
      </c>
      <c r="FS12" s="256">
        <f>'Daily Consumption'!FQ32</f>
        <v/>
      </c>
      <c r="FT12" s="256">
        <f>'Daily Consumption'!FR32</f>
        <v/>
      </c>
      <c r="FU12" s="256">
        <f>'Daily Consumption'!FS32</f>
        <v/>
      </c>
      <c r="FV12" s="256">
        <f>'Daily Consumption'!FT32</f>
        <v/>
      </c>
      <c r="FW12" s="256">
        <f>'Daily Consumption'!FU32</f>
        <v/>
      </c>
      <c r="FX12" s="256">
        <f>'Daily Consumption'!FV32</f>
        <v/>
      </c>
      <c r="FY12" s="256">
        <f>'Daily Consumption'!FW32</f>
        <v/>
      </c>
      <c r="FZ12" s="256">
        <f>'Daily Consumption'!FX32</f>
        <v/>
      </c>
      <c r="GA12" s="256">
        <f>'Daily Consumption'!FY32</f>
        <v/>
      </c>
      <c r="GB12" s="256">
        <f>'Daily Consumption'!FZ32</f>
        <v/>
      </c>
      <c r="GC12" s="256">
        <f>'Daily Consumption'!GA32</f>
        <v/>
      </c>
      <c r="GD12" s="256">
        <f>'Daily Consumption'!GB32</f>
        <v/>
      </c>
      <c r="GE12" s="256">
        <f>'Daily Consumption'!GC32</f>
        <v/>
      </c>
      <c r="GF12" s="256">
        <f>'Daily Consumption'!GD32</f>
        <v/>
      </c>
      <c r="GG12" s="256">
        <f>'Daily Consumption'!GE32</f>
        <v/>
      </c>
      <c r="GH12" s="256">
        <f>'Daily Consumption'!GF32</f>
        <v/>
      </c>
      <c r="GI12" s="256">
        <f>'Daily Consumption'!GG32</f>
        <v/>
      </c>
      <c r="GJ12" s="256">
        <f>'Daily Consumption'!GH32</f>
        <v/>
      </c>
      <c r="GK12" s="256">
        <f>'Daily Consumption'!GI32</f>
        <v/>
      </c>
      <c r="GL12" s="256">
        <f>'Daily Consumption'!GJ32</f>
        <v/>
      </c>
      <c r="GM12" s="256">
        <f>'Daily Consumption'!GK32</f>
        <v/>
      </c>
      <c r="GN12" s="256">
        <f>'Daily Consumption'!GL32</f>
        <v/>
      </c>
      <c r="GO12" s="256">
        <f>'Daily Consumption'!GM32</f>
        <v/>
      </c>
      <c r="GP12" s="256">
        <f>'Daily Consumption'!GN32</f>
        <v/>
      </c>
      <c r="GQ12" s="256">
        <f>'Daily Consumption'!GO32</f>
        <v/>
      </c>
      <c r="GR12" s="256">
        <f>'Daily Consumption'!GP32</f>
        <v/>
      </c>
      <c r="GS12" s="256">
        <f>'Daily Consumption'!GQ32</f>
        <v/>
      </c>
      <c r="GT12" s="256">
        <f>'Daily Consumption'!GR32</f>
        <v/>
      </c>
      <c r="GU12" s="256">
        <f>'Daily Consumption'!GS32</f>
        <v/>
      </c>
      <c r="GV12" s="256">
        <f>'Daily Consumption'!GT32</f>
        <v/>
      </c>
      <c r="GW12" s="256">
        <f>'Daily Consumption'!GU32</f>
        <v/>
      </c>
      <c r="GX12" s="256">
        <f>'Daily Consumption'!GV32</f>
        <v/>
      </c>
      <c r="GY12" s="256">
        <f>'Daily Consumption'!GW32</f>
        <v/>
      </c>
      <c r="GZ12" s="256">
        <f>'Daily Consumption'!GX32</f>
        <v/>
      </c>
      <c r="HA12" s="256">
        <f>'Daily Consumption'!GY32</f>
        <v/>
      </c>
      <c r="HB12" s="256">
        <f>'Daily Consumption'!GZ32</f>
        <v/>
      </c>
      <c r="HC12" s="256">
        <f>'Daily Consumption'!HA32</f>
        <v/>
      </c>
      <c r="HD12" s="256">
        <f>'Daily Consumption'!HB32</f>
        <v/>
      </c>
      <c r="HE12" s="256">
        <f>'Daily Consumption'!HC32</f>
        <v/>
      </c>
      <c r="HF12" s="256">
        <f>'Daily Consumption'!HD32</f>
        <v/>
      </c>
      <c r="HG12" s="256">
        <f>'Daily Consumption'!HE32</f>
        <v/>
      </c>
      <c r="HH12" s="256">
        <f>'Daily Consumption'!HF32</f>
        <v/>
      </c>
      <c r="HI12" s="256">
        <f>'Daily Consumption'!HG32</f>
        <v/>
      </c>
      <c r="HJ12" s="256">
        <f>'Daily Consumption'!HH32</f>
        <v/>
      </c>
      <c r="HK12" s="256">
        <f>'Daily Consumption'!HI32</f>
        <v/>
      </c>
      <c r="HL12" s="256">
        <f>'Daily Consumption'!HJ32</f>
        <v/>
      </c>
      <c r="HM12" s="256">
        <f>'Daily Consumption'!HK32</f>
        <v/>
      </c>
      <c r="HN12" s="256">
        <f>'Daily Consumption'!HL32</f>
        <v/>
      </c>
      <c r="HO12" s="256">
        <f>'Daily Consumption'!HM32</f>
        <v/>
      </c>
      <c r="HP12" s="256">
        <f>'Daily Consumption'!HN32</f>
        <v/>
      </c>
      <c r="HQ12" s="256">
        <f>'Daily Consumption'!HO32</f>
        <v/>
      </c>
      <c r="HR12" s="256">
        <f>'Daily Consumption'!HP32</f>
        <v/>
      </c>
      <c r="HS12" s="256">
        <f>'Daily Consumption'!HQ32</f>
        <v/>
      </c>
      <c r="HT12" s="256">
        <f>'Daily Consumption'!HR32</f>
        <v/>
      </c>
      <c r="HU12" s="256">
        <f>'Daily Consumption'!HS32</f>
        <v/>
      </c>
      <c r="HV12" s="256">
        <f>'Daily Consumption'!HT32</f>
        <v/>
      </c>
      <c r="HW12" s="256">
        <f>'Daily Consumption'!HU32</f>
        <v/>
      </c>
      <c r="HX12" s="256">
        <f>'Daily Consumption'!HV32</f>
        <v/>
      </c>
      <c r="HY12" s="256">
        <f>'Daily Consumption'!HW32</f>
        <v/>
      </c>
      <c r="HZ12" s="256">
        <f>'Daily Consumption'!HX32</f>
        <v/>
      </c>
      <c r="IA12" s="256">
        <f>'Daily Consumption'!HY32</f>
        <v/>
      </c>
      <c r="IB12" s="256">
        <f>'Daily Consumption'!HZ32</f>
        <v/>
      </c>
      <c r="IC12" s="256">
        <f>'Daily Consumption'!IA32</f>
        <v/>
      </c>
      <c r="ID12" s="256">
        <f>'Daily Consumption'!IB32</f>
        <v/>
      </c>
      <c r="IE12" s="256">
        <f>'Daily Consumption'!IC32</f>
        <v/>
      </c>
      <c r="IF12" s="256">
        <f>'Daily Consumption'!ID32</f>
        <v/>
      </c>
      <c r="IG12" s="256">
        <f>'Daily Consumption'!IE32</f>
        <v/>
      </c>
      <c r="IH12" s="256">
        <f>'Daily Consumption'!IF32</f>
        <v/>
      </c>
      <c r="II12" s="256">
        <f>'Daily Consumption'!IG32</f>
        <v/>
      </c>
      <c r="IJ12" s="256">
        <f>'Daily Consumption'!IH32</f>
        <v/>
      </c>
      <c r="IK12" s="256">
        <f>'Daily Consumption'!II32</f>
        <v/>
      </c>
      <c r="IL12" s="256">
        <f>'Daily Consumption'!IJ32</f>
        <v/>
      </c>
      <c r="IM12" s="256">
        <f>'Daily Consumption'!IK32</f>
        <v/>
      </c>
      <c r="IN12" s="256">
        <f>'Daily Consumption'!IL32</f>
        <v/>
      </c>
      <c r="IO12" s="256">
        <f>'Daily Consumption'!IM32</f>
        <v/>
      </c>
      <c r="IP12" s="256">
        <f>'Daily Consumption'!IN32</f>
        <v/>
      </c>
      <c r="IQ12" s="256">
        <f>'Daily Consumption'!IO32</f>
        <v/>
      </c>
      <c r="IR12" s="256">
        <f>'Daily Consumption'!IP32</f>
        <v/>
      </c>
      <c r="IS12" s="256">
        <f>'Daily Consumption'!IQ32</f>
        <v/>
      </c>
      <c r="IT12" s="256">
        <f>'Daily Consumption'!IR32</f>
        <v/>
      </c>
      <c r="IU12" s="256">
        <f>'Daily Consumption'!IS32</f>
        <v/>
      </c>
      <c r="IV12" s="256">
        <f>'Daily Consumption'!IT32</f>
        <v/>
      </c>
      <c r="IW12" s="256">
        <f>'Daily Consumption'!IU32</f>
        <v/>
      </c>
      <c r="IX12" s="256">
        <f>'Daily Consumption'!IV32</f>
        <v/>
      </c>
      <c r="IY12" s="256">
        <f>'Daily Consumption'!IW32</f>
        <v/>
      </c>
      <c r="IZ12" s="256">
        <f>'Daily Consumption'!IX32</f>
        <v/>
      </c>
      <c r="JA12" s="256">
        <f>'Daily Consumption'!IY32</f>
        <v/>
      </c>
      <c r="JB12" s="256">
        <f>'Daily Consumption'!IZ32</f>
        <v/>
      </c>
      <c r="JC12" s="256">
        <f>'Daily Consumption'!JA32</f>
        <v/>
      </c>
      <c r="JD12" s="256">
        <f>'Daily Consumption'!JB32</f>
        <v/>
      </c>
      <c r="JE12" s="256">
        <f>'Daily Consumption'!JC32</f>
        <v/>
      </c>
      <c r="JF12" s="256">
        <f>'Daily Consumption'!JD32</f>
        <v/>
      </c>
      <c r="JG12" s="256">
        <f>'Daily Consumption'!JE32</f>
        <v/>
      </c>
      <c r="JH12" s="256">
        <f>'Daily Consumption'!JF32</f>
        <v/>
      </c>
      <c r="JI12" s="256">
        <f>'Daily Consumption'!JG32</f>
        <v/>
      </c>
      <c r="JJ12" s="256">
        <f>'Daily Consumption'!JH32</f>
        <v/>
      </c>
      <c r="JK12" s="256">
        <f>'Daily Consumption'!JI32</f>
        <v/>
      </c>
      <c r="JL12" s="256">
        <f>'Daily Consumption'!JJ32</f>
        <v/>
      </c>
      <c r="JM12" s="256">
        <f>'Daily Consumption'!JK32</f>
        <v/>
      </c>
      <c r="JN12" s="256">
        <f>'Daily Consumption'!JL32</f>
        <v/>
      </c>
      <c r="JO12" s="256">
        <f>'Daily Consumption'!JM32</f>
        <v/>
      </c>
      <c r="JP12" s="256">
        <f>'Daily Consumption'!JN32</f>
        <v/>
      </c>
      <c r="JQ12" s="256">
        <f>'Daily Consumption'!JO32</f>
        <v/>
      </c>
      <c r="JR12" s="256">
        <f>'Daily Consumption'!JP32</f>
        <v/>
      </c>
      <c r="JS12" s="256">
        <f>'Daily Consumption'!JQ32</f>
        <v/>
      </c>
      <c r="JT12" s="256">
        <f>'Daily Consumption'!JR32</f>
        <v/>
      </c>
      <c r="JU12" s="256">
        <f>'Daily Consumption'!JS32</f>
        <v/>
      </c>
      <c r="JV12" s="256">
        <f>'Daily Consumption'!JT32</f>
        <v/>
      </c>
      <c r="JW12" s="256">
        <f>'Daily Consumption'!JU32</f>
        <v/>
      </c>
      <c r="JX12" s="256">
        <f>'Daily Consumption'!JV32</f>
        <v/>
      </c>
      <c r="JY12" s="256">
        <f>'Daily Consumption'!JW32</f>
        <v/>
      </c>
      <c r="JZ12" s="256">
        <f>'Daily Consumption'!JX32</f>
        <v/>
      </c>
      <c r="KA12" s="256">
        <f>'Daily Consumption'!JY32</f>
        <v/>
      </c>
      <c r="KB12" s="256">
        <f>'Daily Consumption'!JZ32</f>
        <v/>
      </c>
      <c r="KC12" s="256">
        <f>'Daily Consumption'!KA32</f>
        <v/>
      </c>
      <c r="KD12" s="256">
        <f>'Daily Consumption'!KB32</f>
        <v/>
      </c>
      <c r="KE12" s="256">
        <f>'Daily Consumption'!KC32</f>
        <v/>
      </c>
      <c r="KF12" s="256">
        <f>'Daily Consumption'!KD32</f>
        <v/>
      </c>
      <c r="KG12" s="256">
        <f>'Daily Consumption'!KE32</f>
        <v/>
      </c>
      <c r="KH12" s="256">
        <f>'Daily Consumption'!KF32</f>
        <v/>
      </c>
      <c r="KI12" s="256">
        <f>'Daily Consumption'!KG32</f>
        <v/>
      </c>
      <c r="KJ12" s="256">
        <f>'Daily Consumption'!KH32</f>
        <v/>
      </c>
      <c r="KK12" s="256">
        <f>'Daily Consumption'!KI32</f>
        <v/>
      </c>
      <c r="KL12" s="256">
        <f>'Daily Consumption'!KJ32</f>
        <v/>
      </c>
      <c r="KM12" s="256">
        <f>'Daily Consumption'!KK32</f>
        <v/>
      </c>
      <c r="KN12" s="256">
        <f>'Daily Consumption'!KL32</f>
        <v/>
      </c>
      <c r="KO12" s="256">
        <f>'Daily Consumption'!KM32</f>
        <v/>
      </c>
      <c r="KP12" s="256">
        <f>'Daily Consumption'!KN32</f>
        <v/>
      </c>
      <c r="KQ12" s="256">
        <f>'Daily Consumption'!KO32</f>
        <v/>
      </c>
      <c r="KR12" s="256">
        <f>'Daily Consumption'!KP32</f>
        <v/>
      </c>
      <c r="KS12" s="256">
        <f>'Daily Consumption'!KQ32</f>
        <v/>
      </c>
      <c r="KT12" s="256">
        <f>'Daily Consumption'!KR32</f>
        <v/>
      </c>
      <c r="KU12" s="256">
        <f>'Daily Consumption'!KS32</f>
        <v/>
      </c>
      <c r="KV12" s="256">
        <f>'Daily Consumption'!KT32</f>
        <v/>
      </c>
      <c r="KW12" s="256">
        <f>'Daily Consumption'!KU32</f>
        <v/>
      </c>
      <c r="KX12" s="256">
        <f>'Daily Consumption'!KV32</f>
        <v/>
      </c>
      <c r="KY12" s="256">
        <f>'Daily Consumption'!KW32</f>
        <v/>
      </c>
      <c r="KZ12" s="256">
        <f>'Daily Consumption'!KX32</f>
        <v/>
      </c>
      <c r="LA12" s="256">
        <f>'Daily Consumption'!KY32</f>
        <v/>
      </c>
      <c r="LB12" s="256">
        <f>'Daily Consumption'!KZ32</f>
        <v/>
      </c>
      <c r="LC12" s="256">
        <f>'Daily Consumption'!LA32</f>
        <v/>
      </c>
      <c r="LD12" s="256">
        <f>'Daily Consumption'!LB32</f>
        <v/>
      </c>
      <c r="LE12" s="256">
        <f>'Daily Consumption'!LC32</f>
        <v/>
      </c>
      <c r="LF12" s="256">
        <f>'Daily Consumption'!LD32</f>
        <v/>
      </c>
      <c r="LG12" s="256">
        <f>'Daily Consumption'!LE32</f>
        <v/>
      </c>
      <c r="LH12" s="256">
        <f>'Daily Consumption'!LF32</f>
        <v/>
      </c>
      <c r="LI12" s="256">
        <f>'Daily Consumption'!LG32</f>
        <v/>
      </c>
      <c r="LJ12" s="256">
        <f>'Daily Consumption'!LH32</f>
        <v/>
      </c>
      <c r="LK12" s="256">
        <f>'Daily Consumption'!LI32</f>
        <v/>
      </c>
      <c r="LL12" s="256">
        <f>'Daily Consumption'!LJ32</f>
        <v/>
      </c>
      <c r="LM12" s="256">
        <f>'Daily Consumption'!LK32</f>
        <v/>
      </c>
      <c r="LN12" s="256">
        <f>'Daily Consumption'!LL32</f>
        <v/>
      </c>
      <c r="LO12" s="256">
        <f>'Daily Consumption'!LM32</f>
        <v/>
      </c>
      <c r="LP12" s="256">
        <f>'Daily Consumption'!LN32</f>
        <v/>
      </c>
      <c r="LQ12" s="256">
        <f>'Daily Consumption'!LO32</f>
        <v/>
      </c>
      <c r="LR12" s="256">
        <f>'Daily Consumption'!LP32</f>
        <v/>
      </c>
      <c r="LS12" s="256">
        <f>'Daily Consumption'!LQ32</f>
        <v/>
      </c>
      <c r="LT12" s="256">
        <f>'Daily Consumption'!LR32</f>
        <v/>
      </c>
      <c r="LU12" s="256">
        <f>'Daily Consumption'!LS32</f>
        <v/>
      </c>
      <c r="LV12" s="256">
        <f>'Daily Consumption'!LT32</f>
        <v/>
      </c>
      <c r="LW12" s="256">
        <f>'Daily Consumption'!LU32</f>
        <v/>
      </c>
      <c r="LX12" s="256">
        <f>'Daily Consumption'!LV32</f>
        <v/>
      </c>
      <c r="LY12" s="256">
        <f>'Daily Consumption'!LW32</f>
        <v/>
      </c>
      <c r="LZ12" s="256">
        <f>'Daily Consumption'!LX32</f>
        <v/>
      </c>
      <c r="MA12" s="256">
        <f>'Daily Consumption'!LY32</f>
        <v/>
      </c>
      <c r="MB12" s="256">
        <f>'Daily Consumption'!LZ32</f>
        <v/>
      </c>
      <c r="MC12" s="256">
        <f>'Daily Consumption'!MA32</f>
        <v/>
      </c>
      <c r="MD12" s="256">
        <f>'Daily Consumption'!MB32</f>
        <v/>
      </c>
      <c r="ME12" s="256">
        <f>'Daily Consumption'!MC32</f>
        <v/>
      </c>
      <c r="MF12" s="256">
        <f>'Daily Consumption'!MD32</f>
        <v/>
      </c>
      <c r="MG12" s="256">
        <f>'Daily Consumption'!ME32</f>
        <v/>
      </c>
      <c r="MH12" s="256">
        <f>'Daily Consumption'!MF32</f>
        <v/>
      </c>
      <c r="MI12" s="256">
        <f>'Daily Consumption'!MG32</f>
        <v/>
      </c>
      <c r="MJ12" s="256">
        <f>'Daily Consumption'!MH32</f>
        <v/>
      </c>
      <c r="MK12" s="256">
        <f>'Daily Consumption'!MI32</f>
        <v/>
      </c>
      <c r="ML12" s="256">
        <f>'Daily Consumption'!MJ32</f>
        <v/>
      </c>
      <c r="MM12" s="256">
        <f>'Daily Consumption'!MK32</f>
        <v/>
      </c>
      <c r="MN12" s="256">
        <f>'Daily Consumption'!ML32</f>
        <v/>
      </c>
      <c r="MO12" s="256">
        <f>'Daily Consumption'!MM32</f>
        <v/>
      </c>
      <c r="MP12" s="256">
        <f>'Daily Consumption'!MN32</f>
        <v/>
      </c>
      <c r="MQ12" s="256">
        <f>'Daily Consumption'!MO32</f>
        <v/>
      </c>
      <c r="MR12" s="256">
        <f>'Daily Consumption'!MP32</f>
        <v/>
      </c>
      <c r="MS12" s="256">
        <f>'Daily Consumption'!MQ32</f>
        <v/>
      </c>
      <c r="MT12" s="256">
        <f>'Daily Consumption'!MR32</f>
        <v/>
      </c>
      <c r="MU12" s="256">
        <f>'Daily Consumption'!MS32</f>
        <v/>
      </c>
      <c r="MV12" s="256">
        <f>'Daily Consumption'!MT32</f>
        <v/>
      </c>
      <c r="MW12" s="256">
        <f>'Daily Consumption'!MU32</f>
        <v/>
      </c>
      <c r="MX12" s="256">
        <f>'Daily Consumption'!MV32</f>
        <v/>
      </c>
      <c r="MY12" s="256">
        <f>'Daily Consumption'!MW32</f>
        <v/>
      </c>
      <c r="MZ12" s="256">
        <f>'Daily Consumption'!MX32</f>
        <v/>
      </c>
      <c r="NA12" s="256">
        <f>'Daily Consumption'!MY32</f>
        <v/>
      </c>
      <c r="NB12" s="256">
        <f>'Daily Consumption'!MZ32</f>
        <v/>
      </c>
      <c r="NC12" s="256">
        <f>'Daily Consumption'!NA32</f>
        <v/>
      </c>
      <c r="ND12" s="256">
        <f>'Daily Consumption'!NB32</f>
        <v/>
      </c>
      <c r="NE12" s="256">
        <f>'Daily Consumption'!NE32</f>
        <v/>
      </c>
    </row>
    <row r="13" ht="15" customHeight="1" s="166">
      <c r="A13" s="249" t="inlineStr">
        <is>
          <t>Daily Consumption N-1</t>
        </is>
      </c>
      <c r="B13" s="245" t="n"/>
      <c r="C13" s="250" t="inlineStr">
        <is>
          <t>m³</t>
        </is>
      </c>
      <c r="D13" s="256" t="n"/>
      <c r="E13" s="255">
        <f>'Daily Consumption'!B32</f>
        <v/>
      </c>
      <c r="F13" s="256">
        <f>'Daily Consumption'!C32</f>
        <v/>
      </c>
      <c r="G13" s="256">
        <f>'Daily Consumption'!D32</f>
        <v/>
      </c>
      <c r="H13" s="256">
        <f>'Daily Consumption'!E32</f>
        <v/>
      </c>
      <c r="I13" s="256">
        <f>'Daily Consumption'!F32</f>
        <v/>
      </c>
      <c r="J13" s="256">
        <f>'Daily Consumption'!G32</f>
        <v/>
      </c>
      <c r="K13" s="256">
        <f>'Daily Consumption'!H32</f>
        <v/>
      </c>
      <c r="L13" s="256">
        <f>'Daily Consumption'!I32</f>
        <v/>
      </c>
      <c r="M13" s="256">
        <f>'Daily Consumption'!J32</f>
        <v/>
      </c>
      <c r="N13" s="256">
        <f>'Daily Consumption'!K32</f>
        <v/>
      </c>
      <c r="O13" s="256">
        <f>'Daily Consumption'!L32</f>
        <v/>
      </c>
      <c r="P13" s="256">
        <f>'Daily Consumption'!M32</f>
        <v/>
      </c>
      <c r="Q13" s="256">
        <f>'Daily Consumption'!N32</f>
        <v/>
      </c>
      <c r="R13" s="256">
        <f>'Daily Consumption'!O32</f>
        <v/>
      </c>
      <c r="S13" s="256">
        <f>'Daily Consumption'!P32</f>
        <v/>
      </c>
      <c r="T13" s="256">
        <f>'Daily Consumption'!Q32</f>
        <v/>
      </c>
      <c r="U13" s="256">
        <f>'Daily Consumption'!R32</f>
        <v/>
      </c>
      <c r="V13" s="256">
        <f>'Daily Consumption'!S32</f>
        <v/>
      </c>
      <c r="W13" s="256">
        <f>'Daily Consumption'!T32</f>
        <v/>
      </c>
      <c r="X13" s="256">
        <f>'Daily Consumption'!U32</f>
        <v/>
      </c>
      <c r="Y13" s="256">
        <f>'Daily Consumption'!V32</f>
        <v/>
      </c>
      <c r="Z13" s="256">
        <f>'Daily Consumption'!W32</f>
        <v/>
      </c>
      <c r="AA13" s="256">
        <f>'Daily Consumption'!X32</f>
        <v/>
      </c>
      <c r="AB13" s="256">
        <f>'Daily Consumption'!Y32</f>
        <v/>
      </c>
      <c r="AC13" s="256">
        <f>'Daily Consumption'!Z32</f>
        <v/>
      </c>
      <c r="AD13" s="256">
        <f>'Daily Consumption'!AA32</f>
        <v/>
      </c>
      <c r="AE13" s="256">
        <f>'Daily Consumption'!AB32</f>
        <v/>
      </c>
      <c r="AF13" s="256">
        <f>'Daily Consumption'!AC32</f>
        <v/>
      </c>
      <c r="AG13" s="256">
        <f>'Daily Consumption'!AD32</f>
        <v/>
      </c>
      <c r="AH13" s="256">
        <f>'Daily Consumption'!AE32</f>
        <v/>
      </c>
      <c r="AI13" s="256">
        <f>'Daily Consumption'!AF32</f>
        <v/>
      </c>
      <c r="AJ13" s="256">
        <f>'Daily Consumption'!AG32</f>
        <v/>
      </c>
      <c r="AK13" s="256">
        <f>'Daily Consumption'!AH32</f>
        <v/>
      </c>
      <c r="AL13" s="256">
        <f>'Daily Consumption'!AI32</f>
        <v/>
      </c>
      <c r="AM13" s="256">
        <f>'Daily Consumption'!AJ32</f>
        <v/>
      </c>
      <c r="AN13" s="256">
        <f>'Daily Consumption'!AK32</f>
        <v/>
      </c>
      <c r="AO13" s="256">
        <f>'Daily Consumption'!AL32</f>
        <v/>
      </c>
      <c r="AP13" s="256">
        <f>'Daily Consumption'!AM32</f>
        <v/>
      </c>
      <c r="AQ13" s="256">
        <f>'Daily Consumption'!AN32</f>
        <v/>
      </c>
      <c r="AR13" s="256">
        <f>'Daily Consumption'!AO32</f>
        <v/>
      </c>
      <c r="AS13" s="256">
        <f>'Daily Consumption'!AP32</f>
        <v/>
      </c>
      <c r="AT13" s="256">
        <f>'Daily Consumption'!AQ32</f>
        <v/>
      </c>
      <c r="AU13" s="256">
        <f>'Daily Consumption'!AR32</f>
        <v/>
      </c>
      <c r="AV13" s="256">
        <f>'Daily Consumption'!AS32</f>
        <v/>
      </c>
      <c r="AW13" s="256">
        <f>'Daily Consumption'!AT32</f>
        <v/>
      </c>
      <c r="AX13" s="256">
        <f>'Daily Consumption'!AU32</f>
        <v/>
      </c>
      <c r="AY13" s="256">
        <f>'Daily Consumption'!AV32</f>
        <v/>
      </c>
      <c r="AZ13" s="256">
        <f>'Daily Consumption'!AW32</f>
        <v/>
      </c>
      <c r="BA13" s="256">
        <f>'Daily Consumption'!AX32</f>
        <v/>
      </c>
      <c r="BB13" s="256">
        <f>'Daily Consumption'!AY32</f>
        <v/>
      </c>
      <c r="BC13" s="256">
        <f>'Daily Consumption'!AZ32</f>
        <v/>
      </c>
      <c r="BD13" s="256">
        <f>'Daily Consumption'!BA32</f>
        <v/>
      </c>
      <c r="BE13" s="256">
        <f>'Daily Consumption'!BB32</f>
        <v/>
      </c>
      <c r="BF13" s="256">
        <f>'Daily Consumption'!BC32</f>
        <v/>
      </c>
      <c r="BG13" s="256">
        <f>'Daily Consumption'!BD32</f>
        <v/>
      </c>
      <c r="BH13" s="256">
        <f>'Daily Consumption'!BE32</f>
        <v/>
      </c>
      <c r="BI13" s="256">
        <f>'Daily Consumption'!BF32</f>
        <v/>
      </c>
      <c r="BJ13" s="256">
        <f>'Daily Consumption'!BG32</f>
        <v/>
      </c>
      <c r="BK13" s="256">
        <f>'Daily Consumption'!BH32</f>
        <v/>
      </c>
      <c r="BL13" s="256">
        <f>'Daily Consumption'!BI32</f>
        <v/>
      </c>
      <c r="BM13" s="256">
        <f>'Daily Consumption'!BJ32</f>
        <v/>
      </c>
      <c r="BN13" s="256">
        <f>'Daily Consumption'!BK32</f>
        <v/>
      </c>
      <c r="BO13" s="256">
        <f>'Daily Consumption'!BL32</f>
        <v/>
      </c>
      <c r="BP13" s="256">
        <f>'Daily Consumption'!BM32</f>
        <v/>
      </c>
      <c r="BQ13" s="256">
        <f>'Daily Consumption'!BN32</f>
        <v/>
      </c>
      <c r="BR13" s="256">
        <f>'Daily Consumption'!BO32</f>
        <v/>
      </c>
      <c r="BS13" s="256">
        <f>'Daily Consumption'!BP32</f>
        <v/>
      </c>
      <c r="BT13" s="256">
        <f>'Daily Consumption'!BQ32</f>
        <v/>
      </c>
      <c r="BU13" s="256">
        <f>'Daily Consumption'!BR32</f>
        <v/>
      </c>
      <c r="BV13" s="256">
        <f>'Daily Consumption'!BS32</f>
        <v/>
      </c>
      <c r="BW13" s="256">
        <f>'Daily Consumption'!BT32</f>
        <v/>
      </c>
      <c r="BX13" s="256">
        <f>'Daily Consumption'!BU32</f>
        <v/>
      </c>
      <c r="BY13" s="256">
        <f>'Daily Consumption'!BV32</f>
        <v/>
      </c>
      <c r="BZ13" s="256">
        <f>'Daily Consumption'!BW32</f>
        <v/>
      </c>
      <c r="CA13" s="256">
        <f>'Daily Consumption'!BX32</f>
        <v/>
      </c>
      <c r="CB13" s="256">
        <f>'Daily Consumption'!BY32</f>
        <v/>
      </c>
      <c r="CC13" s="256">
        <f>'Daily Consumption'!BZ32</f>
        <v/>
      </c>
      <c r="CD13" s="256">
        <f>'Daily Consumption'!CA32</f>
        <v/>
      </c>
      <c r="CE13" s="256">
        <f>'Daily Consumption'!CB32</f>
        <v/>
      </c>
      <c r="CF13" s="256">
        <f>'Daily Consumption'!CC32</f>
        <v/>
      </c>
      <c r="CG13" s="256">
        <f>'Daily Consumption'!CD32</f>
        <v/>
      </c>
      <c r="CH13" s="256">
        <f>'Daily Consumption'!CE32</f>
        <v/>
      </c>
      <c r="CI13" s="256">
        <f>'Daily Consumption'!CF32</f>
        <v/>
      </c>
      <c r="CJ13" s="256">
        <f>'Daily Consumption'!CG32</f>
        <v/>
      </c>
      <c r="CK13" s="256">
        <f>'Daily Consumption'!CH32</f>
        <v/>
      </c>
      <c r="CL13" s="256">
        <f>'Daily Consumption'!CI32</f>
        <v/>
      </c>
      <c r="CM13" s="256">
        <f>'Daily Consumption'!CJ32</f>
        <v/>
      </c>
      <c r="CN13" s="256">
        <f>'Daily Consumption'!CK32</f>
        <v/>
      </c>
      <c r="CO13" s="256">
        <f>'Daily Consumption'!CL32</f>
        <v/>
      </c>
      <c r="CP13" s="256">
        <f>'Daily Consumption'!CM32</f>
        <v/>
      </c>
      <c r="CQ13" s="256">
        <f>'Daily Consumption'!CN32</f>
        <v/>
      </c>
      <c r="CR13" s="256">
        <f>'Daily Consumption'!CO32</f>
        <v/>
      </c>
      <c r="CS13" s="256">
        <f>'Daily Consumption'!CP32</f>
        <v/>
      </c>
      <c r="CT13" s="256">
        <f>'Daily Consumption'!CQ32</f>
        <v/>
      </c>
      <c r="CU13" s="256">
        <f>'Daily Consumption'!CR32</f>
        <v/>
      </c>
      <c r="CV13" s="256">
        <f>'Daily Consumption'!CS32</f>
        <v/>
      </c>
      <c r="CW13" s="256">
        <f>'Daily Consumption'!CT32</f>
        <v/>
      </c>
      <c r="CX13" s="256">
        <f>'Daily Consumption'!CU32</f>
        <v/>
      </c>
      <c r="CY13" s="256">
        <f>'Daily Consumption'!CV32</f>
        <v/>
      </c>
      <c r="CZ13" s="256">
        <f>'Daily Consumption'!CW32</f>
        <v/>
      </c>
      <c r="DA13" s="256">
        <f>'Daily Consumption'!CX32</f>
        <v/>
      </c>
      <c r="DB13" s="256">
        <f>'Daily Consumption'!CY32</f>
        <v/>
      </c>
      <c r="DC13" s="256">
        <f>'Daily Consumption'!CZ32</f>
        <v/>
      </c>
      <c r="DD13" s="256">
        <f>'Daily Consumption'!DA32</f>
        <v/>
      </c>
      <c r="DE13" s="256">
        <f>'Daily Consumption'!DB32</f>
        <v/>
      </c>
      <c r="DF13" s="256">
        <f>'Daily Consumption'!DC32</f>
        <v/>
      </c>
      <c r="DG13" s="256">
        <f>'Daily Consumption'!DD32</f>
        <v/>
      </c>
      <c r="DH13" s="256">
        <f>'Daily Consumption'!DE32</f>
        <v/>
      </c>
      <c r="DI13" s="256">
        <f>'Daily Consumption'!DF32</f>
        <v/>
      </c>
      <c r="DJ13" s="256">
        <f>'Daily Consumption'!DG32</f>
        <v/>
      </c>
      <c r="DK13" s="256">
        <f>'Daily Consumption'!DH32</f>
        <v/>
      </c>
      <c r="DL13" s="256">
        <f>'Daily Consumption'!DI32</f>
        <v/>
      </c>
      <c r="DM13" s="256">
        <f>'Daily Consumption'!DJ32</f>
        <v/>
      </c>
      <c r="DN13" s="256">
        <f>'Daily Consumption'!DK32</f>
        <v/>
      </c>
      <c r="DO13" s="256">
        <f>'Daily Consumption'!DL32</f>
        <v/>
      </c>
      <c r="DP13" s="256">
        <f>'Daily Consumption'!DM32</f>
        <v/>
      </c>
      <c r="DQ13" s="256">
        <f>'Daily Consumption'!DN32</f>
        <v/>
      </c>
      <c r="DR13" s="256">
        <f>'Daily Consumption'!DO32</f>
        <v/>
      </c>
      <c r="DS13" s="256">
        <f>'Daily Consumption'!DP32</f>
        <v/>
      </c>
      <c r="DT13" s="256">
        <f>'Daily Consumption'!DQ32</f>
        <v/>
      </c>
      <c r="DU13" s="256">
        <f>'Daily Consumption'!DR32</f>
        <v/>
      </c>
      <c r="DV13" s="256">
        <f>'Daily Consumption'!DS32</f>
        <v/>
      </c>
      <c r="DW13" s="256">
        <f>'Daily Consumption'!DT32</f>
        <v/>
      </c>
      <c r="DX13" s="256">
        <f>'Daily Consumption'!DU32</f>
        <v/>
      </c>
      <c r="DY13" s="256">
        <f>'Daily Consumption'!DV32</f>
        <v/>
      </c>
      <c r="DZ13" s="256">
        <f>'Daily Consumption'!DW32</f>
        <v/>
      </c>
      <c r="EA13" s="256">
        <f>'Daily Consumption'!DX32</f>
        <v/>
      </c>
      <c r="EB13" s="256">
        <f>'Daily Consumption'!DY32</f>
        <v/>
      </c>
      <c r="EC13" s="256">
        <f>'Daily Consumption'!DZ32</f>
        <v/>
      </c>
      <c r="ED13" s="256">
        <f>'Daily Consumption'!EA32</f>
        <v/>
      </c>
      <c r="EE13" s="256">
        <f>'Daily Consumption'!EB32</f>
        <v/>
      </c>
      <c r="EF13" s="256">
        <f>'Daily Consumption'!EC32</f>
        <v/>
      </c>
      <c r="EG13" s="256">
        <f>'Daily Consumption'!ED32</f>
        <v/>
      </c>
      <c r="EH13" s="256">
        <f>'Daily Consumption'!EE32</f>
        <v/>
      </c>
      <c r="EI13" s="256">
        <f>'Daily Consumption'!EF32</f>
        <v/>
      </c>
      <c r="EJ13" s="256">
        <f>'Daily Consumption'!EG32</f>
        <v/>
      </c>
      <c r="EK13" s="256">
        <f>'Daily Consumption'!EH32</f>
        <v/>
      </c>
      <c r="EL13" s="256">
        <f>'Daily Consumption'!EI32</f>
        <v/>
      </c>
      <c r="EM13" s="256">
        <f>'Daily Consumption'!EJ32</f>
        <v/>
      </c>
      <c r="EN13" s="256">
        <f>'Daily Consumption'!EK32</f>
        <v/>
      </c>
      <c r="EO13" s="256">
        <f>'Daily Consumption'!EL32</f>
        <v/>
      </c>
      <c r="EP13" s="256">
        <f>'Daily Consumption'!EM32</f>
        <v/>
      </c>
      <c r="EQ13" s="256">
        <f>'Daily Consumption'!EN32</f>
        <v/>
      </c>
      <c r="ER13" s="256">
        <f>'Daily Consumption'!EO32</f>
        <v/>
      </c>
      <c r="ES13" s="256">
        <f>'Daily Consumption'!EP32</f>
        <v/>
      </c>
      <c r="ET13" s="256">
        <f>'Daily Consumption'!EQ32</f>
        <v/>
      </c>
      <c r="EU13" s="256">
        <f>'Daily Consumption'!ER32</f>
        <v/>
      </c>
      <c r="EV13" s="256">
        <f>'Daily Consumption'!ES32</f>
        <v/>
      </c>
      <c r="EW13" s="256">
        <f>'Daily Consumption'!ET32</f>
        <v/>
      </c>
      <c r="EX13" s="256">
        <f>'Daily Consumption'!EU32</f>
        <v/>
      </c>
      <c r="EY13" s="256">
        <f>'Daily Consumption'!EV32</f>
        <v/>
      </c>
      <c r="EZ13" s="256">
        <f>'Daily Consumption'!EW32</f>
        <v/>
      </c>
      <c r="FA13" s="256">
        <f>'Daily Consumption'!EX32</f>
        <v/>
      </c>
      <c r="FB13" s="256">
        <f>'Daily Consumption'!EY32</f>
        <v/>
      </c>
      <c r="FC13" s="256">
        <f>'Daily Consumption'!EZ32</f>
        <v/>
      </c>
      <c r="FD13" s="256">
        <f>'Daily Consumption'!FA32</f>
        <v/>
      </c>
      <c r="FE13" s="256">
        <f>'Daily Consumption'!FB32</f>
        <v/>
      </c>
      <c r="FF13" s="256">
        <f>'Daily Consumption'!FC32</f>
        <v/>
      </c>
      <c r="FG13" s="256">
        <f>'Daily Consumption'!FD32</f>
        <v/>
      </c>
      <c r="FH13" s="256">
        <f>'Daily Consumption'!FE32</f>
        <v/>
      </c>
      <c r="FI13" s="256">
        <f>'Daily Consumption'!FF32</f>
        <v/>
      </c>
      <c r="FJ13" s="256">
        <f>'Daily Consumption'!FG32</f>
        <v/>
      </c>
      <c r="FK13" s="256">
        <f>'Daily Consumption'!FH32</f>
        <v/>
      </c>
      <c r="FL13" s="256">
        <f>'Daily Consumption'!FI32</f>
        <v/>
      </c>
      <c r="FM13" s="256">
        <f>'Daily Consumption'!FJ32</f>
        <v/>
      </c>
      <c r="FN13" s="256">
        <f>'Daily Consumption'!FK32</f>
        <v/>
      </c>
      <c r="FO13" s="256">
        <f>'Daily Consumption'!FL32</f>
        <v/>
      </c>
      <c r="FP13" s="256">
        <f>'Daily Consumption'!FM32</f>
        <v/>
      </c>
      <c r="FQ13" s="256">
        <f>'Daily Consumption'!FN32</f>
        <v/>
      </c>
      <c r="FR13" s="256">
        <f>'Daily Consumption'!FO32</f>
        <v/>
      </c>
      <c r="FS13" s="256">
        <f>'Daily Consumption'!FP32</f>
        <v/>
      </c>
      <c r="FT13" s="256">
        <f>'Daily Consumption'!FQ32</f>
        <v/>
      </c>
      <c r="FU13" s="256">
        <f>'Daily Consumption'!FR32</f>
        <v/>
      </c>
      <c r="FV13" s="256">
        <f>'Daily Consumption'!FS32</f>
        <v/>
      </c>
      <c r="FW13" s="256">
        <f>'Daily Consumption'!FT32</f>
        <v/>
      </c>
      <c r="FX13" s="256">
        <f>'Daily Consumption'!FU32</f>
        <v/>
      </c>
      <c r="FY13" s="256">
        <f>'Daily Consumption'!FV32</f>
        <v/>
      </c>
      <c r="FZ13" s="256">
        <f>'Daily Consumption'!FW32</f>
        <v/>
      </c>
      <c r="GA13" s="256">
        <f>'Daily Consumption'!FX32</f>
        <v/>
      </c>
      <c r="GB13" s="256">
        <f>'Daily Consumption'!FY32</f>
        <v/>
      </c>
      <c r="GC13" s="256">
        <f>'Daily Consumption'!FZ32</f>
        <v/>
      </c>
      <c r="GD13" s="256">
        <f>'Daily Consumption'!GA32</f>
        <v/>
      </c>
      <c r="GE13" s="256">
        <f>'Daily Consumption'!GB32</f>
        <v/>
      </c>
      <c r="GF13" s="256">
        <f>'Daily Consumption'!GC32</f>
        <v/>
      </c>
      <c r="GG13" s="256">
        <f>'Daily Consumption'!GD32</f>
        <v/>
      </c>
      <c r="GH13" s="256">
        <f>'Daily Consumption'!GE32</f>
        <v/>
      </c>
      <c r="GI13" s="256">
        <f>'Daily Consumption'!GF32</f>
        <v/>
      </c>
      <c r="GJ13" s="256">
        <f>'Daily Consumption'!GG32</f>
        <v/>
      </c>
      <c r="GK13" s="256">
        <f>'Daily Consumption'!GH32</f>
        <v/>
      </c>
      <c r="GL13" s="256">
        <f>'Daily Consumption'!GI32</f>
        <v/>
      </c>
      <c r="GM13" s="256">
        <f>'Daily Consumption'!GJ32</f>
        <v/>
      </c>
      <c r="GN13" s="256">
        <f>'Daily Consumption'!GK32</f>
        <v/>
      </c>
      <c r="GO13" s="256">
        <f>'Daily Consumption'!GL32</f>
        <v/>
      </c>
      <c r="GP13" s="256">
        <f>'Daily Consumption'!GM32</f>
        <v/>
      </c>
      <c r="GQ13" s="256">
        <f>'Daily Consumption'!GN32</f>
        <v/>
      </c>
      <c r="GR13" s="256">
        <f>'Daily Consumption'!GO32</f>
        <v/>
      </c>
      <c r="GS13" s="256">
        <f>'Daily Consumption'!GP32</f>
        <v/>
      </c>
      <c r="GT13" s="256">
        <f>'Daily Consumption'!GQ32</f>
        <v/>
      </c>
      <c r="GU13" s="256">
        <f>'Daily Consumption'!GR32</f>
        <v/>
      </c>
      <c r="GV13" s="256">
        <f>'Daily Consumption'!GS32</f>
        <v/>
      </c>
      <c r="GW13" s="256">
        <f>'Daily Consumption'!GT32</f>
        <v/>
      </c>
      <c r="GX13" s="256">
        <f>'Daily Consumption'!GU32</f>
        <v/>
      </c>
      <c r="GY13" s="256">
        <f>'Daily Consumption'!GV32</f>
        <v/>
      </c>
      <c r="GZ13" s="256">
        <f>'Daily Consumption'!GW32</f>
        <v/>
      </c>
      <c r="HA13" s="256">
        <f>'Daily Consumption'!GX32</f>
        <v/>
      </c>
      <c r="HB13" s="256">
        <f>'Daily Consumption'!GY32</f>
        <v/>
      </c>
      <c r="HC13" s="256">
        <f>'Daily Consumption'!GZ32</f>
        <v/>
      </c>
      <c r="HD13" s="256">
        <f>'Daily Consumption'!HA32</f>
        <v/>
      </c>
      <c r="HE13" s="256">
        <f>'Daily Consumption'!HB32</f>
        <v/>
      </c>
      <c r="HF13" s="256">
        <f>'Daily Consumption'!HC32</f>
        <v/>
      </c>
      <c r="HG13" s="256">
        <f>'Daily Consumption'!HD32</f>
        <v/>
      </c>
      <c r="HH13" s="256">
        <f>'Daily Consumption'!HE32</f>
        <v/>
      </c>
      <c r="HI13" s="256">
        <f>'Daily Consumption'!HF32</f>
        <v/>
      </c>
      <c r="HJ13" s="256">
        <f>'Daily Consumption'!HG32</f>
        <v/>
      </c>
      <c r="HK13" s="256">
        <f>'Daily Consumption'!HH32</f>
        <v/>
      </c>
      <c r="HL13" s="256">
        <f>'Daily Consumption'!HI32</f>
        <v/>
      </c>
      <c r="HM13" s="256">
        <f>'Daily Consumption'!HJ32</f>
        <v/>
      </c>
      <c r="HN13" s="256">
        <f>'Daily Consumption'!HK32</f>
        <v/>
      </c>
      <c r="HO13" s="256">
        <f>'Daily Consumption'!HL32</f>
        <v/>
      </c>
      <c r="HP13" s="256">
        <f>'Daily Consumption'!HM32</f>
        <v/>
      </c>
      <c r="HQ13" s="256">
        <f>'Daily Consumption'!HN32</f>
        <v/>
      </c>
      <c r="HR13" s="256">
        <f>'Daily Consumption'!HO32</f>
        <v/>
      </c>
      <c r="HS13" s="256">
        <f>'Daily Consumption'!HP32</f>
        <v/>
      </c>
      <c r="HT13" s="256">
        <f>'Daily Consumption'!HQ32</f>
        <v/>
      </c>
      <c r="HU13" s="256">
        <f>'Daily Consumption'!HR32</f>
        <v/>
      </c>
      <c r="HV13" s="256">
        <f>'Daily Consumption'!HS32</f>
        <v/>
      </c>
      <c r="HW13" s="256">
        <f>'Daily Consumption'!HT32</f>
        <v/>
      </c>
      <c r="HX13" s="256">
        <f>'Daily Consumption'!HU32</f>
        <v/>
      </c>
      <c r="HY13" s="256">
        <f>'Daily Consumption'!HV32</f>
        <v/>
      </c>
      <c r="HZ13" s="256">
        <f>'Daily Consumption'!HW32</f>
        <v/>
      </c>
      <c r="IA13" s="256">
        <f>'Daily Consumption'!HX32</f>
        <v/>
      </c>
      <c r="IB13" s="256">
        <f>'Daily Consumption'!HY32</f>
        <v/>
      </c>
      <c r="IC13" s="256">
        <f>'Daily Consumption'!HZ32</f>
        <v/>
      </c>
      <c r="ID13" s="256">
        <f>'Daily Consumption'!IA32</f>
        <v/>
      </c>
      <c r="IE13" s="256">
        <f>'Daily Consumption'!IB32</f>
        <v/>
      </c>
      <c r="IF13" s="256">
        <f>'Daily Consumption'!IC32</f>
        <v/>
      </c>
      <c r="IG13" s="256">
        <f>'Daily Consumption'!ID32</f>
        <v/>
      </c>
      <c r="IH13" s="256">
        <f>'Daily Consumption'!IE32</f>
        <v/>
      </c>
      <c r="II13" s="256">
        <f>'Daily Consumption'!IF32</f>
        <v/>
      </c>
      <c r="IJ13" s="256">
        <f>'Daily Consumption'!IG32</f>
        <v/>
      </c>
      <c r="IK13" s="256">
        <f>'Daily Consumption'!IH32</f>
        <v/>
      </c>
      <c r="IL13" s="256">
        <f>'Daily Consumption'!II32</f>
        <v/>
      </c>
      <c r="IM13" s="256">
        <f>'Daily Consumption'!IJ32</f>
        <v/>
      </c>
      <c r="IN13" s="256">
        <f>'Daily Consumption'!IK32</f>
        <v/>
      </c>
      <c r="IO13" s="256">
        <f>'Daily Consumption'!IL32</f>
        <v/>
      </c>
      <c r="IP13" s="256">
        <f>'Daily Consumption'!IM32</f>
        <v/>
      </c>
      <c r="IQ13" s="256">
        <f>'Daily Consumption'!IN32</f>
        <v/>
      </c>
      <c r="IR13" s="256">
        <f>'Daily Consumption'!IO32</f>
        <v/>
      </c>
      <c r="IS13" s="256">
        <f>'Daily Consumption'!IP32</f>
        <v/>
      </c>
      <c r="IT13" s="256">
        <f>'Daily Consumption'!IQ32</f>
        <v/>
      </c>
      <c r="IU13" s="256">
        <f>'Daily Consumption'!IR32</f>
        <v/>
      </c>
      <c r="IV13" s="256">
        <f>'Daily Consumption'!IS32</f>
        <v/>
      </c>
      <c r="IW13" s="256">
        <f>'Daily Consumption'!IT32</f>
        <v/>
      </c>
      <c r="IX13" s="256">
        <f>'Daily Consumption'!IU32</f>
        <v/>
      </c>
      <c r="IY13" s="256">
        <f>'Daily Consumption'!IV32</f>
        <v/>
      </c>
      <c r="IZ13" s="256">
        <f>'Daily Consumption'!IW32</f>
        <v/>
      </c>
      <c r="JA13" s="256">
        <f>'Daily Consumption'!IX32</f>
        <v/>
      </c>
      <c r="JB13" s="256">
        <f>'Daily Consumption'!IY32</f>
        <v/>
      </c>
      <c r="JC13" s="256">
        <f>'Daily Consumption'!IZ32</f>
        <v/>
      </c>
      <c r="JD13" s="256">
        <f>'Daily Consumption'!JA32</f>
        <v/>
      </c>
      <c r="JE13" s="256">
        <f>'Daily Consumption'!JB32</f>
        <v/>
      </c>
      <c r="JF13" s="256">
        <f>'Daily Consumption'!JC32</f>
        <v/>
      </c>
      <c r="JG13" s="256">
        <f>'Daily Consumption'!JD32</f>
        <v/>
      </c>
      <c r="JH13" s="256">
        <f>'Daily Consumption'!JE32</f>
        <v/>
      </c>
      <c r="JI13" s="256">
        <f>'Daily Consumption'!JF32</f>
        <v/>
      </c>
      <c r="JJ13" s="256">
        <f>'Daily Consumption'!JG32</f>
        <v/>
      </c>
      <c r="JK13" s="256">
        <f>'Daily Consumption'!JH32</f>
        <v/>
      </c>
      <c r="JL13" s="256">
        <f>'Daily Consumption'!JI32</f>
        <v/>
      </c>
      <c r="JM13" s="256">
        <f>'Daily Consumption'!JJ32</f>
        <v/>
      </c>
      <c r="JN13" s="256">
        <f>'Daily Consumption'!JK32</f>
        <v/>
      </c>
      <c r="JO13" s="256">
        <f>'Daily Consumption'!JL32</f>
        <v/>
      </c>
      <c r="JP13" s="256">
        <f>'Daily Consumption'!JM32</f>
        <v/>
      </c>
      <c r="JQ13" s="256">
        <f>'Daily Consumption'!JN32</f>
        <v/>
      </c>
      <c r="JR13" s="256">
        <f>'Daily Consumption'!JO32</f>
        <v/>
      </c>
      <c r="JS13" s="256">
        <f>'Daily Consumption'!JP32</f>
        <v/>
      </c>
      <c r="JT13" s="256">
        <f>'Daily Consumption'!JQ32</f>
        <v/>
      </c>
      <c r="JU13" s="256">
        <f>'Daily Consumption'!JR32</f>
        <v/>
      </c>
      <c r="JV13" s="256">
        <f>'Daily Consumption'!JS32</f>
        <v/>
      </c>
      <c r="JW13" s="256">
        <f>'Daily Consumption'!JT32</f>
        <v/>
      </c>
      <c r="JX13" s="256">
        <f>'Daily Consumption'!JU32</f>
        <v/>
      </c>
      <c r="JY13" s="256">
        <f>'Daily Consumption'!JV32</f>
        <v/>
      </c>
      <c r="JZ13" s="256">
        <f>'Daily Consumption'!JW32</f>
        <v/>
      </c>
      <c r="KA13" s="256">
        <f>'Daily Consumption'!JX32</f>
        <v/>
      </c>
      <c r="KB13" s="256">
        <f>'Daily Consumption'!JY32</f>
        <v/>
      </c>
      <c r="KC13" s="256">
        <f>'Daily Consumption'!JZ32</f>
        <v/>
      </c>
      <c r="KD13" s="256">
        <f>'Daily Consumption'!KA32</f>
        <v/>
      </c>
      <c r="KE13" s="256">
        <f>'Daily Consumption'!KB32</f>
        <v/>
      </c>
      <c r="KF13" s="256">
        <f>'Daily Consumption'!KC32</f>
        <v/>
      </c>
      <c r="KG13" s="256">
        <f>'Daily Consumption'!KD32</f>
        <v/>
      </c>
      <c r="KH13" s="256">
        <f>'Daily Consumption'!KE32</f>
        <v/>
      </c>
      <c r="KI13" s="256">
        <f>'Daily Consumption'!KF32</f>
        <v/>
      </c>
      <c r="KJ13" s="256">
        <f>'Daily Consumption'!KG32</f>
        <v/>
      </c>
      <c r="KK13" s="256">
        <f>'Daily Consumption'!KH32</f>
        <v/>
      </c>
      <c r="KL13" s="256">
        <f>'Daily Consumption'!KI32</f>
        <v/>
      </c>
      <c r="KM13" s="256">
        <f>'Daily Consumption'!KJ32</f>
        <v/>
      </c>
      <c r="KN13" s="256">
        <f>'Daily Consumption'!KK32</f>
        <v/>
      </c>
      <c r="KO13" s="256">
        <f>'Daily Consumption'!KL32</f>
        <v/>
      </c>
      <c r="KP13" s="256">
        <f>'Daily Consumption'!KM32</f>
        <v/>
      </c>
      <c r="KQ13" s="256">
        <f>'Daily Consumption'!KN32</f>
        <v/>
      </c>
      <c r="KR13" s="256">
        <f>'Daily Consumption'!KO32</f>
        <v/>
      </c>
      <c r="KS13" s="256">
        <f>'Daily Consumption'!KP32</f>
        <v/>
      </c>
      <c r="KT13" s="256">
        <f>'Daily Consumption'!KQ32</f>
        <v/>
      </c>
      <c r="KU13" s="256">
        <f>'Daily Consumption'!KR32</f>
        <v/>
      </c>
      <c r="KV13" s="256">
        <f>'Daily Consumption'!KS32</f>
        <v/>
      </c>
      <c r="KW13" s="256">
        <f>'Daily Consumption'!KT32</f>
        <v/>
      </c>
      <c r="KX13" s="256">
        <f>'Daily Consumption'!KU32</f>
        <v/>
      </c>
      <c r="KY13" s="256">
        <f>'Daily Consumption'!KV32</f>
        <v/>
      </c>
      <c r="KZ13" s="256">
        <f>'Daily Consumption'!KW32</f>
        <v/>
      </c>
      <c r="LA13" s="256">
        <f>'Daily Consumption'!KX32</f>
        <v/>
      </c>
      <c r="LB13" s="256">
        <f>'Daily Consumption'!KY32</f>
        <v/>
      </c>
      <c r="LC13" s="256">
        <f>'Daily Consumption'!KZ32</f>
        <v/>
      </c>
      <c r="LD13" s="256">
        <f>'Daily Consumption'!LA32</f>
        <v/>
      </c>
      <c r="LE13" s="256">
        <f>'Daily Consumption'!LB32</f>
        <v/>
      </c>
      <c r="LF13" s="256">
        <f>'Daily Consumption'!LC32</f>
        <v/>
      </c>
      <c r="LG13" s="256">
        <f>'Daily Consumption'!LD32</f>
        <v/>
      </c>
      <c r="LH13" s="256">
        <f>'Daily Consumption'!LE32</f>
        <v/>
      </c>
      <c r="LI13" s="256">
        <f>'Daily Consumption'!LF32</f>
        <v/>
      </c>
      <c r="LJ13" s="256">
        <f>'Daily Consumption'!LG32</f>
        <v/>
      </c>
      <c r="LK13" s="256">
        <f>'Daily Consumption'!LH32</f>
        <v/>
      </c>
      <c r="LL13" s="256">
        <f>'Daily Consumption'!LI32</f>
        <v/>
      </c>
      <c r="LM13" s="256">
        <f>'Daily Consumption'!LJ32</f>
        <v/>
      </c>
      <c r="LN13" s="256">
        <f>'Daily Consumption'!LK32</f>
        <v/>
      </c>
      <c r="LO13" s="256">
        <f>'Daily Consumption'!LL32</f>
        <v/>
      </c>
      <c r="LP13" s="256">
        <f>'Daily Consumption'!LM32</f>
        <v/>
      </c>
      <c r="LQ13" s="256">
        <f>'Daily Consumption'!LN32</f>
        <v/>
      </c>
      <c r="LR13" s="256">
        <f>'Daily Consumption'!LO32</f>
        <v/>
      </c>
      <c r="LS13" s="256">
        <f>'Daily Consumption'!LP32</f>
        <v/>
      </c>
      <c r="LT13" s="256">
        <f>'Daily Consumption'!LQ32</f>
        <v/>
      </c>
      <c r="LU13" s="256">
        <f>'Daily Consumption'!LR32</f>
        <v/>
      </c>
      <c r="LV13" s="256">
        <f>'Daily Consumption'!LS32</f>
        <v/>
      </c>
      <c r="LW13" s="256">
        <f>'Daily Consumption'!LT32</f>
        <v/>
      </c>
      <c r="LX13" s="256">
        <f>'Daily Consumption'!LU32</f>
        <v/>
      </c>
      <c r="LY13" s="256">
        <f>'Daily Consumption'!LV32</f>
        <v/>
      </c>
      <c r="LZ13" s="256">
        <f>'Daily Consumption'!LW32</f>
        <v/>
      </c>
      <c r="MA13" s="256">
        <f>'Daily Consumption'!LX32</f>
        <v/>
      </c>
      <c r="MB13" s="256">
        <f>'Daily Consumption'!LY32</f>
        <v/>
      </c>
      <c r="MC13" s="256">
        <f>'Daily Consumption'!LZ32</f>
        <v/>
      </c>
      <c r="MD13" s="256">
        <f>'Daily Consumption'!MA32</f>
        <v/>
      </c>
      <c r="ME13" s="256">
        <f>'Daily Consumption'!MB32</f>
        <v/>
      </c>
      <c r="MF13" s="256">
        <f>'Daily Consumption'!MC32</f>
        <v/>
      </c>
      <c r="MG13" s="256">
        <f>'Daily Consumption'!MD32</f>
        <v/>
      </c>
      <c r="MH13" s="256">
        <f>'Daily Consumption'!ME32</f>
        <v/>
      </c>
      <c r="MI13" s="256">
        <f>'Daily Consumption'!MF32</f>
        <v/>
      </c>
      <c r="MJ13" s="256">
        <f>'Daily Consumption'!MG32</f>
        <v/>
      </c>
      <c r="MK13" s="256">
        <f>'Daily Consumption'!MH32</f>
        <v/>
      </c>
      <c r="ML13" s="256">
        <f>'Daily Consumption'!MI32</f>
        <v/>
      </c>
      <c r="MM13" s="256">
        <f>'Daily Consumption'!MJ32</f>
        <v/>
      </c>
      <c r="MN13" s="256">
        <f>'Daily Consumption'!MK32</f>
        <v/>
      </c>
      <c r="MO13" s="256">
        <f>'Daily Consumption'!ML32</f>
        <v/>
      </c>
      <c r="MP13" s="256">
        <f>'Daily Consumption'!MM32</f>
        <v/>
      </c>
      <c r="MQ13" s="256">
        <f>'Daily Consumption'!MN32</f>
        <v/>
      </c>
      <c r="MR13" s="256">
        <f>'Daily Consumption'!MO32</f>
        <v/>
      </c>
      <c r="MS13" s="256">
        <f>'Daily Consumption'!MP32</f>
        <v/>
      </c>
      <c r="MT13" s="256">
        <f>'Daily Consumption'!MQ32</f>
        <v/>
      </c>
      <c r="MU13" s="256">
        <f>'Daily Consumption'!MR32</f>
        <v/>
      </c>
      <c r="MV13" s="256">
        <f>'Daily Consumption'!MS32</f>
        <v/>
      </c>
      <c r="MW13" s="256">
        <f>'Daily Consumption'!MT32</f>
        <v/>
      </c>
      <c r="MX13" s="256">
        <f>'Daily Consumption'!MU32</f>
        <v/>
      </c>
      <c r="MY13" s="256">
        <f>'Daily Consumption'!MV32</f>
        <v/>
      </c>
      <c r="MZ13" s="256">
        <f>'Daily Consumption'!MW32</f>
        <v/>
      </c>
      <c r="NA13" s="256">
        <f>'Daily Consumption'!MX32</f>
        <v/>
      </c>
      <c r="NB13" s="256">
        <f>'Daily Consumption'!MY32</f>
        <v/>
      </c>
      <c r="NC13" s="256">
        <f>'Daily Consumption'!MZ32</f>
        <v/>
      </c>
      <c r="ND13" s="256">
        <f>'Daily Consumption'!NA32</f>
        <v/>
      </c>
      <c r="NE13" s="256">
        <f>'Daily Consumption'!ND32</f>
        <v/>
      </c>
    </row>
    <row r="14" ht="15.75" customHeight="1" s="166">
      <c r="A14" s="257" t="inlineStr">
        <is>
          <t>GAS CONSUMPTION</t>
        </is>
      </c>
      <c r="B14" s="244" t="n"/>
      <c r="C14" s="245" t="n"/>
      <c r="D14" s="254" t="inlineStr">
        <is>
          <t xml:space="preserve"> </t>
        </is>
      </c>
      <c r="E14" s="254" t="inlineStr">
        <is>
          <t xml:space="preserve"> </t>
        </is>
      </c>
      <c r="F14" s="254" t="inlineStr">
        <is>
          <t xml:space="preserve"> </t>
        </is>
      </c>
      <c r="G14" s="254" t="inlineStr">
        <is>
          <t xml:space="preserve"> </t>
        </is>
      </c>
      <c r="H14" s="254" t="inlineStr">
        <is>
          <t xml:space="preserve"> </t>
        </is>
      </c>
      <c r="I14" s="254" t="inlineStr">
        <is>
          <t xml:space="preserve"> </t>
        </is>
      </c>
      <c r="J14" s="254" t="inlineStr">
        <is>
          <t xml:space="preserve"> </t>
        </is>
      </c>
      <c r="K14" s="254" t="inlineStr">
        <is>
          <t xml:space="preserve"> </t>
        </is>
      </c>
      <c r="L14" s="254" t="inlineStr">
        <is>
          <t xml:space="preserve"> </t>
        </is>
      </c>
      <c r="M14" s="254" t="inlineStr">
        <is>
          <t xml:space="preserve"> </t>
        </is>
      </c>
      <c r="N14" s="254" t="inlineStr">
        <is>
          <t xml:space="preserve"> </t>
        </is>
      </c>
      <c r="O14" s="254" t="inlineStr">
        <is>
          <t xml:space="preserve"> </t>
        </is>
      </c>
      <c r="P14" s="254" t="inlineStr">
        <is>
          <t xml:space="preserve"> </t>
        </is>
      </c>
      <c r="Q14" s="254" t="inlineStr">
        <is>
          <t xml:space="preserve"> </t>
        </is>
      </c>
      <c r="R14" s="254" t="inlineStr">
        <is>
          <t xml:space="preserve"> </t>
        </is>
      </c>
      <c r="S14" s="254" t="inlineStr">
        <is>
          <t xml:space="preserve"> </t>
        </is>
      </c>
      <c r="T14" s="254" t="inlineStr">
        <is>
          <t xml:space="preserve"> </t>
        </is>
      </c>
      <c r="U14" s="254" t="inlineStr">
        <is>
          <t xml:space="preserve"> </t>
        </is>
      </c>
      <c r="V14" s="254" t="inlineStr">
        <is>
          <t xml:space="preserve"> </t>
        </is>
      </c>
      <c r="W14" s="254" t="inlineStr">
        <is>
          <t xml:space="preserve"> </t>
        </is>
      </c>
      <c r="X14" s="254" t="inlineStr">
        <is>
          <t xml:space="preserve"> </t>
        </is>
      </c>
      <c r="Y14" s="254" t="inlineStr">
        <is>
          <t xml:space="preserve"> </t>
        </is>
      </c>
      <c r="Z14" s="254" t="inlineStr">
        <is>
          <t xml:space="preserve"> </t>
        </is>
      </c>
      <c r="AA14" s="254" t="inlineStr">
        <is>
          <t xml:space="preserve"> </t>
        </is>
      </c>
      <c r="AB14" s="254" t="inlineStr">
        <is>
          <t xml:space="preserve"> </t>
        </is>
      </c>
      <c r="AC14" s="254" t="inlineStr">
        <is>
          <t xml:space="preserve"> </t>
        </is>
      </c>
      <c r="AD14" s="254" t="inlineStr">
        <is>
          <t xml:space="preserve"> </t>
        </is>
      </c>
      <c r="AE14" s="254" t="inlineStr">
        <is>
          <t xml:space="preserve"> </t>
        </is>
      </c>
      <c r="AF14" s="254" t="inlineStr">
        <is>
          <t xml:space="preserve"> </t>
        </is>
      </c>
      <c r="AG14" s="254" t="inlineStr">
        <is>
          <t xml:space="preserve"> </t>
        </is>
      </c>
      <c r="AH14" s="254" t="inlineStr">
        <is>
          <t xml:space="preserve"> </t>
        </is>
      </c>
      <c r="AI14" s="254" t="inlineStr">
        <is>
          <t xml:space="preserve"> </t>
        </is>
      </c>
      <c r="AJ14" s="254" t="inlineStr">
        <is>
          <t xml:space="preserve"> </t>
        </is>
      </c>
      <c r="AK14" s="254" t="inlineStr">
        <is>
          <t xml:space="preserve"> </t>
        </is>
      </c>
      <c r="AL14" s="254" t="inlineStr">
        <is>
          <t xml:space="preserve"> </t>
        </is>
      </c>
      <c r="AM14" s="254" t="inlineStr">
        <is>
          <t xml:space="preserve"> </t>
        </is>
      </c>
      <c r="AN14" s="254" t="inlineStr">
        <is>
          <t xml:space="preserve"> </t>
        </is>
      </c>
      <c r="AO14" s="254" t="inlineStr">
        <is>
          <t xml:space="preserve"> </t>
        </is>
      </c>
      <c r="AP14" s="254" t="inlineStr">
        <is>
          <t xml:space="preserve"> </t>
        </is>
      </c>
      <c r="AQ14" s="254" t="inlineStr">
        <is>
          <t xml:space="preserve"> </t>
        </is>
      </c>
      <c r="AR14" s="254" t="inlineStr">
        <is>
          <t xml:space="preserve"> </t>
        </is>
      </c>
      <c r="AS14" s="254" t="inlineStr">
        <is>
          <t xml:space="preserve"> </t>
        </is>
      </c>
      <c r="AT14" s="254" t="inlineStr">
        <is>
          <t xml:space="preserve"> </t>
        </is>
      </c>
      <c r="AU14" s="254" t="inlineStr">
        <is>
          <t xml:space="preserve"> </t>
        </is>
      </c>
      <c r="AV14" s="254" t="inlineStr">
        <is>
          <t xml:space="preserve"> </t>
        </is>
      </c>
      <c r="AW14" s="254" t="inlineStr">
        <is>
          <t xml:space="preserve"> </t>
        </is>
      </c>
      <c r="AX14" s="254" t="inlineStr">
        <is>
          <t xml:space="preserve"> </t>
        </is>
      </c>
      <c r="AY14" s="254" t="inlineStr">
        <is>
          <t xml:space="preserve"> </t>
        </is>
      </c>
      <c r="AZ14" s="254" t="inlineStr">
        <is>
          <t xml:space="preserve"> </t>
        </is>
      </c>
      <c r="BA14" s="254" t="inlineStr">
        <is>
          <t xml:space="preserve"> </t>
        </is>
      </c>
      <c r="BB14" s="254" t="inlineStr">
        <is>
          <t xml:space="preserve"> </t>
        </is>
      </c>
      <c r="BC14" s="254" t="inlineStr">
        <is>
          <t xml:space="preserve"> </t>
        </is>
      </c>
      <c r="BD14" s="254" t="inlineStr">
        <is>
          <t xml:space="preserve"> </t>
        </is>
      </c>
      <c r="BE14" s="254" t="inlineStr">
        <is>
          <t xml:space="preserve"> </t>
        </is>
      </c>
      <c r="BF14" s="254" t="inlineStr">
        <is>
          <t xml:space="preserve"> </t>
        </is>
      </c>
      <c r="BG14" s="254" t="inlineStr">
        <is>
          <t xml:space="preserve"> </t>
        </is>
      </c>
      <c r="BH14" s="254" t="inlineStr">
        <is>
          <t xml:space="preserve"> </t>
        </is>
      </c>
      <c r="BI14" s="254" t="inlineStr">
        <is>
          <t xml:space="preserve"> </t>
        </is>
      </c>
      <c r="BJ14" s="254" t="inlineStr">
        <is>
          <t xml:space="preserve"> </t>
        </is>
      </c>
      <c r="BK14" s="254" t="inlineStr">
        <is>
          <t xml:space="preserve"> </t>
        </is>
      </c>
      <c r="BL14" s="254" t="inlineStr">
        <is>
          <t xml:space="preserve"> </t>
        </is>
      </c>
      <c r="BM14" s="254" t="inlineStr">
        <is>
          <t xml:space="preserve"> </t>
        </is>
      </c>
      <c r="BN14" s="254" t="inlineStr">
        <is>
          <t xml:space="preserve"> </t>
        </is>
      </c>
      <c r="BO14" s="254" t="inlineStr">
        <is>
          <t xml:space="preserve"> </t>
        </is>
      </c>
      <c r="BP14" s="254" t="inlineStr">
        <is>
          <t xml:space="preserve"> </t>
        </is>
      </c>
      <c r="BQ14" s="254" t="inlineStr">
        <is>
          <t xml:space="preserve"> </t>
        </is>
      </c>
      <c r="BR14" s="254" t="inlineStr">
        <is>
          <t xml:space="preserve"> </t>
        </is>
      </c>
      <c r="BS14" s="254" t="inlineStr">
        <is>
          <t xml:space="preserve"> </t>
        </is>
      </c>
      <c r="BT14" s="254" t="inlineStr">
        <is>
          <t xml:space="preserve"> </t>
        </is>
      </c>
      <c r="BU14" s="254" t="inlineStr">
        <is>
          <t xml:space="preserve"> </t>
        </is>
      </c>
      <c r="BV14" s="254" t="inlineStr">
        <is>
          <t xml:space="preserve"> </t>
        </is>
      </c>
      <c r="BW14" s="254" t="inlineStr">
        <is>
          <t xml:space="preserve"> </t>
        </is>
      </c>
      <c r="BX14" s="254" t="inlineStr">
        <is>
          <t xml:space="preserve"> </t>
        </is>
      </c>
      <c r="BY14" s="254" t="inlineStr">
        <is>
          <t xml:space="preserve"> </t>
        </is>
      </c>
      <c r="BZ14" s="254" t="inlineStr">
        <is>
          <t xml:space="preserve"> </t>
        </is>
      </c>
      <c r="CA14" s="254" t="inlineStr">
        <is>
          <t xml:space="preserve"> </t>
        </is>
      </c>
      <c r="CB14" s="254" t="inlineStr">
        <is>
          <t xml:space="preserve"> </t>
        </is>
      </c>
      <c r="CC14" s="254" t="inlineStr">
        <is>
          <t xml:space="preserve"> </t>
        </is>
      </c>
      <c r="CD14" s="254" t="inlineStr">
        <is>
          <t xml:space="preserve"> </t>
        </is>
      </c>
      <c r="CE14" s="254" t="inlineStr">
        <is>
          <t xml:space="preserve"> </t>
        </is>
      </c>
      <c r="CF14" s="254" t="inlineStr">
        <is>
          <t xml:space="preserve"> </t>
        </is>
      </c>
      <c r="CG14" s="254" t="inlineStr">
        <is>
          <t xml:space="preserve"> </t>
        </is>
      </c>
      <c r="CH14" s="254" t="inlineStr">
        <is>
          <t xml:space="preserve"> </t>
        </is>
      </c>
      <c r="CI14" s="254" t="inlineStr">
        <is>
          <t xml:space="preserve"> </t>
        </is>
      </c>
      <c r="CJ14" s="254" t="inlineStr">
        <is>
          <t xml:space="preserve"> </t>
        </is>
      </c>
      <c r="CK14" s="254" t="inlineStr">
        <is>
          <t xml:space="preserve"> </t>
        </is>
      </c>
      <c r="CL14" s="254" t="inlineStr">
        <is>
          <t xml:space="preserve"> </t>
        </is>
      </c>
      <c r="CM14" s="254" t="inlineStr">
        <is>
          <t xml:space="preserve"> </t>
        </is>
      </c>
      <c r="CN14" s="254" t="inlineStr">
        <is>
          <t xml:space="preserve"> </t>
        </is>
      </c>
      <c r="CO14" s="254" t="inlineStr">
        <is>
          <t xml:space="preserve"> </t>
        </is>
      </c>
      <c r="CP14" s="254" t="inlineStr">
        <is>
          <t xml:space="preserve"> </t>
        </is>
      </c>
      <c r="CQ14" s="254" t="inlineStr">
        <is>
          <t xml:space="preserve"> </t>
        </is>
      </c>
      <c r="CR14" s="254" t="inlineStr">
        <is>
          <t xml:space="preserve"> </t>
        </is>
      </c>
      <c r="CS14" s="254" t="inlineStr">
        <is>
          <t xml:space="preserve"> </t>
        </is>
      </c>
      <c r="CT14" s="254" t="inlineStr">
        <is>
          <t xml:space="preserve"> </t>
        </is>
      </c>
      <c r="CU14" s="254" t="inlineStr">
        <is>
          <t xml:space="preserve"> </t>
        </is>
      </c>
      <c r="CV14" s="254" t="inlineStr">
        <is>
          <t xml:space="preserve"> </t>
        </is>
      </c>
      <c r="CW14" s="254" t="inlineStr">
        <is>
          <t xml:space="preserve"> </t>
        </is>
      </c>
      <c r="CX14" s="254" t="inlineStr">
        <is>
          <t xml:space="preserve"> </t>
        </is>
      </c>
      <c r="CY14" s="254" t="inlineStr">
        <is>
          <t xml:space="preserve"> </t>
        </is>
      </c>
      <c r="CZ14" s="254" t="inlineStr">
        <is>
          <t xml:space="preserve"> </t>
        </is>
      </c>
      <c r="DA14" s="254" t="inlineStr">
        <is>
          <t xml:space="preserve"> </t>
        </is>
      </c>
      <c r="DB14" s="254" t="inlineStr">
        <is>
          <t xml:space="preserve"> </t>
        </is>
      </c>
      <c r="DC14" s="254" t="inlineStr">
        <is>
          <t xml:space="preserve"> </t>
        </is>
      </c>
      <c r="DD14" s="254" t="inlineStr">
        <is>
          <t xml:space="preserve"> </t>
        </is>
      </c>
      <c r="DE14" s="254" t="inlineStr">
        <is>
          <t xml:space="preserve"> </t>
        </is>
      </c>
      <c r="DF14" s="254" t="inlineStr">
        <is>
          <t xml:space="preserve"> </t>
        </is>
      </c>
      <c r="DG14" s="254" t="inlineStr">
        <is>
          <t xml:space="preserve"> </t>
        </is>
      </c>
      <c r="DH14" s="254" t="inlineStr">
        <is>
          <t xml:space="preserve"> </t>
        </is>
      </c>
      <c r="DI14" s="254" t="inlineStr">
        <is>
          <t xml:space="preserve"> </t>
        </is>
      </c>
      <c r="DJ14" s="254" t="inlineStr">
        <is>
          <t xml:space="preserve"> </t>
        </is>
      </c>
      <c r="DK14" s="254" t="inlineStr">
        <is>
          <t xml:space="preserve"> </t>
        </is>
      </c>
      <c r="DL14" s="254" t="inlineStr">
        <is>
          <t xml:space="preserve"> </t>
        </is>
      </c>
      <c r="DM14" s="254" t="inlineStr">
        <is>
          <t xml:space="preserve"> </t>
        </is>
      </c>
      <c r="DN14" s="254" t="inlineStr">
        <is>
          <t xml:space="preserve"> </t>
        </is>
      </c>
      <c r="DO14" s="254" t="inlineStr">
        <is>
          <t xml:space="preserve"> </t>
        </is>
      </c>
      <c r="DP14" s="254" t="inlineStr">
        <is>
          <t xml:space="preserve"> </t>
        </is>
      </c>
      <c r="DQ14" s="254" t="inlineStr">
        <is>
          <t xml:space="preserve"> </t>
        </is>
      </c>
      <c r="DR14" s="254" t="inlineStr">
        <is>
          <t xml:space="preserve"> </t>
        </is>
      </c>
      <c r="DS14" s="254" t="inlineStr">
        <is>
          <t xml:space="preserve"> </t>
        </is>
      </c>
      <c r="DT14" s="254" t="inlineStr">
        <is>
          <t xml:space="preserve"> </t>
        </is>
      </c>
      <c r="DU14" s="254" t="inlineStr">
        <is>
          <t xml:space="preserve"> </t>
        </is>
      </c>
      <c r="DV14" s="254" t="inlineStr">
        <is>
          <t xml:space="preserve"> </t>
        </is>
      </c>
      <c r="DW14" s="254" t="inlineStr">
        <is>
          <t xml:space="preserve"> </t>
        </is>
      </c>
      <c r="DX14" s="254" t="inlineStr">
        <is>
          <t xml:space="preserve"> </t>
        </is>
      </c>
      <c r="DY14" s="254" t="inlineStr">
        <is>
          <t xml:space="preserve"> </t>
        </is>
      </c>
      <c r="DZ14" s="254" t="inlineStr">
        <is>
          <t xml:space="preserve"> </t>
        </is>
      </c>
      <c r="EA14" s="254" t="inlineStr">
        <is>
          <t xml:space="preserve"> </t>
        </is>
      </c>
      <c r="EB14" s="254" t="inlineStr">
        <is>
          <t xml:space="preserve"> </t>
        </is>
      </c>
      <c r="EC14" s="254" t="inlineStr">
        <is>
          <t xml:space="preserve"> </t>
        </is>
      </c>
      <c r="ED14" s="254" t="inlineStr">
        <is>
          <t xml:space="preserve"> </t>
        </is>
      </c>
      <c r="EE14" s="254" t="inlineStr">
        <is>
          <t xml:space="preserve"> </t>
        </is>
      </c>
      <c r="EF14" s="254" t="inlineStr">
        <is>
          <t xml:space="preserve"> </t>
        </is>
      </c>
      <c r="EG14" s="254" t="inlineStr">
        <is>
          <t xml:space="preserve"> </t>
        </is>
      </c>
      <c r="EH14" s="254" t="inlineStr">
        <is>
          <t xml:space="preserve"> </t>
        </is>
      </c>
      <c r="EI14" s="254" t="inlineStr">
        <is>
          <t xml:space="preserve"> </t>
        </is>
      </c>
      <c r="EJ14" s="254" t="inlineStr">
        <is>
          <t xml:space="preserve"> </t>
        </is>
      </c>
      <c r="EK14" s="254" t="inlineStr">
        <is>
          <t xml:space="preserve"> </t>
        </is>
      </c>
      <c r="EL14" s="254" t="inlineStr">
        <is>
          <t xml:space="preserve"> </t>
        </is>
      </c>
      <c r="EM14" s="254" t="inlineStr">
        <is>
          <t xml:space="preserve"> </t>
        </is>
      </c>
      <c r="EN14" s="254" t="inlineStr">
        <is>
          <t xml:space="preserve"> </t>
        </is>
      </c>
      <c r="EO14" s="254" t="inlineStr">
        <is>
          <t xml:space="preserve"> </t>
        </is>
      </c>
      <c r="EP14" s="254" t="inlineStr">
        <is>
          <t xml:space="preserve"> </t>
        </is>
      </c>
      <c r="EQ14" s="254" t="inlineStr">
        <is>
          <t xml:space="preserve"> </t>
        </is>
      </c>
      <c r="ER14" s="254" t="inlineStr">
        <is>
          <t xml:space="preserve"> </t>
        </is>
      </c>
      <c r="ES14" s="254" t="inlineStr">
        <is>
          <t xml:space="preserve"> </t>
        </is>
      </c>
      <c r="ET14" s="254" t="inlineStr">
        <is>
          <t xml:space="preserve"> </t>
        </is>
      </c>
      <c r="EU14" s="254" t="inlineStr">
        <is>
          <t xml:space="preserve"> </t>
        </is>
      </c>
      <c r="EV14" s="254" t="inlineStr">
        <is>
          <t xml:space="preserve"> </t>
        </is>
      </c>
      <c r="EW14" s="254" t="inlineStr">
        <is>
          <t xml:space="preserve"> </t>
        </is>
      </c>
      <c r="EX14" s="254" t="inlineStr">
        <is>
          <t xml:space="preserve"> </t>
        </is>
      </c>
      <c r="EY14" s="254" t="inlineStr">
        <is>
          <t xml:space="preserve"> </t>
        </is>
      </c>
      <c r="EZ14" s="254" t="inlineStr">
        <is>
          <t xml:space="preserve"> </t>
        </is>
      </c>
      <c r="FA14" s="254" t="inlineStr">
        <is>
          <t xml:space="preserve"> </t>
        </is>
      </c>
      <c r="FB14" s="254" t="inlineStr">
        <is>
          <t xml:space="preserve"> </t>
        </is>
      </c>
      <c r="FC14" s="254" t="inlineStr">
        <is>
          <t xml:space="preserve"> </t>
        </is>
      </c>
      <c r="FD14" s="254" t="inlineStr">
        <is>
          <t xml:space="preserve"> </t>
        </is>
      </c>
      <c r="FE14" s="254" t="inlineStr">
        <is>
          <t xml:space="preserve"> </t>
        </is>
      </c>
      <c r="FF14" s="254" t="inlineStr">
        <is>
          <t xml:space="preserve"> </t>
        </is>
      </c>
      <c r="FG14" s="254" t="inlineStr">
        <is>
          <t xml:space="preserve"> </t>
        </is>
      </c>
      <c r="FH14" s="254" t="inlineStr">
        <is>
          <t xml:space="preserve"> </t>
        </is>
      </c>
      <c r="FI14" s="254" t="inlineStr">
        <is>
          <t xml:space="preserve"> </t>
        </is>
      </c>
      <c r="FJ14" s="254" t="inlineStr">
        <is>
          <t xml:space="preserve"> </t>
        </is>
      </c>
      <c r="FK14" s="254" t="inlineStr">
        <is>
          <t xml:space="preserve"> </t>
        </is>
      </c>
      <c r="FL14" s="254" t="inlineStr">
        <is>
          <t xml:space="preserve"> </t>
        </is>
      </c>
      <c r="FM14" s="254" t="inlineStr">
        <is>
          <t xml:space="preserve"> </t>
        </is>
      </c>
      <c r="FN14" s="254" t="inlineStr">
        <is>
          <t xml:space="preserve"> </t>
        </is>
      </c>
      <c r="FO14" s="254" t="inlineStr">
        <is>
          <t xml:space="preserve"> </t>
        </is>
      </c>
      <c r="FP14" s="254" t="inlineStr">
        <is>
          <t xml:space="preserve"> </t>
        </is>
      </c>
      <c r="FQ14" s="254" t="inlineStr">
        <is>
          <t xml:space="preserve"> </t>
        </is>
      </c>
      <c r="FR14" s="254" t="inlineStr">
        <is>
          <t xml:space="preserve"> </t>
        </is>
      </c>
      <c r="FS14" s="254" t="inlineStr">
        <is>
          <t xml:space="preserve"> </t>
        </is>
      </c>
      <c r="FT14" s="254" t="inlineStr">
        <is>
          <t xml:space="preserve"> </t>
        </is>
      </c>
      <c r="FU14" s="254" t="inlineStr">
        <is>
          <t xml:space="preserve"> </t>
        </is>
      </c>
      <c r="FV14" s="254" t="inlineStr">
        <is>
          <t xml:space="preserve"> </t>
        </is>
      </c>
      <c r="FW14" s="254" t="inlineStr">
        <is>
          <t xml:space="preserve"> </t>
        </is>
      </c>
      <c r="FX14" s="254" t="inlineStr">
        <is>
          <t xml:space="preserve"> </t>
        </is>
      </c>
      <c r="FY14" s="254" t="inlineStr">
        <is>
          <t xml:space="preserve"> </t>
        </is>
      </c>
      <c r="FZ14" s="254" t="inlineStr">
        <is>
          <t xml:space="preserve"> </t>
        </is>
      </c>
      <c r="GA14" s="254" t="inlineStr">
        <is>
          <t xml:space="preserve"> </t>
        </is>
      </c>
      <c r="GB14" s="254" t="inlineStr">
        <is>
          <t xml:space="preserve"> </t>
        </is>
      </c>
      <c r="GC14" s="254" t="inlineStr">
        <is>
          <t xml:space="preserve"> </t>
        </is>
      </c>
      <c r="GD14" s="254" t="inlineStr">
        <is>
          <t xml:space="preserve"> </t>
        </is>
      </c>
      <c r="GE14" s="254" t="inlineStr">
        <is>
          <t xml:space="preserve"> </t>
        </is>
      </c>
      <c r="GF14" s="254" t="inlineStr">
        <is>
          <t xml:space="preserve"> </t>
        </is>
      </c>
      <c r="GG14" s="254" t="inlineStr">
        <is>
          <t xml:space="preserve"> </t>
        </is>
      </c>
      <c r="GH14" s="254" t="inlineStr">
        <is>
          <t xml:space="preserve"> </t>
        </is>
      </c>
      <c r="GI14" s="254" t="inlineStr">
        <is>
          <t xml:space="preserve"> </t>
        </is>
      </c>
      <c r="GJ14" s="254" t="inlineStr">
        <is>
          <t xml:space="preserve"> </t>
        </is>
      </c>
      <c r="GK14" s="254" t="inlineStr">
        <is>
          <t xml:space="preserve"> </t>
        </is>
      </c>
      <c r="GL14" s="254" t="inlineStr">
        <is>
          <t xml:space="preserve"> </t>
        </is>
      </c>
      <c r="GM14" s="254" t="inlineStr">
        <is>
          <t xml:space="preserve"> </t>
        </is>
      </c>
      <c r="GN14" s="254" t="inlineStr">
        <is>
          <t xml:space="preserve"> </t>
        </is>
      </c>
      <c r="GO14" s="254" t="inlineStr">
        <is>
          <t xml:space="preserve"> </t>
        </is>
      </c>
      <c r="GP14" s="254" t="inlineStr">
        <is>
          <t xml:space="preserve"> </t>
        </is>
      </c>
      <c r="GQ14" s="254" t="inlineStr">
        <is>
          <t xml:space="preserve"> </t>
        </is>
      </c>
      <c r="GR14" s="254" t="inlineStr">
        <is>
          <t xml:space="preserve"> </t>
        </is>
      </c>
      <c r="GS14" s="254" t="inlineStr">
        <is>
          <t xml:space="preserve"> </t>
        </is>
      </c>
      <c r="GT14" s="254" t="inlineStr">
        <is>
          <t xml:space="preserve"> </t>
        </is>
      </c>
      <c r="GU14" s="254" t="inlineStr">
        <is>
          <t xml:space="preserve"> </t>
        </is>
      </c>
      <c r="GV14" s="254" t="inlineStr">
        <is>
          <t xml:space="preserve"> </t>
        </is>
      </c>
      <c r="GW14" s="254" t="inlineStr">
        <is>
          <t xml:space="preserve"> </t>
        </is>
      </c>
      <c r="GX14" s="254" t="inlineStr">
        <is>
          <t xml:space="preserve"> </t>
        </is>
      </c>
      <c r="GY14" s="254" t="inlineStr">
        <is>
          <t xml:space="preserve"> </t>
        </is>
      </c>
      <c r="GZ14" s="254" t="inlineStr">
        <is>
          <t xml:space="preserve"> </t>
        </is>
      </c>
      <c r="HA14" s="254" t="inlineStr">
        <is>
          <t xml:space="preserve"> </t>
        </is>
      </c>
      <c r="HB14" s="254" t="inlineStr">
        <is>
          <t xml:space="preserve"> </t>
        </is>
      </c>
      <c r="HC14" s="254" t="inlineStr">
        <is>
          <t xml:space="preserve"> </t>
        </is>
      </c>
      <c r="HD14" s="254" t="inlineStr">
        <is>
          <t xml:space="preserve"> </t>
        </is>
      </c>
      <c r="HE14" s="254" t="inlineStr">
        <is>
          <t xml:space="preserve"> </t>
        </is>
      </c>
      <c r="HF14" s="254" t="inlineStr">
        <is>
          <t xml:space="preserve"> </t>
        </is>
      </c>
      <c r="HG14" s="254" t="inlineStr">
        <is>
          <t xml:space="preserve"> </t>
        </is>
      </c>
      <c r="HH14" s="254" t="inlineStr">
        <is>
          <t xml:space="preserve"> </t>
        </is>
      </c>
      <c r="HI14" s="254" t="inlineStr">
        <is>
          <t xml:space="preserve"> </t>
        </is>
      </c>
      <c r="HJ14" s="254" t="inlineStr">
        <is>
          <t xml:space="preserve"> </t>
        </is>
      </c>
      <c r="HK14" s="254" t="inlineStr">
        <is>
          <t xml:space="preserve"> </t>
        </is>
      </c>
      <c r="HL14" s="254" t="inlineStr">
        <is>
          <t xml:space="preserve"> </t>
        </is>
      </c>
      <c r="HM14" s="254" t="inlineStr">
        <is>
          <t xml:space="preserve"> </t>
        </is>
      </c>
      <c r="HN14" s="254" t="inlineStr">
        <is>
          <t xml:space="preserve"> </t>
        </is>
      </c>
      <c r="HO14" s="254" t="inlineStr">
        <is>
          <t xml:space="preserve"> </t>
        </is>
      </c>
      <c r="HP14" s="254" t="inlineStr">
        <is>
          <t xml:space="preserve"> </t>
        </is>
      </c>
      <c r="HQ14" s="254" t="inlineStr">
        <is>
          <t xml:space="preserve"> </t>
        </is>
      </c>
      <c r="HR14" s="254" t="inlineStr">
        <is>
          <t xml:space="preserve"> </t>
        </is>
      </c>
      <c r="HS14" s="254" t="inlineStr">
        <is>
          <t xml:space="preserve"> </t>
        </is>
      </c>
      <c r="HT14" s="254" t="inlineStr">
        <is>
          <t xml:space="preserve"> </t>
        </is>
      </c>
      <c r="HU14" s="254" t="inlineStr">
        <is>
          <t xml:space="preserve"> </t>
        </is>
      </c>
      <c r="HV14" s="254" t="inlineStr">
        <is>
          <t xml:space="preserve"> </t>
        </is>
      </c>
      <c r="HW14" s="254" t="inlineStr">
        <is>
          <t xml:space="preserve"> </t>
        </is>
      </c>
      <c r="HX14" s="254" t="inlineStr">
        <is>
          <t xml:space="preserve"> </t>
        </is>
      </c>
      <c r="HY14" s="254" t="inlineStr">
        <is>
          <t xml:space="preserve"> </t>
        </is>
      </c>
      <c r="HZ14" s="254" t="inlineStr">
        <is>
          <t xml:space="preserve"> </t>
        </is>
      </c>
      <c r="IA14" s="254" t="inlineStr">
        <is>
          <t xml:space="preserve"> </t>
        </is>
      </c>
      <c r="IB14" s="254" t="inlineStr">
        <is>
          <t xml:space="preserve"> </t>
        </is>
      </c>
      <c r="IC14" s="254" t="inlineStr">
        <is>
          <t xml:space="preserve"> </t>
        </is>
      </c>
      <c r="ID14" s="254" t="inlineStr">
        <is>
          <t xml:space="preserve"> </t>
        </is>
      </c>
      <c r="IE14" s="254" t="inlineStr">
        <is>
          <t xml:space="preserve"> </t>
        </is>
      </c>
      <c r="IF14" s="254" t="inlineStr">
        <is>
          <t xml:space="preserve"> </t>
        </is>
      </c>
      <c r="IG14" s="254" t="inlineStr">
        <is>
          <t xml:space="preserve"> </t>
        </is>
      </c>
      <c r="IH14" s="254" t="inlineStr">
        <is>
          <t xml:space="preserve"> </t>
        </is>
      </c>
      <c r="II14" s="254" t="inlineStr">
        <is>
          <t xml:space="preserve"> </t>
        </is>
      </c>
      <c r="IJ14" s="254" t="inlineStr">
        <is>
          <t xml:space="preserve"> </t>
        </is>
      </c>
      <c r="IK14" s="254" t="inlineStr">
        <is>
          <t xml:space="preserve"> </t>
        </is>
      </c>
      <c r="IL14" s="254" t="inlineStr">
        <is>
          <t xml:space="preserve"> </t>
        </is>
      </c>
      <c r="IM14" s="254" t="inlineStr">
        <is>
          <t xml:space="preserve"> </t>
        </is>
      </c>
      <c r="IN14" s="254" t="inlineStr">
        <is>
          <t xml:space="preserve"> </t>
        </is>
      </c>
      <c r="IO14" s="254" t="inlineStr">
        <is>
          <t xml:space="preserve"> </t>
        </is>
      </c>
      <c r="IP14" s="254" t="inlineStr">
        <is>
          <t xml:space="preserve"> </t>
        </is>
      </c>
      <c r="IQ14" s="254" t="inlineStr">
        <is>
          <t xml:space="preserve"> </t>
        </is>
      </c>
      <c r="IR14" s="254" t="inlineStr">
        <is>
          <t xml:space="preserve"> </t>
        </is>
      </c>
      <c r="IS14" s="254" t="inlineStr">
        <is>
          <t xml:space="preserve"> </t>
        </is>
      </c>
      <c r="IT14" s="254" t="inlineStr">
        <is>
          <t xml:space="preserve"> </t>
        </is>
      </c>
      <c r="IU14" s="254" t="inlineStr">
        <is>
          <t xml:space="preserve"> </t>
        </is>
      </c>
      <c r="IV14" s="254" t="inlineStr">
        <is>
          <t xml:space="preserve"> </t>
        </is>
      </c>
      <c r="IW14" s="254" t="inlineStr">
        <is>
          <t xml:space="preserve"> </t>
        </is>
      </c>
      <c r="IX14" s="254" t="inlineStr">
        <is>
          <t xml:space="preserve"> </t>
        </is>
      </c>
      <c r="IY14" s="254" t="inlineStr">
        <is>
          <t xml:space="preserve"> </t>
        </is>
      </c>
      <c r="IZ14" s="254" t="inlineStr">
        <is>
          <t xml:space="preserve"> </t>
        </is>
      </c>
      <c r="JA14" s="254" t="inlineStr">
        <is>
          <t xml:space="preserve"> </t>
        </is>
      </c>
      <c r="JB14" s="254" t="inlineStr">
        <is>
          <t xml:space="preserve"> </t>
        </is>
      </c>
      <c r="JC14" s="254" t="inlineStr">
        <is>
          <t xml:space="preserve"> </t>
        </is>
      </c>
      <c r="JD14" s="254" t="inlineStr">
        <is>
          <t xml:space="preserve"> </t>
        </is>
      </c>
      <c r="JE14" s="254" t="inlineStr">
        <is>
          <t xml:space="preserve"> </t>
        </is>
      </c>
      <c r="JF14" s="254" t="inlineStr">
        <is>
          <t xml:space="preserve"> </t>
        </is>
      </c>
      <c r="JG14" s="254" t="inlineStr">
        <is>
          <t xml:space="preserve"> </t>
        </is>
      </c>
      <c r="JH14" s="254" t="inlineStr">
        <is>
          <t xml:space="preserve"> </t>
        </is>
      </c>
      <c r="JI14" s="254" t="inlineStr">
        <is>
          <t xml:space="preserve"> </t>
        </is>
      </c>
      <c r="JJ14" s="254" t="inlineStr">
        <is>
          <t xml:space="preserve"> </t>
        </is>
      </c>
      <c r="JK14" s="254" t="inlineStr">
        <is>
          <t xml:space="preserve"> </t>
        </is>
      </c>
      <c r="JL14" s="254" t="inlineStr">
        <is>
          <t xml:space="preserve"> </t>
        </is>
      </c>
      <c r="JM14" s="254" t="inlineStr">
        <is>
          <t xml:space="preserve"> </t>
        </is>
      </c>
      <c r="JN14" s="254" t="inlineStr">
        <is>
          <t xml:space="preserve"> </t>
        </is>
      </c>
      <c r="JO14" s="254" t="inlineStr">
        <is>
          <t xml:space="preserve"> </t>
        </is>
      </c>
      <c r="JP14" s="254" t="inlineStr">
        <is>
          <t xml:space="preserve"> </t>
        </is>
      </c>
      <c r="JQ14" s="254" t="inlineStr">
        <is>
          <t xml:space="preserve"> </t>
        </is>
      </c>
      <c r="JR14" s="254" t="inlineStr">
        <is>
          <t xml:space="preserve"> </t>
        </is>
      </c>
      <c r="JS14" s="254" t="inlineStr">
        <is>
          <t xml:space="preserve"> </t>
        </is>
      </c>
      <c r="JT14" s="254" t="inlineStr">
        <is>
          <t xml:space="preserve"> </t>
        </is>
      </c>
      <c r="JU14" s="254" t="inlineStr">
        <is>
          <t xml:space="preserve"> </t>
        </is>
      </c>
      <c r="JV14" s="254" t="inlineStr">
        <is>
          <t xml:space="preserve"> </t>
        </is>
      </c>
      <c r="JW14" s="254" t="inlineStr">
        <is>
          <t xml:space="preserve"> </t>
        </is>
      </c>
      <c r="JX14" s="254" t="inlineStr">
        <is>
          <t xml:space="preserve"> </t>
        </is>
      </c>
      <c r="JY14" s="254" t="inlineStr">
        <is>
          <t xml:space="preserve"> </t>
        </is>
      </c>
      <c r="JZ14" s="254" t="inlineStr">
        <is>
          <t xml:space="preserve"> </t>
        </is>
      </c>
      <c r="KA14" s="254" t="inlineStr">
        <is>
          <t xml:space="preserve"> </t>
        </is>
      </c>
      <c r="KB14" s="254" t="inlineStr">
        <is>
          <t xml:space="preserve"> </t>
        </is>
      </c>
      <c r="KC14" s="254" t="inlineStr">
        <is>
          <t xml:space="preserve"> </t>
        </is>
      </c>
      <c r="KD14" s="254" t="inlineStr">
        <is>
          <t xml:space="preserve"> </t>
        </is>
      </c>
      <c r="KE14" s="254" t="inlineStr">
        <is>
          <t xml:space="preserve"> </t>
        </is>
      </c>
      <c r="KF14" s="254" t="inlineStr">
        <is>
          <t xml:space="preserve"> </t>
        </is>
      </c>
      <c r="KG14" s="254" t="inlineStr">
        <is>
          <t xml:space="preserve"> </t>
        </is>
      </c>
      <c r="KH14" s="254" t="inlineStr">
        <is>
          <t xml:space="preserve"> </t>
        </is>
      </c>
      <c r="KI14" s="254" t="inlineStr">
        <is>
          <t xml:space="preserve"> </t>
        </is>
      </c>
      <c r="KJ14" s="254" t="inlineStr">
        <is>
          <t xml:space="preserve"> </t>
        </is>
      </c>
      <c r="KK14" s="254" t="inlineStr">
        <is>
          <t xml:space="preserve"> </t>
        </is>
      </c>
      <c r="KL14" s="254" t="inlineStr">
        <is>
          <t xml:space="preserve"> </t>
        </is>
      </c>
      <c r="KM14" s="254" t="inlineStr">
        <is>
          <t xml:space="preserve"> </t>
        </is>
      </c>
      <c r="KN14" s="254" t="inlineStr">
        <is>
          <t xml:space="preserve"> </t>
        </is>
      </c>
      <c r="KO14" s="254" t="inlineStr">
        <is>
          <t xml:space="preserve"> </t>
        </is>
      </c>
      <c r="KP14" s="254" t="inlineStr">
        <is>
          <t xml:space="preserve"> </t>
        </is>
      </c>
      <c r="KQ14" s="254" t="inlineStr">
        <is>
          <t xml:space="preserve"> </t>
        </is>
      </c>
      <c r="KR14" s="254" t="inlineStr">
        <is>
          <t xml:space="preserve"> </t>
        </is>
      </c>
      <c r="KS14" s="254" t="inlineStr">
        <is>
          <t xml:space="preserve"> </t>
        </is>
      </c>
      <c r="KT14" s="254" t="inlineStr">
        <is>
          <t xml:space="preserve"> </t>
        </is>
      </c>
      <c r="KU14" s="254" t="inlineStr">
        <is>
          <t xml:space="preserve"> </t>
        </is>
      </c>
      <c r="KV14" s="254" t="inlineStr">
        <is>
          <t xml:space="preserve"> </t>
        </is>
      </c>
      <c r="KW14" s="254" t="inlineStr">
        <is>
          <t xml:space="preserve"> </t>
        </is>
      </c>
      <c r="KX14" s="254" t="inlineStr">
        <is>
          <t xml:space="preserve"> </t>
        </is>
      </c>
      <c r="KY14" s="254" t="inlineStr">
        <is>
          <t xml:space="preserve"> </t>
        </is>
      </c>
      <c r="KZ14" s="254" t="inlineStr">
        <is>
          <t xml:space="preserve"> </t>
        </is>
      </c>
      <c r="LA14" s="254" t="inlineStr">
        <is>
          <t xml:space="preserve"> </t>
        </is>
      </c>
      <c r="LB14" s="254" t="inlineStr">
        <is>
          <t xml:space="preserve"> </t>
        </is>
      </c>
      <c r="LC14" s="254" t="inlineStr">
        <is>
          <t xml:space="preserve"> </t>
        </is>
      </c>
      <c r="LD14" s="254" t="inlineStr">
        <is>
          <t xml:space="preserve"> </t>
        </is>
      </c>
      <c r="LE14" s="254" t="inlineStr">
        <is>
          <t xml:space="preserve"> </t>
        </is>
      </c>
      <c r="LF14" s="254" t="inlineStr">
        <is>
          <t xml:space="preserve"> </t>
        </is>
      </c>
      <c r="LG14" s="254" t="inlineStr">
        <is>
          <t xml:space="preserve"> </t>
        </is>
      </c>
      <c r="LH14" s="254" t="inlineStr">
        <is>
          <t xml:space="preserve"> </t>
        </is>
      </c>
      <c r="LI14" s="254" t="inlineStr">
        <is>
          <t xml:space="preserve"> </t>
        </is>
      </c>
      <c r="LJ14" s="254" t="inlineStr">
        <is>
          <t xml:space="preserve"> </t>
        </is>
      </c>
      <c r="LK14" s="254" t="inlineStr">
        <is>
          <t xml:space="preserve"> </t>
        </is>
      </c>
      <c r="LL14" s="254" t="inlineStr">
        <is>
          <t xml:space="preserve"> </t>
        </is>
      </c>
      <c r="LM14" s="254" t="inlineStr">
        <is>
          <t xml:space="preserve"> </t>
        </is>
      </c>
      <c r="LN14" s="254" t="inlineStr">
        <is>
          <t xml:space="preserve"> </t>
        </is>
      </c>
      <c r="LO14" s="254" t="inlineStr">
        <is>
          <t xml:space="preserve"> </t>
        </is>
      </c>
      <c r="LP14" s="254" t="inlineStr">
        <is>
          <t xml:space="preserve"> </t>
        </is>
      </c>
      <c r="LQ14" s="254" t="inlineStr">
        <is>
          <t xml:space="preserve"> </t>
        </is>
      </c>
      <c r="LR14" s="254" t="inlineStr">
        <is>
          <t xml:space="preserve"> </t>
        </is>
      </c>
      <c r="LS14" s="254" t="inlineStr">
        <is>
          <t xml:space="preserve"> </t>
        </is>
      </c>
      <c r="LT14" s="254" t="inlineStr">
        <is>
          <t xml:space="preserve"> </t>
        </is>
      </c>
      <c r="LU14" s="254" t="inlineStr">
        <is>
          <t xml:space="preserve"> </t>
        </is>
      </c>
      <c r="LV14" s="254" t="inlineStr">
        <is>
          <t xml:space="preserve"> </t>
        </is>
      </c>
      <c r="LW14" s="254" t="inlineStr">
        <is>
          <t xml:space="preserve"> </t>
        </is>
      </c>
      <c r="LX14" s="254" t="inlineStr">
        <is>
          <t xml:space="preserve"> </t>
        </is>
      </c>
      <c r="LY14" s="254" t="inlineStr">
        <is>
          <t xml:space="preserve"> </t>
        </is>
      </c>
      <c r="LZ14" s="254" t="inlineStr">
        <is>
          <t xml:space="preserve"> </t>
        </is>
      </c>
      <c r="MA14" s="254" t="inlineStr">
        <is>
          <t xml:space="preserve"> </t>
        </is>
      </c>
      <c r="MB14" s="254" t="inlineStr">
        <is>
          <t xml:space="preserve"> </t>
        </is>
      </c>
      <c r="MC14" s="254" t="inlineStr">
        <is>
          <t xml:space="preserve"> </t>
        </is>
      </c>
      <c r="MD14" s="254" t="inlineStr">
        <is>
          <t xml:space="preserve"> </t>
        </is>
      </c>
      <c r="ME14" s="254" t="inlineStr">
        <is>
          <t xml:space="preserve"> </t>
        </is>
      </c>
      <c r="MF14" s="254" t="inlineStr">
        <is>
          <t xml:space="preserve"> </t>
        </is>
      </c>
      <c r="MG14" s="254" t="inlineStr">
        <is>
          <t xml:space="preserve"> </t>
        </is>
      </c>
      <c r="MH14" s="254" t="inlineStr">
        <is>
          <t xml:space="preserve"> </t>
        </is>
      </c>
      <c r="MI14" s="254" t="inlineStr">
        <is>
          <t xml:space="preserve"> </t>
        </is>
      </c>
      <c r="MJ14" s="254" t="inlineStr">
        <is>
          <t xml:space="preserve"> </t>
        </is>
      </c>
      <c r="MK14" s="254" t="inlineStr">
        <is>
          <t xml:space="preserve"> </t>
        </is>
      </c>
      <c r="ML14" s="254" t="inlineStr">
        <is>
          <t xml:space="preserve"> </t>
        </is>
      </c>
      <c r="MM14" s="254" t="inlineStr">
        <is>
          <t xml:space="preserve"> </t>
        </is>
      </c>
      <c r="MN14" s="254" t="inlineStr">
        <is>
          <t xml:space="preserve"> </t>
        </is>
      </c>
      <c r="MO14" s="254" t="inlineStr">
        <is>
          <t xml:space="preserve"> </t>
        </is>
      </c>
      <c r="MP14" s="254" t="inlineStr">
        <is>
          <t xml:space="preserve"> </t>
        </is>
      </c>
      <c r="MQ14" s="254" t="inlineStr">
        <is>
          <t xml:space="preserve"> </t>
        </is>
      </c>
      <c r="MR14" s="254" t="inlineStr">
        <is>
          <t xml:space="preserve"> </t>
        </is>
      </c>
      <c r="MS14" s="254" t="inlineStr">
        <is>
          <t xml:space="preserve"> </t>
        </is>
      </c>
      <c r="MT14" s="254" t="inlineStr">
        <is>
          <t xml:space="preserve"> </t>
        </is>
      </c>
      <c r="MU14" s="254" t="inlineStr">
        <is>
          <t xml:space="preserve"> </t>
        </is>
      </c>
      <c r="MV14" s="254" t="inlineStr">
        <is>
          <t xml:space="preserve"> </t>
        </is>
      </c>
      <c r="MW14" s="254" t="inlineStr">
        <is>
          <t xml:space="preserve"> </t>
        </is>
      </c>
      <c r="MX14" s="254" t="inlineStr">
        <is>
          <t xml:space="preserve"> </t>
        </is>
      </c>
      <c r="MY14" s="254" t="inlineStr">
        <is>
          <t xml:space="preserve"> </t>
        </is>
      </c>
      <c r="MZ14" s="254" t="inlineStr">
        <is>
          <t xml:space="preserve"> </t>
        </is>
      </c>
      <c r="NA14" s="254" t="inlineStr">
        <is>
          <t xml:space="preserve"> </t>
        </is>
      </c>
      <c r="NB14" s="254" t="inlineStr">
        <is>
          <t xml:space="preserve"> </t>
        </is>
      </c>
      <c r="NC14" s="254" t="inlineStr">
        <is>
          <t xml:space="preserve"> </t>
        </is>
      </c>
      <c r="ND14" s="254" t="inlineStr">
        <is>
          <t xml:space="preserve"> </t>
        </is>
      </c>
      <c r="NE14" s="254" t="inlineStr">
        <is>
          <t xml:space="preserve"> </t>
        </is>
      </c>
    </row>
    <row r="15" ht="15" customHeight="1" s="166">
      <c r="A15" s="249" t="inlineStr">
        <is>
          <t>Daily Consumption</t>
        </is>
      </c>
      <c r="B15" s="245" t="n"/>
      <c r="C15" s="250" t="inlineStr">
        <is>
          <t>L</t>
        </is>
      </c>
      <c r="D15" s="258">
        <f>'Daily Consumption'!B46</f>
        <v/>
      </c>
      <c r="E15" s="259">
        <f>'Daily Consumption'!C46</f>
        <v/>
      </c>
      <c r="F15" s="259">
        <f>'Daily Consumption'!D46</f>
        <v/>
      </c>
      <c r="G15" s="259">
        <f>'Daily Consumption'!E46</f>
        <v/>
      </c>
      <c r="H15" s="259">
        <f>'Daily Consumption'!F46</f>
        <v/>
      </c>
      <c r="I15" s="259">
        <f>'Daily Consumption'!G46</f>
        <v/>
      </c>
      <c r="J15" s="259">
        <f>'Daily Consumption'!H46</f>
        <v/>
      </c>
      <c r="K15" s="259">
        <f>'Daily Consumption'!I46</f>
        <v/>
      </c>
      <c r="L15" s="259">
        <f>'Daily Consumption'!J46</f>
        <v/>
      </c>
      <c r="M15" s="259">
        <f>'Daily Consumption'!K46</f>
        <v/>
      </c>
      <c r="N15" s="259">
        <f>'Daily Consumption'!L46</f>
        <v/>
      </c>
      <c r="O15" s="259">
        <f>'Daily Consumption'!M46</f>
        <v/>
      </c>
      <c r="P15" s="259">
        <f>'Daily Consumption'!N46</f>
        <v/>
      </c>
      <c r="Q15" s="259">
        <f>'Daily Consumption'!O46</f>
        <v/>
      </c>
      <c r="R15" s="259">
        <f>'Daily Consumption'!P46</f>
        <v/>
      </c>
      <c r="S15" s="259">
        <f>'Daily Consumption'!Q46</f>
        <v/>
      </c>
      <c r="T15" s="259">
        <f>'Daily Consumption'!R46</f>
        <v/>
      </c>
      <c r="U15" s="259">
        <f>'Daily Consumption'!S46</f>
        <v/>
      </c>
      <c r="V15" s="259">
        <f>'Daily Consumption'!T46</f>
        <v/>
      </c>
      <c r="W15" s="259">
        <f>'Daily Consumption'!U46</f>
        <v/>
      </c>
      <c r="X15" s="259">
        <f>'Daily Consumption'!V46</f>
        <v/>
      </c>
      <c r="Y15" s="259">
        <f>'Daily Consumption'!W46</f>
        <v/>
      </c>
      <c r="Z15" s="259">
        <f>'Daily Consumption'!X46</f>
        <v/>
      </c>
      <c r="AA15" s="259">
        <f>'Daily Consumption'!Y46</f>
        <v/>
      </c>
      <c r="AB15" s="259">
        <f>'Daily Consumption'!Z46</f>
        <v/>
      </c>
      <c r="AC15" s="259">
        <f>'Daily Consumption'!AA46</f>
        <v/>
      </c>
      <c r="AD15" s="259">
        <f>'Daily Consumption'!AB46</f>
        <v/>
      </c>
      <c r="AE15" s="259">
        <f>'Daily Consumption'!AC46</f>
        <v/>
      </c>
      <c r="AF15" s="259">
        <f>'Daily Consumption'!AD46</f>
        <v/>
      </c>
      <c r="AG15" s="259">
        <f>'Daily Consumption'!AE46</f>
        <v/>
      </c>
      <c r="AH15" s="259">
        <f>'Daily Consumption'!AF46</f>
        <v/>
      </c>
      <c r="AI15" s="259">
        <f>'Daily Consumption'!AG46</f>
        <v/>
      </c>
      <c r="AJ15" s="259">
        <f>'Daily Consumption'!AH46</f>
        <v/>
      </c>
      <c r="AK15" s="259">
        <f>'Daily Consumption'!AI46</f>
        <v/>
      </c>
      <c r="AL15" s="259">
        <f>'Daily Consumption'!AJ46</f>
        <v/>
      </c>
      <c r="AM15" s="259">
        <f>'Daily Consumption'!AK46</f>
        <v/>
      </c>
      <c r="AN15" s="259">
        <f>'Daily Consumption'!AL46</f>
        <v/>
      </c>
      <c r="AO15" s="259">
        <f>'Daily Consumption'!AM46</f>
        <v/>
      </c>
      <c r="AP15" s="259">
        <f>'Daily Consumption'!AN46</f>
        <v/>
      </c>
      <c r="AQ15" s="259">
        <f>'Daily Consumption'!AO46</f>
        <v/>
      </c>
      <c r="AR15" s="259">
        <f>'Daily Consumption'!AP46</f>
        <v/>
      </c>
      <c r="AS15" s="259">
        <f>'Daily Consumption'!AQ46</f>
        <v/>
      </c>
      <c r="AT15" s="259">
        <f>'Daily Consumption'!AR46</f>
        <v/>
      </c>
      <c r="AU15" s="259">
        <f>'Daily Consumption'!AS46</f>
        <v/>
      </c>
      <c r="AV15" s="259">
        <f>'Daily Consumption'!AT46</f>
        <v/>
      </c>
      <c r="AW15" s="259">
        <f>'Daily Consumption'!AU46</f>
        <v/>
      </c>
      <c r="AX15" s="259">
        <f>'Daily Consumption'!AV46</f>
        <v/>
      </c>
      <c r="AY15" s="259">
        <f>'Daily Consumption'!AW46</f>
        <v/>
      </c>
      <c r="AZ15" s="259">
        <f>'Daily Consumption'!AX46</f>
        <v/>
      </c>
      <c r="BA15" s="259">
        <f>'Daily Consumption'!AY46</f>
        <v/>
      </c>
      <c r="BB15" s="259">
        <f>'Daily Consumption'!AZ46</f>
        <v/>
      </c>
      <c r="BC15" s="259">
        <f>'Daily Consumption'!BA46</f>
        <v/>
      </c>
      <c r="BD15" s="259">
        <f>'Daily Consumption'!BB46</f>
        <v/>
      </c>
      <c r="BE15" s="259">
        <f>'Daily Consumption'!BC46</f>
        <v/>
      </c>
      <c r="BF15" s="259">
        <f>'Daily Consumption'!BD46</f>
        <v/>
      </c>
      <c r="BG15" s="259">
        <f>'Daily Consumption'!BE46</f>
        <v/>
      </c>
      <c r="BH15" s="259">
        <f>'Daily Consumption'!BF46</f>
        <v/>
      </c>
      <c r="BI15" s="259">
        <f>'Daily Consumption'!BG46</f>
        <v/>
      </c>
      <c r="BJ15" s="259">
        <f>'Daily Consumption'!BH46</f>
        <v/>
      </c>
      <c r="BK15" s="259">
        <f>'Daily Consumption'!BI46</f>
        <v/>
      </c>
      <c r="BL15" s="259">
        <f>'Daily Consumption'!BJ46</f>
        <v/>
      </c>
      <c r="BM15" s="259">
        <f>'Daily Consumption'!BK46</f>
        <v/>
      </c>
      <c r="BN15" s="259">
        <f>'Daily Consumption'!BL46</f>
        <v/>
      </c>
      <c r="BO15" s="259">
        <f>'Daily Consumption'!BM46</f>
        <v/>
      </c>
      <c r="BP15" s="259">
        <f>'Daily Consumption'!BN46</f>
        <v/>
      </c>
      <c r="BQ15" s="259">
        <f>'Daily Consumption'!BO46</f>
        <v/>
      </c>
      <c r="BR15" s="259">
        <f>'Daily Consumption'!BP46</f>
        <v/>
      </c>
      <c r="BS15" s="259">
        <f>'Daily Consumption'!BQ46</f>
        <v/>
      </c>
      <c r="BT15" s="259">
        <f>'Daily Consumption'!BR46</f>
        <v/>
      </c>
      <c r="BU15" s="259">
        <f>'Daily Consumption'!BS46</f>
        <v/>
      </c>
      <c r="BV15" s="259">
        <f>'Daily Consumption'!BT46</f>
        <v/>
      </c>
      <c r="BW15" s="259">
        <f>'Daily Consumption'!BU46</f>
        <v/>
      </c>
      <c r="BX15" s="259">
        <f>'Daily Consumption'!BV46</f>
        <v/>
      </c>
      <c r="BY15" s="259">
        <f>'Daily Consumption'!BW46</f>
        <v/>
      </c>
      <c r="BZ15" s="259">
        <f>'Daily Consumption'!BX46</f>
        <v/>
      </c>
      <c r="CA15" s="259">
        <f>'Daily Consumption'!BY46</f>
        <v/>
      </c>
      <c r="CB15" s="259">
        <f>'Daily Consumption'!BZ46</f>
        <v/>
      </c>
      <c r="CC15" s="259">
        <f>'Daily Consumption'!CA46</f>
        <v/>
      </c>
      <c r="CD15" s="259">
        <f>'Daily Consumption'!CB46</f>
        <v/>
      </c>
      <c r="CE15" s="259">
        <f>'Daily Consumption'!CC46</f>
        <v/>
      </c>
      <c r="CF15" s="259">
        <f>'Daily Consumption'!CD46</f>
        <v/>
      </c>
      <c r="CG15" s="259">
        <f>'Daily Consumption'!CE46</f>
        <v/>
      </c>
      <c r="CH15" s="259">
        <f>'Daily Consumption'!CF46</f>
        <v/>
      </c>
      <c r="CI15" s="259">
        <f>'Daily Consumption'!CG46</f>
        <v/>
      </c>
      <c r="CJ15" s="259">
        <f>'Daily Consumption'!CH46</f>
        <v/>
      </c>
      <c r="CK15" s="259">
        <f>'Daily Consumption'!CI46</f>
        <v/>
      </c>
      <c r="CL15" s="259">
        <f>'Daily Consumption'!CJ46</f>
        <v/>
      </c>
      <c r="CM15" s="259">
        <f>'Daily Consumption'!CK46</f>
        <v/>
      </c>
      <c r="CN15" s="259">
        <f>'Daily Consumption'!CL46</f>
        <v/>
      </c>
      <c r="CO15" s="259">
        <f>'Daily Consumption'!CM46</f>
        <v/>
      </c>
      <c r="CP15" s="259">
        <f>'Daily Consumption'!CN46</f>
        <v/>
      </c>
      <c r="CQ15" s="259">
        <f>'Daily Consumption'!CO46</f>
        <v/>
      </c>
      <c r="CR15" s="259">
        <f>'Daily Consumption'!CP46</f>
        <v/>
      </c>
      <c r="CS15" s="259">
        <f>'Daily Consumption'!CQ46</f>
        <v/>
      </c>
      <c r="CT15" s="259">
        <f>'Daily Consumption'!CR46</f>
        <v/>
      </c>
      <c r="CU15" s="259">
        <f>'Daily Consumption'!CS46</f>
        <v/>
      </c>
      <c r="CV15" s="259">
        <f>'Daily Consumption'!CT46</f>
        <v/>
      </c>
      <c r="CW15" s="259">
        <f>'Daily Consumption'!CU46</f>
        <v/>
      </c>
      <c r="CX15" s="259">
        <f>'Daily Consumption'!CV46</f>
        <v/>
      </c>
      <c r="CY15" s="259">
        <f>'Daily Consumption'!CW46</f>
        <v/>
      </c>
      <c r="CZ15" s="259">
        <f>'Daily Consumption'!CX46</f>
        <v/>
      </c>
      <c r="DA15" s="259">
        <f>'Daily Consumption'!CY46</f>
        <v/>
      </c>
      <c r="DB15" s="259">
        <f>'Daily Consumption'!CZ46</f>
        <v/>
      </c>
      <c r="DC15" s="259">
        <f>'Daily Consumption'!DA46</f>
        <v/>
      </c>
      <c r="DD15" s="259">
        <f>'Daily Consumption'!DB46</f>
        <v/>
      </c>
      <c r="DE15" s="259">
        <f>'Daily Consumption'!DC46</f>
        <v/>
      </c>
      <c r="DF15" s="259">
        <f>'Daily Consumption'!DD46</f>
        <v/>
      </c>
      <c r="DG15" s="259">
        <f>'Daily Consumption'!DE46</f>
        <v/>
      </c>
      <c r="DH15" s="259">
        <f>'Daily Consumption'!DF46</f>
        <v/>
      </c>
      <c r="DI15" s="259">
        <f>'Daily Consumption'!DG46</f>
        <v/>
      </c>
      <c r="DJ15" s="259">
        <f>'Daily Consumption'!DH46</f>
        <v/>
      </c>
      <c r="DK15" s="259">
        <f>'Daily Consumption'!DI46</f>
        <v/>
      </c>
      <c r="DL15" s="259">
        <f>'Daily Consumption'!DJ46</f>
        <v/>
      </c>
      <c r="DM15" s="259">
        <f>'Daily Consumption'!DK46</f>
        <v/>
      </c>
      <c r="DN15" s="259">
        <f>'Daily Consumption'!DL46</f>
        <v/>
      </c>
      <c r="DO15" s="259">
        <f>'Daily Consumption'!DM46</f>
        <v/>
      </c>
      <c r="DP15" s="259">
        <f>'Daily Consumption'!DN46</f>
        <v/>
      </c>
      <c r="DQ15" s="259">
        <f>'Daily Consumption'!DO46</f>
        <v/>
      </c>
      <c r="DR15" s="259">
        <f>'Daily Consumption'!DP46</f>
        <v/>
      </c>
      <c r="DS15" s="259">
        <f>'Daily Consumption'!DQ46</f>
        <v/>
      </c>
      <c r="DT15" s="259">
        <f>'Daily Consumption'!DR46</f>
        <v/>
      </c>
      <c r="DU15" s="259">
        <f>'Daily Consumption'!DS46</f>
        <v/>
      </c>
      <c r="DV15" s="259">
        <f>'Daily Consumption'!DT46</f>
        <v/>
      </c>
      <c r="DW15" s="259">
        <f>'Daily Consumption'!DU46</f>
        <v/>
      </c>
      <c r="DX15" s="259">
        <f>'Daily Consumption'!DV46</f>
        <v/>
      </c>
      <c r="DY15" s="259">
        <f>'Daily Consumption'!DW46</f>
        <v/>
      </c>
      <c r="DZ15" s="259">
        <f>'Daily Consumption'!DX46</f>
        <v/>
      </c>
      <c r="EA15" s="259">
        <f>'Daily Consumption'!DY46</f>
        <v/>
      </c>
      <c r="EB15" s="259">
        <f>'Daily Consumption'!DZ46</f>
        <v/>
      </c>
      <c r="EC15" s="259">
        <f>'Daily Consumption'!EA46</f>
        <v/>
      </c>
      <c r="ED15" s="259">
        <f>'Daily Consumption'!EB46</f>
        <v/>
      </c>
      <c r="EE15" s="259">
        <f>'Daily Consumption'!EC46</f>
        <v/>
      </c>
      <c r="EF15" s="259">
        <f>'Daily Consumption'!ED46</f>
        <v/>
      </c>
      <c r="EG15" s="259">
        <f>'Daily Consumption'!EE46</f>
        <v/>
      </c>
      <c r="EH15" s="259">
        <f>'Daily Consumption'!EF46</f>
        <v/>
      </c>
      <c r="EI15" s="259">
        <f>'Daily Consumption'!EG46</f>
        <v/>
      </c>
      <c r="EJ15" s="259">
        <f>'Daily Consumption'!EH46</f>
        <v/>
      </c>
      <c r="EK15" s="259">
        <f>'Daily Consumption'!EI46</f>
        <v/>
      </c>
      <c r="EL15" s="259">
        <f>'Daily Consumption'!EJ46</f>
        <v/>
      </c>
      <c r="EM15" s="259">
        <f>'Daily Consumption'!EK46</f>
        <v/>
      </c>
      <c r="EN15" s="259">
        <f>'Daily Consumption'!EL46</f>
        <v/>
      </c>
      <c r="EO15" s="259">
        <f>'Daily Consumption'!EM46</f>
        <v/>
      </c>
      <c r="EP15" s="259">
        <f>'Daily Consumption'!EN46</f>
        <v/>
      </c>
      <c r="EQ15" s="259">
        <f>'Daily Consumption'!EO46</f>
        <v/>
      </c>
      <c r="ER15" s="259">
        <f>'Daily Consumption'!EP46</f>
        <v/>
      </c>
      <c r="ES15" s="259">
        <f>'Daily Consumption'!EQ46</f>
        <v/>
      </c>
      <c r="ET15" s="259">
        <f>'Daily Consumption'!ER46</f>
        <v/>
      </c>
      <c r="EU15" s="259">
        <f>'Daily Consumption'!ES46</f>
        <v/>
      </c>
      <c r="EV15" s="259">
        <f>'Daily Consumption'!ET46</f>
        <v/>
      </c>
      <c r="EW15" s="259">
        <f>'Daily Consumption'!EU46</f>
        <v/>
      </c>
      <c r="EX15" s="259">
        <f>'Daily Consumption'!EV46</f>
        <v/>
      </c>
      <c r="EY15" s="259">
        <f>'Daily Consumption'!EW46</f>
        <v/>
      </c>
      <c r="EZ15" s="259">
        <f>'Daily Consumption'!EX46</f>
        <v/>
      </c>
      <c r="FA15" s="259">
        <f>'Daily Consumption'!EY46</f>
        <v/>
      </c>
      <c r="FB15" s="259">
        <f>'Daily Consumption'!EZ46</f>
        <v/>
      </c>
      <c r="FC15" s="259">
        <f>'Daily Consumption'!FA46</f>
        <v/>
      </c>
      <c r="FD15" s="259">
        <f>'Daily Consumption'!FB46</f>
        <v/>
      </c>
      <c r="FE15" s="259">
        <f>'Daily Consumption'!FC46</f>
        <v/>
      </c>
      <c r="FF15" s="259">
        <f>'Daily Consumption'!FD46</f>
        <v/>
      </c>
      <c r="FG15" s="259">
        <f>'Daily Consumption'!FE46</f>
        <v/>
      </c>
      <c r="FH15" s="259">
        <f>'Daily Consumption'!FF46</f>
        <v/>
      </c>
      <c r="FI15" s="259">
        <f>'Daily Consumption'!FG46</f>
        <v/>
      </c>
      <c r="FJ15" s="259">
        <f>'Daily Consumption'!FH46</f>
        <v/>
      </c>
      <c r="FK15" s="259">
        <f>'Daily Consumption'!FI46</f>
        <v/>
      </c>
      <c r="FL15" s="259">
        <f>'Daily Consumption'!FJ46</f>
        <v/>
      </c>
      <c r="FM15" s="259">
        <f>'Daily Consumption'!FK46</f>
        <v/>
      </c>
      <c r="FN15" s="259">
        <f>'Daily Consumption'!FL46</f>
        <v/>
      </c>
      <c r="FO15" s="259">
        <f>'Daily Consumption'!FM46</f>
        <v/>
      </c>
      <c r="FP15" s="259">
        <f>'Daily Consumption'!FN46</f>
        <v/>
      </c>
      <c r="FQ15" s="259">
        <f>'Daily Consumption'!FO46</f>
        <v/>
      </c>
      <c r="FR15" s="259">
        <f>'Daily Consumption'!FP46</f>
        <v/>
      </c>
      <c r="FS15" s="259">
        <f>'Daily Consumption'!FQ46</f>
        <v/>
      </c>
      <c r="FT15" s="259">
        <f>'Daily Consumption'!FR46</f>
        <v/>
      </c>
      <c r="FU15" s="259">
        <f>'Daily Consumption'!FS46</f>
        <v/>
      </c>
      <c r="FV15" s="259">
        <f>'Daily Consumption'!FT46</f>
        <v/>
      </c>
      <c r="FW15" s="259">
        <f>'Daily Consumption'!FU46</f>
        <v/>
      </c>
      <c r="FX15" s="259">
        <f>'Daily Consumption'!FV46</f>
        <v/>
      </c>
      <c r="FY15" s="259">
        <f>'Daily Consumption'!FW46</f>
        <v/>
      </c>
      <c r="FZ15" s="259">
        <f>'Daily Consumption'!FX46</f>
        <v/>
      </c>
      <c r="GA15" s="259">
        <f>'Daily Consumption'!FY46</f>
        <v/>
      </c>
      <c r="GB15" s="259">
        <f>'Daily Consumption'!FZ46</f>
        <v/>
      </c>
      <c r="GC15" s="259">
        <f>'Daily Consumption'!GA46</f>
        <v/>
      </c>
      <c r="GD15" s="259">
        <f>'Daily Consumption'!GB46</f>
        <v/>
      </c>
      <c r="GE15" s="259">
        <f>'Daily Consumption'!GC46</f>
        <v/>
      </c>
      <c r="GF15" s="259">
        <f>'Daily Consumption'!GD46</f>
        <v/>
      </c>
      <c r="GG15" s="259">
        <f>'Daily Consumption'!GE46</f>
        <v/>
      </c>
      <c r="GH15" s="259">
        <f>'Daily Consumption'!GF46</f>
        <v/>
      </c>
      <c r="GI15" s="259">
        <f>'Daily Consumption'!GG46</f>
        <v/>
      </c>
      <c r="GJ15" s="259">
        <f>'Daily Consumption'!GH46</f>
        <v/>
      </c>
      <c r="GK15" s="259">
        <f>'Daily Consumption'!GI46</f>
        <v/>
      </c>
      <c r="GL15" s="259">
        <f>'Daily Consumption'!GJ46</f>
        <v/>
      </c>
      <c r="GM15" s="259">
        <f>'Daily Consumption'!GK46</f>
        <v/>
      </c>
      <c r="GN15" s="259">
        <f>'Daily Consumption'!GL46</f>
        <v/>
      </c>
      <c r="GO15" s="259">
        <f>'Daily Consumption'!GM46</f>
        <v/>
      </c>
      <c r="GP15" s="259">
        <f>'Daily Consumption'!GN46</f>
        <v/>
      </c>
      <c r="GQ15" s="259">
        <f>'Daily Consumption'!GO46</f>
        <v/>
      </c>
      <c r="GR15" s="259">
        <f>'Daily Consumption'!GP46</f>
        <v/>
      </c>
      <c r="GS15" s="259">
        <f>'Daily Consumption'!GQ46</f>
        <v/>
      </c>
      <c r="GT15" s="259">
        <f>'Daily Consumption'!GR46</f>
        <v/>
      </c>
      <c r="GU15" s="259">
        <f>'Daily Consumption'!GS46</f>
        <v/>
      </c>
      <c r="GV15" s="259">
        <f>'Daily Consumption'!GT46</f>
        <v/>
      </c>
      <c r="GW15" s="259">
        <f>'Daily Consumption'!GU46</f>
        <v/>
      </c>
      <c r="GX15" s="259">
        <f>'Daily Consumption'!GV46</f>
        <v/>
      </c>
      <c r="GY15" s="259">
        <f>'Daily Consumption'!GW46</f>
        <v/>
      </c>
      <c r="GZ15" s="259">
        <f>'Daily Consumption'!GX46</f>
        <v/>
      </c>
      <c r="HA15" s="259">
        <f>'Daily Consumption'!GY46</f>
        <v/>
      </c>
      <c r="HB15" s="259">
        <f>'Daily Consumption'!GZ46</f>
        <v/>
      </c>
      <c r="HC15" s="259">
        <f>'Daily Consumption'!HA46</f>
        <v/>
      </c>
      <c r="HD15" s="259">
        <f>'Daily Consumption'!HB46</f>
        <v/>
      </c>
      <c r="HE15" s="259">
        <f>'Daily Consumption'!HC46</f>
        <v/>
      </c>
      <c r="HF15" s="259">
        <f>'Daily Consumption'!HD46</f>
        <v/>
      </c>
      <c r="HG15" s="259">
        <f>'Daily Consumption'!HE46</f>
        <v/>
      </c>
      <c r="HH15" s="259">
        <f>'Daily Consumption'!HF46</f>
        <v/>
      </c>
      <c r="HI15" s="259">
        <f>'Daily Consumption'!HG46</f>
        <v/>
      </c>
      <c r="HJ15" s="259">
        <f>'Daily Consumption'!HH46</f>
        <v/>
      </c>
      <c r="HK15" s="259">
        <f>'Daily Consumption'!HI46</f>
        <v/>
      </c>
      <c r="HL15" s="259">
        <f>'Daily Consumption'!HJ46</f>
        <v/>
      </c>
      <c r="HM15" s="259">
        <f>'Daily Consumption'!HK46</f>
        <v/>
      </c>
      <c r="HN15" s="259">
        <f>'Daily Consumption'!HL46</f>
        <v/>
      </c>
      <c r="HO15" s="259">
        <f>'Daily Consumption'!HM46</f>
        <v/>
      </c>
      <c r="HP15" s="259">
        <f>'Daily Consumption'!HN46</f>
        <v/>
      </c>
      <c r="HQ15" s="259">
        <f>'Daily Consumption'!HO46</f>
        <v/>
      </c>
      <c r="HR15" s="259">
        <f>'Daily Consumption'!HP46</f>
        <v/>
      </c>
      <c r="HS15" s="259">
        <f>'Daily Consumption'!HQ46</f>
        <v/>
      </c>
      <c r="HT15" s="259">
        <f>'Daily Consumption'!HR46</f>
        <v/>
      </c>
      <c r="HU15" s="259">
        <f>'Daily Consumption'!HS46</f>
        <v/>
      </c>
      <c r="HV15" s="259">
        <f>'Daily Consumption'!HT46</f>
        <v/>
      </c>
      <c r="HW15" s="259">
        <f>'Daily Consumption'!HU46</f>
        <v/>
      </c>
      <c r="HX15" s="259">
        <f>'Daily Consumption'!HV46</f>
        <v/>
      </c>
      <c r="HY15" s="259">
        <f>'Daily Consumption'!HW46</f>
        <v/>
      </c>
      <c r="HZ15" s="259">
        <f>'Daily Consumption'!HX46</f>
        <v/>
      </c>
      <c r="IA15" s="259">
        <f>'Daily Consumption'!HY46</f>
        <v/>
      </c>
      <c r="IB15" s="259">
        <f>'Daily Consumption'!HZ46</f>
        <v/>
      </c>
      <c r="IC15" s="259">
        <f>'Daily Consumption'!IA46</f>
        <v/>
      </c>
      <c r="ID15" s="259">
        <f>'Daily Consumption'!IB46</f>
        <v/>
      </c>
      <c r="IE15" s="259">
        <f>'Daily Consumption'!IC46</f>
        <v/>
      </c>
      <c r="IF15" s="259">
        <f>'Daily Consumption'!ID46</f>
        <v/>
      </c>
      <c r="IG15" s="259">
        <f>'Daily Consumption'!IE46</f>
        <v/>
      </c>
      <c r="IH15" s="259">
        <f>'Daily Consumption'!IF46</f>
        <v/>
      </c>
      <c r="II15" s="259">
        <f>'Daily Consumption'!IG46</f>
        <v/>
      </c>
      <c r="IJ15" s="259">
        <f>'Daily Consumption'!IH46</f>
        <v/>
      </c>
      <c r="IK15" s="259">
        <f>'Daily Consumption'!II46</f>
        <v/>
      </c>
      <c r="IL15" s="259">
        <f>'Daily Consumption'!IJ46</f>
        <v/>
      </c>
      <c r="IM15" s="259">
        <f>'Daily Consumption'!IK46</f>
        <v/>
      </c>
      <c r="IN15" s="259">
        <f>'Daily Consumption'!IL46</f>
        <v/>
      </c>
      <c r="IO15" s="259">
        <f>'Daily Consumption'!IM46</f>
        <v/>
      </c>
      <c r="IP15" s="259">
        <f>'Daily Consumption'!IN46</f>
        <v/>
      </c>
      <c r="IQ15" s="259">
        <f>'Daily Consumption'!IO46</f>
        <v/>
      </c>
      <c r="IR15" s="259">
        <f>'Daily Consumption'!IP46</f>
        <v/>
      </c>
      <c r="IS15" s="259">
        <f>'Daily Consumption'!IQ46</f>
        <v/>
      </c>
      <c r="IT15" s="259">
        <f>'Daily Consumption'!IR46</f>
        <v/>
      </c>
      <c r="IU15" s="259">
        <f>'Daily Consumption'!IS46</f>
        <v/>
      </c>
      <c r="IV15" s="259">
        <f>'Daily Consumption'!IT46</f>
        <v/>
      </c>
      <c r="IW15" s="259">
        <f>'Daily Consumption'!IU46</f>
        <v/>
      </c>
      <c r="IX15" s="259">
        <f>'Daily Consumption'!IV46</f>
        <v/>
      </c>
      <c r="IY15" s="259">
        <f>'Daily Consumption'!IW46</f>
        <v/>
      </c>
      <c r="IZ15" s="259">
        <f>'Daily Consumption'!IX46</f>
        <v/>
      </c>
      <c r="JA15" s="259">
        <f>'Daily Consumption'!IY46</f>
        <v/>
      </c>
      <c r="JB15" s="259">
        <f>'Daily Consumption'!IZ46</f>
        <v/>
      </c>
      <c r="JC15" s="259">
        <f>'Daily Consumption'!JA46</f>
        <v/>
      </c>
      <c r="JD15" s="259">
        <f>'Daily Consumption'!JB46</f>
        <v/>
      </c>
      <c r="JE15" s="259">
        <f>'Daily Consumption'!JC46</f>
        <v/>
      </c>
      <c r="JF15" s="259">
        <f>'Daily Consumption'!JD46</f>
        <v/>
      </c>
      <c r="JG15" s="259">
        <f>'Daily Consumption'!JE46</f>
        <v/>
      </c>
      <c r="JH15" s="259">
        <f>'Daily Consumption'!JF46</f>
        <v/>
      </c>
      <c r="JI15" s="259">
        <f>'Daily Consumption'!JG46</f>
        <v/>
      </c>
      <c r="JJ15" s="259">
        <f>'Daily Consumption'!JH46</f>
        <v/>
      </c>
      <c r="JK15" s="259">
        <f>'Daily Consumption'!JI46</f>
        <v/>
      </c>
      <c r="JL15" s="259">
        <f>'Daily Consumption'!JJ46</f>
        <v/>
      </c>
      <c r="JM15" s="259">
        <f>'Daily Consumption'!JK46</f>
        <v/>
      </c>
      <c r="JN15" s="259">
        <f>'Daily Consumption'!JL46</f>
        <v/>
      </c>
      <c r="JO15" s="259">
        <f>'Daily Consumption'!JM46</f>
        <v/>
      </c>
      <c r="JP15" s="259">
        <f>'Daily Consumption'!JN46</f>
        <v/>
      </c>
      <c r="JQ15" s="259">
        <f>'Daily Consumption'!JO46</f>
        <v/>
      </c>
      <c r="JR15" s="259">
        <f>'Daily Consumption'!JP46</f>
        <v/>
      </c>
      <c r="JS15" s="259">
        <f>'Daily Consumption'!JQ46</f>
        <v/>
      </c>
      <c r="JT15" s="259">
        <f>'Daily Consumption'!JR46</f>
        <v/>
      </c>
      <c r="JU15" s="259">
        <f>'Daily Consumption'!JS46</f>
        <v/>
      </c>
      <c r="JV15" s="259">
        <f>'Daily Consumption'!JT46</f>
        <v/>
      </c>
      <c r="JW15" s="259">
        <f>'Daily Consumption'!JU46</f>
        <v/>
      </c>
      <c r="JX15" s="259">
        <f>'Daily Consumption'!JV46</f>
        <v/>
      </c>
      <c r="JY15" s="259">
        <f>'Daily Consumption'!JW46</f>
        <v/>
      </c>
      <c r="JZ15" s="259">
        <f>'Daily Consumption'!JX46</f>
        <v/>
      </c>
      <c r="KA15" s="259">
        <f>'Daily Consumption'!JY46</f>
        <v/>
      </c>
      <c r="KB15" s="259">
        <f>'Daily Consumption'!JZ46</f>
        <v/>
      </c>
      <c r="KC15" s="259">
        <f>'Daily Consumption'!KA46</f>
        <v/>
      </c>
      <c r="KD15" s="259">
        <f>'Daily Consumption'!KB46</f>
        <v/>
      </c>
      <c r="KE15" s="259">
        <f>'Daily Consumption'!KC46</f>
        <v/>
      </c>
      <c r="KF15" s="259">
        <f>'Daily Consumption'!KD46</f>
        <v/>
      </c>
      <c r="KG15" s="259">
        <f>'Daily Consumption'!KE46</f>
        <v/>
      </c>
      <c r="KH15" s="259">
        <f>'Daily Consumption'!KF46</f>
        <v/>
      </c>
      <c r="KI15" s="259">
        <f>'Daily Consumption'!KG46</f>
        <v/>
      </c>
      <c r="KJ15" s="259">
        <f>'Daily Consumption'!KH46</f>
        <v/>
      </c>
      <c r="KK15" s="259">
        <f>'Daily Consumption'!KI46</f>
        <v/>
      </c>
      <c r="KL15" s="259">
        <f>'Daily Consumption'!KJ46</f>
        <v/>
      </c>
      <c r="KM15" s="259">
        <f>'Daily Consumption'!KK46</f>
        <v/>
      </c>
      <c r="KN15" s="259">
        <f>'Daily Consumption'!KL46</f>
        <v/>
      </c>
      <c r="KO15" s="259">
        <f>'Daily Consumption'!KM46</f>
        <v/>
      </c>
      <c r="KP15" s="259">
        <f>'Daily Consumption'!KN46</f>
        <v/>
      </c>
      <c r="KQ15" s="259">
        <f>'Daily Consumption'!KO46</f>
        <v/>
      </c>
      <c r="KR15" s="259">
        <f>'Daily Consumption'!KP46</f>
        <v/>
      </c>
      <c r="KS15" s="260">
        <f>'Daily Consumption'!KQ46</f>
        <v/>
      </c>
      <c r="KT15" s="259">
        <f>'Daily Consumption'!KR46</f>
        <v/>
      </c>
      <c r="KU15" s="260">
        <f>'Daily Consumption'!KS46</f>
        <v/>
      </c>
      <c r="KV15" s="259">
        <f>'Daily Consumption'!KT46</f>
        <v/>
      </c>
      <c r="KW15" s="259">
        <f>'Daily Consumption'!KU46</f>
        <v/>
      </c>
      <c r="KX15" s="260">
        <f>'Daily Consumption'!KV46</f>
        <v/>
      </c>
      <c r="KY15" s="259">
        <f>'Daily Consumption'!KW46</f>
        <v/>
      </c>
      <c r="KZ15" s="259">
        <f>'Daily Consumption'!KX46</f>
        <v/>
      </c>
      <c r="LA15" s="259">
        <f>'Daily Consumption'!KY46</f>
        <v/>
      </c>
      <c r="LB15" s="259">
        <f>'Daily Consumption'!KZ46</f>
        <v/>
      </c>
      <c r="LC15" s="259">
        <f>'Daily Consumption'!LA46</f>
        <v/>
      </c>
      <c r="LD15" s="260">
        <f>'Daily Consumption'!LB46</f>
        <v/>
      </c>
      <c r="LE15" s="259">
        <f>'Daily Consumption'!LC46</f>
        <v/>
      </c>
      <c r="LF15" s="259">
        <f>'Daily Consumption'!LD46</f>
        <v/>
      </c>
      <c r="LG15" s="259">
        <f>'Daily Consumption'!LE46</f>
        <v/>
      </c>
      <c r="LH15" s="259">
        <f>'Daily Consumption'!LF46</f>
        <v/>
      </c>
      <c r="LI15" s="259">
        <f>'Daily Consumption'!LG46</f>
        <v/>
      </c>
      <c r="LJ15" s="259">
        <f>'Daily Consumption'!LH46</f>
        <v/>
      </c>
      <c r="LK15" s="259">
        <f>'Daily Consumption'!LI46</f>
        <v/>
      </c>
      <c r="LL15" s="260">
        <f>'Daily Consumption'!LJ46</f>
        <v/>
      </c>
      <c r="LM15" s="259">
        <f>'Daily Consumption'!LK46</f>
        <v/>
      </c>
      <c r="LN15" s="260">
        <f>'Daily Consumption'!LL46</f>
        <v/>
      </c>
      <c r="LO15" s="259">
        <f>'Daily Consumption'!LM46</f>
        <v/>
      </c>
      <c r="LP15" s="259">
        <f>'Daily Consumption'!LN46</f>
        <v/>
      </c>
      <c r="LQ15" s="259">
        <f>'Daily Consumption'!LO46</f>
        <v/>
      </c>
      <c r="LR15" s="259">
        <f>'Daily Consumption'!LP46</f>
        <v/>
      </c>
      <c r="LS15" s="260">
        <f>'Daily Consumption'!LQ46</f>
        <v/>
      </c>
      <c r="LT15" s="259">
        <f>'Daily Consumption'!LR46</f>
        <v/>
      </c>
      <c r="LU15" s="260">
        <f>'Daily Consumption'!LS46</f>
        <v/>
      </c>
      <c r="LV15" s="259">
        <f>'Daily Consumption'!LT46</f>
        <v/>
      </c>
      <c r="LW15" s="259">
        <f>'Daily Consumption'!LU46</f>
        <v/>
      </c>
      <c r="LX15" s="259">
        <f>'Daily Consumption'!LV46</f>
        <v/>
      </c>
      <c r="LY15" s="259">
        <f>'Daily Consumption'!LW46</f>
        <v/>
      </c>
      <c r="LZ15" s="259">
        <f>'Daily Consumption'!LX46</f>
        <v/>
      </c>
      <c r="MA15" s="259">
        <f>'Daily Consumption'!LY46</f>
        <v/>
      </c>
      <c r="MB15" s="259">
        <f>'Daily Consumption'!LZ46</f>
        <v/>
      </c>
      <c r="MC15" s="260">
        <f>'Daily Consumption'!MA46</f>
        <v/>
      </c>
      <c r="MD15" s="259">
        <f>'Daily Consumption'!MB46</f>
        <v/>
      </c>
      <c r="ME15" s="259">
        <f>'Daily Consumption'!MC46</f>
        <v/>
      </c>
      <c r="MF15" s="260">
        <f>'Daily Consumption'!MD46</f>
        <v/>
      </c>
      <c r="MG15" s="259">
        <f>'Daily Consumption'!ME46</f>
        <v/>
      </c>
      <c r="MH15" s="260">
        <f>'Daily Consumption'!MF46</f>
        <v/>
      </c>
      <c r="MI15" s="260">
        <f>'Daily Consumption'!MG46</f>
        <v/>
      </c>
      <c r="MJ15" s="260">
        <f>'Daily Consumption'!MH46</f>
        <v/>
      </c>
      <c r="MK15" s="259">
        <f>'Daily Consumption'!MI46</f>
        <v/>
      </c>
      <c r="ML15" s="260">
        <f>'Daily Consumption'!MJ46</f>
        <v/>
      </c>
      <c r="MM15" s="259">
        <f>'Daily Consumption'!MK46</f>
        <v/>
      </c>
      <c r="MN15" s="260">
        <f>'Daily Consumption'!ML46</f>
        <v/>
      </c>
      <c r="MO15" s="260">
        <f>'Daily Consumption'!MM46</f>
        <v/>
      </c>
      <c r="MP15" s="259">
        <f>'Daily Consumption'!MN46</f>
        <v/>
      </c>
      <c r="MQ15" s="259">
        <f>'Daily Consumption'!MO46</f>
        <v/>
      </c>
      <c r="MR15" s="259">
        <f>'Daily Consumption'!MP46</f>
        <v/>
      </c>
      <c r="MS15" s="260">
        <f>'Daily Consumption'!MQ46</f>
        <v/>
      </c>
      <c r="MT15" s="259">
        <f>'Daily Consumption'!MR46</f>
        <v/>
      </c>
      <c r="MU15" s="260">
        <f>'Daily Consumption'!MS46</f>
        <v/>
      </c>
      <c r="MV15" s="259">
        <f>'Daily Consumption'!MT46</f>
        <v/>
      </c>
      <c r="MW15" s="260">
        <f>'Daily Consumption'!MU46</f>
        <v/>
      </c>
      <c r="MX15" s="260">
        <f>'Daily Consumption'!MV46</f>
        <v/>
      </c>
      <c r="MY15" s="259">
        <f>'Daily Consumption'!MW46</f>
        <v/>
      </c>
      <c r="MZ15" s="260">
        <f>'Daily Consumption'!MX46</f>
        <v/>
      </c>
      <c r="NA15" s="260">
        <f>'Daily Consumption'!MY46</f>
        <v/>
      </c>
      <c r="NB15" s="259">
        <f>'Daily Consumption'!MZ46</f>
        <v/>
      </c>
      <c r="NC15" s="260">
        <f>'Daily Consumption'!NA46</f>
        <v/>
      </c>
      <c r="ND15" s="259">
        <f>'Daily Consumption'!NB46</f>
        <v/>
      </c>
      <c r="NE15" s="260">
        <f>'Daily Consumption'!NE46</f>
        <v/>
      </c>
    </row>
    <row r="16" ht="15.75" customHeight="1" s="166">
      <c r="A16" s="249" t="inlineStr">
        <is>
          <t>Daily Consumption N-1</t>
        </is>
      </c>
      <c r="B16" s="245" t="n"/>
      <c r="C16" s="250" t="inlineStr">
        <is>
          <t>L</t>
        </is>
      </c>
      <c r="D16" s="261" t="n"/>
      <c r="E16" s="262">
        <f>'Daily Consumption'!B46</f>
        <v/>
      </c>
      <c r="F16" s="261">
        <f>'Daily Consumption'!C46</f>
        <v/>
      </c>
      <c r="G16" s="261">
        <f>'Daily Consumption'!D46</f>
        <v/>
      </c>
      <c r="H16" s="261">
        <f>'Daily Consumption'!E46</f>
        <v/>
      </c>
      <c r="I16" s="261">
        <f>'Daily Consumption'!F46</f>
        <v/>
      </c>
      <c r="J16" s="261">
        <f>'Daily Consumption'!G46</f>
        <v/>
      </c>
      <c r="K16" s="261">
        <f>'Daily Consumption'!H46</f>
        <v/>
      </c>
      <c r="L16" s="261">
        <f>'Daily Consumption'!I46</f>
        <v/>
      </c>
      <c r="M16" s="261">
        <f>'Daily Consumption'!J46</f>
        <v/>
      </c>
      <c r="N16" s="261">
        <f>'Daily Consumption'!K46</f>
        <v/>
      </c>
      <c r="O16" s="261">
        <f>'Daily Consumption'!L46</f>
        <v/>
      </c>
      <c r="P16" s="261">
        <f>'Daily Consumption'!M46</f>
        <v/>
      </c>
      <c r="Q16" s="261">
        <f>'Daily Consumption'!N46</f>
        <v/>
      </c>
      <c r="R16" s="261">
        <f>'Daily Consumption'!O46</f>
        <v/>
      </c>
      <c r="S16" s="261">
        <f>'Daily Consumption'!P46</f>
        <v/>
      </c>
      <c r="T16" s="261">
        <f>'Daily Consumption'!Q46</f>
        <v/>
      </c>
      <c r="U16" s="261">
        <f>'Daily Consumption'!R46</f>
        <v/>
      </c>
      <c r="V16" s="261">
        <f>'Daily Consumption'!S46</f>
        <v/>
      </c>
      <c r="W16" s="261">
        <f>'Daily Consumption'!T46</f>
        <v/>
      </c>
      <c r="X16" s="261">
        <f>'Daily Consumption'!U46</f>
        <v/>
      </c>
      <c r="Y16" s="261">
        <f>'Daily Consumption'!V46</f>
        <v/>
      </c>
      <c r="Z16" s="261">
        <f>'Daily Consumption'!W46</f>
        <v/>
      </c>
      <c r="AA16" s="261">
        <f>'Daily Consumption'!X46</f>
        <v/>
      </c>
      <c r="AB16" s="261">
        <f>'Daily Consumption'!Y46</f>
        <v/>
      </c>
      <c r="AC16" s="261">
        <f>'Daily Consumption'!Z46</f>
        <v/>
      </c>
      <c r="AD16" s="261">
        <f>'Daily Consumption'!AA46</f>
        <v/>
      </c>
      <c r="AE16" s="261">
        <f>'Daily Consumption'!AB46</f>
        <v/>
      </c>
      <c r="AF16" s="261">
        <f>'Daily Consumption'!AC46</f>
        <v/>
      </c>
      <c r="AG16" s="261">
        <f>'Daily Consumption'!AD46</f>
        <v/>
      </c>
      <c r="AH16" s="261">
        <f>'Daily Consumption'!AE46</f>
        <v/>
      </c>
      <c r="AI16" s="261">
        <f>'Daily Consumption'!AF46</f>
        <v/>
      </c>
      <c r="AJ16" s="261">
        <f>'Daily Consumption'!AG46</f>
        <v/>
      </c>
      <c r="AK16" s="261">
        <f>'Daily Consumption'!AH46</f>
        <v/>
      </c>
      <c r="AL16" s="261">
        <f>'Daily Consumption'!AI46</f>
        <v/>
      </c>
      <c r="AM16" s="261">
        <f>'Daily Consumption'!AJ46</f>
        <v/>
      </c>
      <c r="AN16" s="261">
        <f>'Daily Consumption'!AK46</f>
        <v/>
      </c>
      <c r="AO16" s="261">
        <f>'Daily Consumption'!AL46</f>
        <v/>
      </c>
      <c r="AP16" s="261">
        <f>'Daily Consumption'!AM46</f>
        <v/>
      </c>
      <c r="AQ16" s="261">
        <f>'Daily Consumption'!AN46</f>
        <v/>
      </c>
      <c r="AR16" s="261">
        <f>'Daily Consumption'!AO46</f>
        <v/>
      </c>
      <c r="AS16" s="261">
        <f>'Daily Consumption'!AP46</f>
        <v/>
      </c>
      <c r="AT16" s="261">
        <f>'Daily Consumption'!AQ46</f>
        <v/>
      </c>
      <c r="AU16" s="261">
        <f>'Daily Consumption'!AR46</f>
        <v/>
      </c>
      <c r="AV16" s="261">
        <f>'Daily Consumption'!AS46</f>
        <v/>
      </c>
      <c r="AW16" s="261">
        <f>'Daily Consumption'!AT46</f>
        <v/>
      </c>
      <c r="AX16" s="261">
        <f>'Daily Consumption'!AU46</f>
        <v/>
      </c>
      <c r="AY16" s="261">
        <f>'Daily Consumption'!AV46</f>
        <v/>
      </c>
      <c r="AZ16" s="261">
        <f>'Daily Consumption'!AW46</f>
        <v/>
      </c>
      <c r="BA16" s="261">
        <f>'Daily Consumption'!AX46</f>
        <v/>
      </c>
      <c r="BB16" s="261">
        <f>'Daily Consumption'!AY46</f>
        <v/>
      </c>
      <c r="BC16" s="261">
        <f>'Daily Consumption'!AZ46</f>
        <v/>
      </c>
      <c r="BD16" s="261">
        <f>'Daily Consumption'!BA46</f>
        <v/>
      </c>
      <c r="BE16" s="261">
        <f>'Daily Consumption'!BB46</f>
        <v/>
      </c>
      <c r="BF16" s="261">
        <f>'Daily Consumption'!BC46</f>
        <v/>
      </c>
      <c r="BG16" s="261">
        <f>'Daily Consumption'!BD46</f>
        <v/>
      </c>
      <c r="BH16" s="261">
        <f>'Daily Consumption'!BE46</f>
        <v/>
      </c>
      <c r="BI16" s="261">
        <f>'Daily Consumption'!BF46</f>
        <v/>
      </c>
      <c r="BJ16" s="261">
        <f>'Daily Consumption'!BG46</f>
        <v/>
      </c>
      <c r="BK16" s="261">
        <f>'Daily Consumption'!BH46</f>
        <v/>
      </c>
      <c r="BL16" s="261">
        <f>'Daily Consumption'!BI46</f>
        <v/>
      </c>
      <c r="BM16" s="261">
        <f>'Daily Consumption'!BJ46</f>
        <v/>
      </c>
      <c r="BN16" s="261">
        <f>'Daily Consumption'!BK46</f>
        <v/>
      </c>
      <c r="BO16" s="261">
        <f>'Daily Consumption'!BL46</f>
        <v/>
      </c>
      <c r="BP16" s="261">
        <f>'Daily Consumption'!BM46</f>
        <v/>
      </c>
      <c r="BQ16" s="261">
        <f>'Daily Consumption'!BN46</f>
        <v/>
      </c>
      <c r="BR16" s="261">
        <f>'Daily Consumption'!BO46</f>
        <v/>
      </c>
      <c r="BS16" s="261">
        <f>'Daily Consumption'!BP46</f>
        <v/>
      </c>
      <c r="BT16" s="261">
        <f>'Daily Consumption'!BQ46</f>
        <v/>
      </c>
      <c r="BU16" s="261">
        <f>'Daily Consumption'!BR46</f>
        <v/>
      </c>
      <c r="BV16" s="261">
        <f>'Daily Consumption'!BS46</f>
        <v/>
      </c>
      <c r="BW16" s="261">
        <f>'Daily Consumption'!BT46</f>
        <v/>
      </c>
      <c r="BX16" s="261">
        <f>'Daily Consumption'!BU46</f>
        <v/>
      </c>
      <c r="BY16" s="261">
        <f>'Daily Consumption'!BV46</f>
        <v/>
      </c>
      <c r="BZ16" s="261">
        <f>'Daily Consumption'!BW46</f>
        <v/>
      </c>
      <c r="CA16" s="261">
        <f>'Daily Consumption'!BX46</f>
        <v/>
      </c>
      <c r="CB16" s="261">
        <f>'Daily Consumption'!BY46</f>
        <v/>
      </c>
      <c r="CC16" s="261">
        <f>'Daily Consumption'!BZ46</f>
        <v/>
      </c>
      <c r="CD16" s="261">
        <f>'Daily Consumption'!CA46</f>
        <v/>
      </c>
      <c r="CE16" s="261">
        <f>'Daily Consumption'!CB46</f>
        <v/>
      </c>
      <c r="CF16" s="261">
        <f>'Daily Consumption'!CC46</f>
        <v/>
      </c>
      <c r="CG16" s="261">
        <f>'Daily Consumption'!CD46</f>
        <v/>
      </c>
      <c r="CH16" s="261">
        <f>'Daily Consumption'!CE46</f>
        <v/>
      </c>
      <c r="CI16" s="261">
        <f>'Daily Consumption'!CF46</f>
        <v/>
      </c>
      <c r="CJ16" s="261">
        <f>'Daily Consumption'!CG46</f>
        <v/>
      </c>
      <c r="CK16" s="261">
        <f>'Daily Consumption'!CH46</f>
        <v/>
      </c>
      <c r="CL16" s="261">
        <f>'Daily Consumption'!CI46</f>
        <v/>
      </c>
      <c r="CM16" s="261">
        <f>'Daily Consumption'!CJ46</f>
        <v/>
      </c>
      <c r="CN16" s="261">
        <f>'Daily Consumption'!CK46</f>
        <v/>
      </c>
      <c r="CO16" s="261">
        <f>'Daily Consumption'!CL46</f>
        <v/>
      </c>
      <c r="CP16" s="261">
        <f>'Daily Consumption'!CM46</f>
        <v/>
      </c>
      <c r="CQ16" s="261">
        <f>'Daily Consumption'!CN46</f>
        <v/>
      </c>
      <c r="CR16" s="261">
        <f>'Daily Consumption'!CO46</f>
        <v/>
      </c>
      <c r="CS16" s="261">
        <f>'Daily Consumption'!CP46</f>
        <v/>
      </c>
      <c r="CT16" s="261">
        <f>'Daily Consumption'!CQ46</f>
        <v/>
      </c>
      <c r="CU16" s="261">
        <f>'Daily Consumption'!CR46</f>
        <v/>
      </c>
      <c r="CV16" s="261">
        <f>'Daily Consumption'!CS46</f>
        <v/>
      </c>
      <c r="CW16" s="261">
        <f>'Daily Consumption'!CT46</f>
        <v/>
      </c>
      <c r="CX16" s="261">
        <f>'Daily Consumption'!CU46</f>
        <v/>
      </c>
      <c r="CY16" s="261">
        <f>'Daily Consumption'!CV46</f>
        <v/>
      </c>
      <c r="CZ16" s="261">
        <f>'Daily Consumption'!CW46</f>
        <v/>
      </c>
      <c r="DA16" s="261">
        <f>'Daily Consumption'!CX46</f>
        <v/>
      </c>
      <c r="DB16" s="261">
        <f>'Daily Consumption'!CY46</f>
        <v/>
      </c>
      <c r="DC16" s="261">
        <f>'Daily Consumption'!CZ46</f>
        <v/>
      </c>
      <c r="DD16" s="261">
        <f>'Daily Consumption'!DA46</f>
        <v/>
      </c>
      <c r="DE16" s="261">
        <f>'Daily Consumption'!DB46</f>
        <v/>
      </c>
      <c r="DF16" s="261">
        <f>'Daily Consumption'!DC46</f>
        <v/>
      </c>
      <c r="DG16" s="261">
        <f>'Daily Consumption'!DD46</f>
        <v/>
      </c>
      <c r="DH16" s="261">
        <f>'Daily Consumption'!DE46</f>
        <v/>
      </c>
      <c r="DI16" s="261">
        <f>'Daily Consumption'!DF46</f>
        <v/>
      </c>
      <c r="DJ16" s="261">
        <f>'Daily Consumption'!DG46</f>
        <v/>
      </c>
      <c r="DK16" s="261">
        <f>'Daily Consumption'!DH46</f>
        <v/>
      </c>
      <c r="DL16" s="261">
        <f>'Daily Consumption'!DI46</f>
        <v/>
      </c>
      <c r="DM16" s="261">
        <f>'Daily Consumption'!DJ46</f>
        <v/>
      </c>
      <c r="DN16" s="261">
        <f>'Daily Consumption'!DK46</f>
        <v/>
      </c>
      <c r="DO16" s="261">
        <f>'Daily Consumption'!DL46</f>
        <v/>
      </c>
      <c r="DP16" s="261">
        <f>'Daily Consumption'!DM46</f>
        <v/>
      </c>
      <c r="DQ16" s="261">
        <f>'Daily Consumption'!DN46</f>
        <v/>
      </c>
      <c r="DR16" s="261">
        <f>'Daily Consumption'!DO46</f>
        <v/>
      </c>
      <c r="DS16" s="261">
        <f>'Daily Consumption'!DP46</f>
        <v/>
      </c>
      <c r="DT16" s="261">
        <f>'Daily Consumption'!DQ46</f>
        <v/>
      </c>
      <c r="DU16" s="261">
        <f>'Daily Consumption'!DR46</f>
        <v/>
      </c>
      <c r="DV16" s="261">
        <f>'Daily Consumption'!DS46</f>
        <v/>
      </c>
      <c r="DW16" s="261">
        <f>'Daily Consumption'!DT46</f>
        <v/>
      </c>
      <c r="DX16" s="261">
        <f>'Daily Consumption'!DU46</f>
        <v/>
      </c>
      <c r="DY16" s="261">
        <f>'Daily Consumption'!DV46</f>
        <v/>
      </c>
      <c r="DZ16" s="261">
        <f>'Daily Consumption'!DW46</f>
        <v/>
      </c>
      <c r="EA16" s="261">
        <f>'Daily Consumption'!DX46</f>
        <v/>
      </c>
      <c r="EB16" s="261">
        <f>'Daily Consumption'!DY46</f>
        <v/>
      </c>
      <c r="EC16" s="261">
        <f>'Daily Consumption'!DZ46</f>
        <v/>
      </c>
      <c r="ED16" s="261">
        <f>'Daily Consumption'!EA46</f>
        <v/>
      </c>
      <c r="EE16" s="261">
        <f>'Daily Consumption'!EB46</f>
        <v/>
      </c>
      <c r="EF16" s="261">
        <f>'Daily Consumption'!EC46</f>
        <v/>
      </c>
      <c r="EG16" s="261">
        <f>'Daily Consumption'!ED46</f>
        <v/>
      </c>
      <c r="EH16" s="261">
        <f>'Daily Consumption'!EE46</f>
        <v/>
      </c>
      <c r="EI16" s="261">
        <f>'Daily Consumption'!EF46</f>
        <v/>
      </c>
      <c r="EJ16" s="261">
        <f>'Daily Consumption'!EG46</f>
        <v/>
      </c>
      <c r="EK16" s="261">
        <f>'Daily Consumption'!EH46</f>
        <v/>
      </c>
      <c r="EL16" s="261">
        <f>'Daily Consumption'!EI46</f>
        <v/>
      </c>
      <c r="EM16" s="261">
        <f>'Daily Consumption'!EJ46</f>
        <v/>
      </c>
      <c r="EN16" s="261">
        <f>'Daily Consumption'!EK46</f>
        <v/>
      </c>
      <c r="EO16" s="261">
        <f>'Daily Consumption'!EL46</f>
        <v/>
      </c>
      <c r="EP16" s="261">
        <f>'Daily Consumption'!EM46</f>
        <v/>
      </c>
      <c r="EQ16" s="261">
        <f>'Daily Consumption'!EN46</f>
        <v/>
      </c>
      <c r="ER16" s="261">
        <f>'Daily Consumption'!EO46</f>
        <v/>
      </c>
      <c r="ES16" s="261">
        <f>'Daily Consumption'!EP46</f>
        <v/>
      </c>
      <c r="ET16" s="261">
        <f>'Daily Consumption'!EQ46</f>
        <v/>
      </c>
      <c r="EU16" s="261">
        <f>'Daily Consumption'!ER46</f>
        <v/>
      </c>
      <c r="EV16" s="261">
        <f>'Daily Consumption'!ES46</f>
        <v/>
      </c>
      <c r="EW16" s="261">
        <f>'Daily Consumption'!ET46</f>
        <v/>
      </c>
      <c r="EX16" s="261">
        <f>'Daily Consumption'!EU46</f>
        <v/>
      </c>
      <c r="EY16" s="261">
        <f>'Daily Consumption'!EV46</f>
        <v/>
      </c>
      <c r="EZ16" s="261">
        <f>'Daily Consumption'!EW46</f>
        <v/>
      </c>
      <c r="FA16" s="261">
        <f>'Daily Consumption'!EX46</f>
        <v/>
      </c>
      <c r="FB16" s="261">
        <f>'Daily Consumption'!EY46</f>
        <v/>
      </c>
      <c r="FC16" s="261">
        <f>'Daily Consumption'!EZ46</f>
        <v/>
      </c>
      <c r="FD16" s="261">
        <f>'Daily Consumption'!FA46</f>
        <v/>
      </c>
      <c r="FE16" s="261">
        <f>'Daily Consumption'!FB46</f>
        <v/>
      </c>
      <c r="FF16" s="261">
        <f>'Daily Consumption'!FC46</f>
        <v/>
      </c>
      <c r="FG16" s="261">
        <f>'Daily Consumption'!FD46</f>
        <v/>
      </c>
      <c r="FH16" s="261">
        <f>'Daily Consumption'!FE46</f>
        <v/>
      </c>
      <c r="FI16" s="261">
        <f>'Daily Consumption'!FF46</f>
        <v/>
      </c>
      <c r="FJ16" s="261">
        <f>'Daily Consumption'!FG46</f>
        <v/>
      </c>
      <c r="FK16" s="261">
        <f>'Daily Consumption'!FH46</f>
        <v/>
      </c>
      <c r="FL16" s="261">
        <f>'Daily Consumption'!FI46</f>
        <v/>
      </c>
      <c r="FM16" s="261">
        <f>'Daily Consumption'!FJ46</f>
        <v/>
      </c>
      <c r="FN16" s="261">
        <f>'Daily Consumption'!FK46</f>
        <v/>
      </c>
      <c r="FO16" s="261">
        <f>'Daily Consumption'!FL46</f>
        <v/>
      </c>
      <c r="FP16" s="261">
        <f>'Daily Consumption'!FM46</f>
        <v/>
      </c>
      <c r="FQ16" s="261">
        <f>'Daily Consumption'!FN46</f>
        <v/>
      </c>
      <c r="FR16" s="261">
        <f>'Daily Consumption'!FO46</f>
        <v/>
      </c>
      <c r="FS16" s="261">
        <f>'Daily Consumption'!FP46</f>
        <v/>
      </c>
      <c r="FT16" s="261">
        <f>'Daily Consumption'!FQ46</f>
        <v/>
      </c>
      <c r="FU16" s="261">
        <f>'Daily Consumption'!FR46</f>
        <v/>
      </c>
      <c r="FV16" s="261">
        <f>'Daily Consumption'!FS46</f>
        <v/>
      </c>
      <c r="FW16" s="261">
        <f>'Daily Consumption'!FT46</f>
        <v/>
      </c>
      <c r="FX16" s="261">
        <f>'Daily Consumption'!FU46</f>
        <v/>
      </c>
      <c r="FY16" s="261">
        <f>'Daily Consumption'!FV46</f>
        <v/>
      </c>
      <c r="FZ16" s="261">
        <f>'Daily Consumption'!FW46</f>
        <v/>
      </c>
      <c r="GA16" s="261">
        <f>'Daily Consumption'!FX46</f>
        <v/>
      </c>
      <c r="GB16" s="261">
        <f>'Daily Consumption'!FY46</f>
        <v/>
      </c>
      <c r="GC16" s="261">
        <f>'Daily Consumption'!FZ46</f>
        <v/>
      </c>
      <c r="GD16" s="261">
        <f>'Daily Consumption'!GA46</f>
        <v/>
      </c>
      <c r="GE16" s="261">
        <f>'Daily Consumption'!GB46</f>
        <v/>
      </c>
      <c r="GF16" s="261">
        <f>'Daily Consumption'!GC46</f>
        <v/>
      </c>
      <c r="GG16" s="261">
        <f>'Daily Consumption'!GD46</f>
        <v/>
      </c>
      <c r="GH16" s="261">
        <f>'Daily Consumption'!GE46</f>
        <v/>
      </c>
      <c r="GI16" s="261">
        <f>'Daily Consumption'!GF46</f>
        <v/>
      </c>
      <c r="GJ16" s="261">
        <f>'Daily Consumption'!GG46</f>
        <v/>
      </c>
      <c r="GK16" s="261">
        <f>'Daily Consumption'!GH46</f>
        <v/>
      </c>
      <c r="GL16" s="261">
        <f>'Daily Consumption'!GI46</f>
        <v/>
      </c>
      <c r="GM16" s="261">
        <f>'Daily Consumption'!GJ46</f>
        <v/>
      </c>
      <c r="GN16" s="261">
        <f>'Daily Consumption'!GK46</f>
        <v/>
      </c>
      <c r="GO16" s="261">
        <f>'Daily Consumption'!GL46</f>
        <v/>
      </c>
      <c r="GP16" s="261">
        <f>'Daily Consumption'!GM46</f>
        <v/>
      </c>
      <c r="GQ16" s="261">
        <f>'Daily Consumption'!GN46</f>
        <v/>
      </c>
      <c r="GR16" s="261">
        <f>'Daily Consumption'!GO46</f>
        <v/>
      </c>
      <c r="GS16" s="261">
        <f>'Daily Consumption'!GP46</f>
        <v/>
      </c>
      <c r="GT16" s="261">
        <f>'Daily Consumption'!GQ46</f>
        <v/>
      </c>
      <c r="GU16" s="261">
        <f>'Daily Consumption'!GR46</f>
        <v/>
      </c>
      <c r="GV16" s="261">
        <f>'Daily Consumption'!GS46</f>
        <v/>
      </c>
      <c r="GW16" s="261">
        <f>'Daily Consumption'!GT46</f>
        <v/>
      </c>
      <c r="GX16" s="261">
        <f>'Daily Consumption'!GU46</f>
        <v/>
      </c>
      <c r="GY16" s="261">
        <f>'Daily Consumption'!GV46</f>
        <v/>
      </c>
      <c r="GZ16" s="261">
        <f>'Daily Consumption'!GW46</f>
        <v/>
      </c>
      <c r="HA16" s="261">
        <f>'Daily Consumption'!GX46</f>
        <v/>
      </c>
      <c r="HB16" s="261">
        <f>'Daily Consumption'!GY46</f>
        <v/>
      </c>
      <c r="HC16" s="261">
        <f>'Daily Consumption'!GZ46</f>
        <v/>
      </c>
      <c r="HD16" s="261">
        <f>'Daily Consumption'!HA46</f>
        <v/>
      </c>
      <c r="HE16" s="261">
        <f>'Daily Consumption'!HB46</f>
        <v/>
      </c>
      <c r="HF16" s="261">
        <f>'Daily Consumption'!HC46</f>
        <v/>
      </c>
      <c r="HG16" s="261">
        <f>'Daily Consumption'!HD46</f>
        <v/>
      </c>
      <c r="HH16" s="261">
        <f>'Daily Consumption'!HE46</f>
        <v/>
      </c>
      <c r="HI16" s="261">
        <f>'Daily Consumption'!HF46</f>
        <v/>
      </c>
      <c r="HJ16" s="261">
        <f>'Daily Consumption'!HG46</f>
        <v/>
      </c>
      <c r="HK16" s="261">
        <f>'Daily Consumption'!HH46</f>
        <v/>
      </c>
      <c r="HL16" s="261">
        <f>'Daily Consumption'!HI46</f>
        <v/>
      </c>
      <c r="HM16" s="261">
        <f>'Daily Consumption'!HJ46</f>
        <v/>
      </c>
      <c r="HN16" s="261">
        <f>'Daily Consumption'!HK46</f>
        <v/>
      </c>
      <c r="HO16" s="261">
        <f>'Daily Consumption'!HL46</f>
        <v/>
      </c>
      <c r="HP16" s="261">
        <f>'Daily Consumption'!HM46</f>
        <v/>
      </c>
      <c r="HQ16" s="261">
        <f>'Daily Consumption'!HN46</f>
        <v/>
      </c>
      <c r="HR16" s="261">
        <f>'Daily Consumption'!HO46</f>
        <v/>
      </c>
      <c r="HS16" s="261">
        <f>'Daily Consumption'!HP46</f>
        <v/>
      </c>
      <c r="HT16" s="261">
        <f>'Daily Consumption'!HQ46</f>
        <v/>
      </c>
      <c r="HU16" s="261">
        <f>'Daily Consumption'!HR46</f>
        <v/>
      </c>
      <c r="HV16" s="261">
        <f>'Daily Consumption'!HS46</f>
        <v/>
      </c>
      <c r="HW16" s="261">
        <f>'Daily Consumption'!HT46</f>
        <v/>
      </c>
      <c r="HX16" s="261">
        <f>'Daily Consumption'!HU46</f>
        <v/>
      </c>
      <c r="HY16" s="261">
        <f>'Daily Consumption'!HV46</f>
        <v/>
      </c>
      <c r="HZ16" s="261">
        <f>'Daily Consumption'!HW46</f>
        <v/>
      </c>
      <c r="IA16" s="261">
        <f>'Daily Consumption'!HX46</f>
        <v/>
      </c>
      <c r="IB16" s="261">
        <f>'Daily Consumption'!HY46</f>
        <v/>
      </c>
      <c r="IC16" s="261">
        <f>'Daily Consumption'!HZ46</f>
        <v/>
      </c>
      <c r="ID16" s="261">
        <f>'Daily Consumption'!IA46</f>
        <v/>
      </c>
      <c r="IE16" s="261">
        <f>'Daily Consumption'!IB46</f>
        <v/>
      </c>
      <c r="IF16" s="261">
        <f>'Daily Consumption'!IC46</f>
        <v/>
      </c>
      <c r="IG16" s="261">
        <f>'Daily Consumption'!ID46</f>
        <v/>
      </c>
      <c r="IH16" s="261">
        <f>'Daily Consumption'!IE46</f>
        <v/>
      </c>
      <c r="II16" s="261">
        <f>'Daily Consumption'!IF46</f>
        <v/>
      </c>
      <c r="IJ16" s="261">
        <f>'Daily Consumption'!IG46</f>
        <v/>
      </c>
      <c r="IK16" s="261">
        <f>'Daily Consumption'!IH46</f>
        <v/>
      </c>
      <c r="IL16" s="261">
        <f>'Daily Consumption'!II46</f>
        <v/>
      </c>
      <c r="IM16" s="261">
        <f>'Daily Consumption'!IJ46</f>
        <v/>
      </c>
      <c r="IN16" s="261">
        <f>'Daily Consumption'!IK46</f>
        <v/>
      </c>
      <c r="IO16" s="261">
        <f>'Daily Consumption'!IL46</f>
        <v/>
      </c>
      <c r="IP16" s="261">
        <f>'Daily Consumption'!IM46</f>
        <v/>
      </c>
      <c r="IQ16" s="261">
        <f>'Daily Consumption'!IN46</f>
        <v/>
      </c>
      <c r="IR16" s="261">
        <f>'Daily Consumption'!IO46</f>
        <v/>
      </c>
      <c r="IS16" s="261">
        <f>'Daily Consumption'!IP46</f>
        <v/>
      </c>
      <c r="IT16" s="261">
        <f>'Daily Consumption'!IQ46</f>
        <v/>
      </c>
      <c r="IU16" s="261">
        <f>'Daily Consumption'!IR46</f>
        <v/>
      </c>
      <c r="IV16" s="261">
        <f>'Daily Consumption'!IS46</f>
        <v/>
      </c>
      <c r="IW16" s="261">
        <f>'Daily Consumption'!IT46</f>
        <v/>
      </c>
      <c r="IX16" s="261">
        <f>'Daily Consumption'!IU46</f>
        <v/>
      </c>
      <c r="IY16" s="261">
        <f>'Daily Consumption'!IV46</f>
        <v/>
      </c>
      <c r="IZ16" s="261">
        <f>'Daily Consumption'!IW46</f>
        <v/>
      </c>
      <c r="JA16" s="261">
        <f>'Daily Consumption'!IX46</f>
        <v/>
      </c>
      <c r="JB16" s="261">
        <f>'Daily Consumption'!IY46</f>
        <v/>
      </c>
      <c r="JC16" s="261">
        <f>'Daily Consumption'!IZ46</f>
        <v/>
      </c>
      <c r="JD16" s="261">
        <f>'Daily Consumption'!JA46</f>
        <v/>
      </c>
      <c r="JE16" s="261">
        <f>'Daily Consumption'!JB46</f>
        <v/>
      </c>
      <c r="JF16" s="261">
        <f>'Daily Consumption'!JC46</f>
        <v/>
      </c>
      <c r="JG16" s="261">
        <f>'Daily Consumption'!JD46</f>
        <v/>
      </c>
      <c r="JH16" s="261">
        <f>'Daily Consumption'!JE46</f>
        <v/>
      </c>
      <c r="JI16" s="261">
        <f>'Daily Consumption'!JF46</f>
        <v/>
      </c>
      <c r="JJ16" s="261">
        <f>'Daily Consumption'!JG46</f>
        <v/>
      </c>
      <c r="JK16" s="261">
        <f>'Daily Consumption'!JH46</f>
        <v/>
      </c>
      <c r="JL16" s="261">
        <f>'Daily Consumption'!JI46</f>
        <v/>
      </c>
      <c r="JM16" s="261">
        <f>'Daily Consumption'!JJ46</f>
        <v/>
      </c>
      <c r="JN16" s="261">
        <f>'Daily Consumption'!JK46</f>
        <v/>
      </c>
      <c r="JO16" s="261">
        <f>'Daily Consumption'!JL46</f>
        <v/>
      </c>
      <c r="JP16" s="261">
        <f>'Daily Consumption'!JM46</f>
        <v/>
      </c>
      <c r="JQ16" s="261">
        <f>'Daily Consumption'!JN46</f>
        <v/>
      </c>
      <c r="JR16" s="261">
        <f>'Daily Consumption'!JO46</f>
        <v/>
      </c>
      <c r="JS16" s="261">
        <f>'Daily Consumption'!JP46</f>
        <v/>
      </c>
      <c r="JT16" s="261">
        <f>'Daily Consumption'!JQ46</f>
        <v/>
      </c>
      <c r="JU16" s="261">
        <f>'Daily Consumption'!JR46</f>
        <v/>
      </c>
      <c r="JV16" s="261">
        <f>'Daily Consumption'!JS46</f>
        <v/>
      </c>
      <c r="JW16" s="261">
        <f>'Daily Consumption'!JT46</f>
        <v/>
      </c>
      <c r="JX16" s="261">
        <f>'Daily Consumption'!JU46</f>
        <v/>
      </c>
      <c r="JY16" s="261">
        <f>'Daily Consumption'!JV46</f>
        <v/>
      </c>
      <c r="JZ16" s="261">
        <f>'Daily Consumption'!JW46</f>
        <v/>
      </c>
      <c r="KA16" s="261">
        <f>'Daily Consumption'!JX46</f>
        <v/>
      </c>
      <c r="KB16" s="261">
        <f>'Daily Consumption'!JY46</f>
        <v/>
      </c>
      <c r="KC16" s="261">
        <f>'Daily Consumption'!JZ46</f>
        <v/>
      </c>
      <c r="KD16" s="261">
        <f>'Daily Consumption'!KA46</f>
        <v/>
      </c>
      <c r="KE16" s="261">
        <f>'Daily Consumption'!KB46</f>
        <v/>
      </c>
      <c r="KF16" s="261">
        <f>'Daily Consumption'!KC46</f>
        <v/>
      </c>
      <c r="KG16" s="261">
        <f>'Daily Consumption'!KD46</f>
        <v/>
      </c>
      <c r="KH16" s="261">
        <f>'Daily Consumption'!KE46</f>
        <v/>
      </c>
      <c r="KI16" s="261">
        <f>'Daily Consumption'!KF46</f>
        <v/>
      </c>
      <c r="KJ16" s="261">
        <f>'Daily Consumption'!KG46</f>
        <v/>
      </c>
      <c r="KK16" s="261">
        <f>'Daily Consumption'!KH46</f>
        <v/>
      </c>
      <c r="KL16" s="261">
        <f>'Daily Consumption'!KI46</f>
        <v/>
      </c>
      <c r="KM16" s="261">
        <f>'Daily Consumption'!KJ46</f>
        <v/>
      </c>
      <c r="KN16" s="261">
        <f>'Daily Consumption'!KK46</f>
        <v/>
      </c>
      <c r="KO16" s="261">
        <f>'Daily Consumption'!KL46</f>
        <v/>
      </c>
      <c r="KP16" s="261">
        <f>'Daily Consumption'!KM46</f>
        <v/>
      </c>
      <c r="KQ16" s="261">
        <f>'Daily Consumption'!KN46</f>
        <v/>
      </c>
      <c r="KR16" s="261">
        <f>'Daily Consumption'!KO46</f>
        <v/>
      </c>
      <c r="KS16" s="261">
        <f>'Daily Consumption'!KP46</f>
        <v/>
      </c>
      <c r="KT16" s="261">
        <f>'Daily Consumption'!KQ46</f>
        <v/>
      </c>
      <c r="KU16" s="261">
        <f>'Daily Consumption'!KR46</f>
        <v/>
      </c>
      <c r="KV16" s="261">
        <f>'Daily Consumption'!KS46</f>
        <v/>
      </c>
      <c r="KW16" s="261">
        <f>'Daily Consumption'!KT46</f>
        <v/>
      </c>
      <c r="KX16" s="261">
        <f>'Daily Consumption'!KU46</f>
        <v/>
      </c>
      <c r="KY16" s="261">
        <f>'Daily Consumption'!KV46</f>
        <v/>
      </c>
      <c r="KZ16" s="261">
        <f>'Daily Consumption'!KW46</f>
        <v/>
      </c>
      <c r="LA16" s="261">
        <f>'Daily Consumption'!KX46</f>
        <v/>
      </c>
      <c r="LB16" s="261">
        <f>'Daily Consumption'!KY46</f>
        <v/>
      </c>
      <c r="LC16" s="261">
        <f>'Daily Consumption'!KZ46</f>
        <v/>
      </c>
      <c r="LD16" s="261">
        <f>'Daily Consumption'!LA46</f>
        <v/>
      </c>
      <c r="LE16" s="261">
        <f>'Daily Consumption'!LB46</f>
        <v/>
      </c>
      <c r="LF16" s="261">
        <f>'Daily Consumption'!LC46</f>
        <v/>
      </c>
      <c r="LG16" s="261">
        <f>'Daily Consumption'!LD46</f>
        <v/>
      </c>
      <c r="LH16" s="261">
        <f>'Daily Consumption'!LE46</f>
        <v/>
      </c>
      <c r="LI16" s="261">
        <f>'Daily Consumption'!LF46</f>
        <v/>
      </c>
      <c r="LJ16" s="261">
        <f>'Daily Consumption'!LG46</f>
        <v/>
      </c>
      <c r="LK16" s="261">
        <f>'Daily Consumption'!LH46</f>
        <v/>
      </c>
      <c r="LL16" s="261">
        <f>'Daily Consumption'!LI46</f>
        <v/>
      </c>
      <c r="LM16" s="261">
        <f>'Daily Consumption'!LJ46</f>
        <v/>
      </c>
      <c r="LN16" s="261">
        <f>'Daily Consumption'!LK46</f>
        <v/>
      </c>
      <c r="LO16" s="261">
        <f>'Daily Consumption'!LL46</f>
        <v/>
      </c>
      <c r="LP16" s="261">
        <f>'Daily Consumption'!LM46</f>
        <v/>
      </c>
      <c r="LQ16" s="261">
        <f>'Daily Consumption'!LN46</f>
        <v/>
      </c>
      <c r="LR16" s="261">
        <f>'Daily Consumption'!LO46</f>
        <v/>
      </c>
      <c r="LS16" s="261">
        <f>'Daily Consumption'!LP46</f>
        <v/>
      </c>
      <c r="LT16" s="261">
        <f>'Daily Consumption'!LQ46</f>
        <v/>
      </c>
      <c r="LU16" s="261">
        <f>'Daily Consumption'!LR46</f>
        <v/>
      </c>
      <c r="LV16" s="261">
        <f>'Daily Consumption'!LS46</f>
        <v/>
      </c>
      <c r="LW16" s="261">
        <f>'Daily Consumption'!LT46</f>
        <v/>
      </c>
      <c r="LX16" s="261">
        <f>'Daily Consumption'!LU46</f>
        <v/>
      </c>
      <c r="LY16" s="261">
        <f>'Daily Consumption'!LV46</f>
        <v/>
      </c>
      <c r="LZ16" s="261">
        <f>'Daily Consumption'!LW46</f>
        <v/>
      </c>
      <c r="MA16" s="261">
        <f>'Daily Consumption'!LX46</f>
        <v/>
      </c>
      <c r="MB16" s="261">
        <f>'Daily Consumption'!LY46</f>
        <v/>
      </c>
      <c r="MC16" s="261">
        <f>'Daily Consumption'!LZ46</f>
        <v/>
      </c>
      <c r="MD16" s="261">
        <f>'Daily Consumption'!MA46</f>
        <v/>
      </c>
      <c r="ME16" s="261">
        <f>'Daily Consumption'!MB46</f>
        <v/>
      </c>
      <c r="MF16" s="261">
        <f>'Daily Consumption'!MC46</f>
        <v/>
      </c>
      <c r="MG16" s="261">
        <f>'Daily Consumption'!MD46</f>
        <v/>
      </c>
      <c r="MH16" s="261">
        <f>'Daily Consumption'!ME46</f>
        <v/>
      </c>
      <c r="MI16" s="261">
        <f>'Daily Consumption'!MF46</f>
        <v/>
      </c>
      <c r="MJ16" s="261">
        <f>'Daily Consumption'!MG46</f>
        <v/>
      </c>
      <c r="MK16" s="261">
        <f>'Daily Consumption'!MH46</f>
        <v/>
      </c>
      <c r="ML16" s="261">
        <f>'Daily Consumption'!MI46</f>
        <v/>
      </c>
      <c r="MM16" s="261">
        <f>'Daily Consumption'!MJ46</f>
        <v/>
      </c>
      <c r="MN16" s="261">
        <f>'Daily Consumption'!MK46</f>
        <v/>
      </c>
      <c r="MO16" s="261">
        <f>'Daily Consumption'!ML46</f>
        <v/>
      </c>
      <c r="MP16" s="261">
        <f>'Daily Consumption'!MM46</f>
        <v/>
      </c>
      <c r="MQ16" s="261">
        <f>'Daily Consumption'!MN46</f>
        <v/>
      </c>
      <c r="MR16" s="261">
        <f>'Daily Consumption'!MO46</f>
        <v/>
      </c>
      <c r="MS16" s="261">
        <f>'Daily Consumption'!MP46</f>
        <v/>
      </c>
      <c r="MT16" s="261">
        <f>'Daily Consumption'!MQ46</f>
        <v/>
      </c>
      <c r="MU16" s="261">
        <f>'Daily Consumption'!MR46</f>
        <v/>
      </c>
      <c r="MV16" s="261">
        <f>'Daily Consumption'!MS46</f>
        <v/>
      </c>
      <c r="MW16" s="261">
        <f>'Daily Consumption'!MT46</f>
        <v/>
      </c>
      <c r="MX16" s="261">
        <f>'Daily Consumption'!MU46</f>
        <v/>
      </c>
      <c r="MY16" s="261">
        <f>'Daily Consumption'!MV46</f>
        <v/>
      </c>
      <c r="MZ16" s="261">
        <f>'Daily Consumption'!MW46</f>
        <v/>
      </c>
      <c r="NA16" s="261">
        <f>'Daily Consumption'!MX46</f>
        <v/>
      </c>
      <c r="NB16" s="261">
        <f>'Daily Consumption'!MY46</f>
        <v/>
      </c>
      <c r="NC16" s="261">
        <f>'Daily Consumption'!MZ46</f>
        <v/>
      </c>
      <c r="ND16" s="261">
        <f>'Daily Consumption'!NA46</f>
        <v/>
      </c>
      <c r="NE16" s="261">
        <f>'Daily Consumption'!ND46</f>
        <v/>
      </c>
    </row>
    <row r="17" ht="15.75" customHeight="1" s="166">
      <c r="A17" s="247" t="inlineStr">
        <is>
          <t>CLIMATE DATA</t>
        </is>
      </c>
      <c r="B17" s="244" t="n"/>
      <c r="C17" s="245" t="n"/>
      <c r="D17" s="254" t="inlineStr">
        <is>
          <t xml:space="preserve"> </t>
        </is>
      </c>
      <c r="E17" s="254" t="inlineStr">
        <is>
          <t xml:space="preserve"> </t>
        </is>
      </c>
      <c r="F17" s="254" t="inlineStr">
        <is>
          <t xml:space="preserve"> </t>
        </is>
      </c>
      <c r="G17" s="254" t="inlineStr">
        <is>
          <t xml:space="preserve"> </t>
        </is>
      </c>
      <c r="H17" s="254" t="inlineStr">
        <is>
          <t xml:space="preserve"> </t>
        </is>
      </c>
      <c r="I17" s="254" t="inlineStr">
        <is>
          <t xml:space="preserve"> </t>
        </is>
      </c>
      <c r="J17" s="254" t="inlineStr">
        <is>
          <t xml:space="preserve"> </t>
        </is>
      </c>
      <c r="K17" s="254" t="inlineStr">
        <is>
          <t xml:space="preserve"> </t>
        </is>
      </c>
      <c r="L17" s="254" t="inlineStr">
        <is>
          <t xml:space="preserve"> </t>
        </is>
      </c>
      <c r="M17" s="254" t="inlineStr">
        <is>
          <t xml:space="preserve"> </t>
        </is>
      </c>
      <c r="N17" s="254" t="inlineStr">
        <is>
          <t xml:space="preserve"> </t>
        </is>
      </c>
      <c r="O17" s="254" t="inlineStr">
        <is>
          <t xml:space="preserve"> </t>
        </is>
      </c>
      <c r="P17" s="254" t="inlineStr">
        <is>
          <t xml:space="preserve"> </t>
        </is>
      </c>
      <c r="Q17" s="254" t="inlineStr">
        <is>
          <t xml:space="preserve"> </t>
        </is>
      </c>
      <c r="R17" s="254" t="inlineStr">
        <is>
          <t xml:space="preserve"> </t>
        </is>
      </c>
      <c r="S17" s="254" t="inlineStr">
        <is>
          <t xml:space="preserve"> </t>
        </is>
      </c>
      <c r="T17" s="254" t="inlineStr">
        <is>
          <t xml:space="preserve"> </t>
        </is>
      </c>
      <c r="U17" s="254" t="inlineStr">
        <is>
          <t xml:space="preserve"> </t>
        </is>
      </c>
      <c r="V17" s="254" t="inlineStr">
        <is>
          <t xml:space="preserve"> </t>
        </is>
      </c>
      <c r="W17" s="254" t="inlineStr">
        <is>
          <t xml:space="preserve"> </t>
        </is>
      </c>
      <c r="X17" s="254" t="inlineStr">
        <is>
          <t xml:space="preserve"> </t>
        </is>
      </c>
      <c r="Y17" s="254" t="inlineStr">
        <is>
          <t xml:space="preserve"> </t>
        </is>
      </c>
      <c r="Z17" s="254" t="inlineStr">
        <is>
          <t xml:space="preserve"> </t>
        </is>
      </c>
      <c r="AA17" s="254" t="inlineStr">
        <is>
          <t xml:space="preserve"> </t>
        </is>
      </c>
      <c r="AB17" s="254" t="inlineStr">
        <is>
          <t xml:space="preserve"> </t>
        </is>
      </c>
      <c r="AC17" s="254" t="inlineStr">
        <is>
          <t xml:space="preserve"> </t>
        </is>
      </c>
      <c r="AD17" s="254" t="inlineStr">
        <is>
          <t xml:space="preserve"> </t>
        </is>
      </c>
      <c r="AE17" s="254" t="inlineStr">
        <is>
          <t xml:space="preserve"> </t>
        </is>
      </c>
      <c r="AF17" s="254" t="inlineStr">
        <is>
          <t xml:space="preserve"> </t>
        </is>
      </c>
      <c r="AG17" s="254" t="inlineStr">
        <is>
          <t xml:space="preserve"> </t>
        </is>
      </c>
      <c r="AH17" s="254" t="inlineStr">
        <is>
          <t xml:space="preserve"> </t>
        </is>
      </c>
      <c r="AI17" s="254" t="inlineStr">
        <is>
          <t xml:space="preserve"> </t>
        </is>
      </c>
      <c r="AJ17" s="254" t="inlineStr">
        <is>
          <t xml:space="preserve"> </t>
        </is>
      </c>
      <c r="AK17" s="254" t="inlineStr">
        <is>
          <t xml:space="preserve"> </t>
        </is>
      </c>
      <c r="AL17" s="254" t="inlineStr">
        <is>
          <t xml:space="preserve"> </t>
        </is>
      </c>
      <c r="AM17" s="254" t="inlineStr">
        <is>
          <t xml:space="preserve"> </t>
        </is>
      </c>
      <c r="AN17" s="254" t="inlineStr">
        <is>
          <t xml:space="preserve"> </t>
        </is>
      </c>
      <c r="AO17" s="254" t="inlineStr">
        <is>
          <t xml:space="preserve"> </t>
        </is>
      </c>
      <c r="AP17" s="254" t="inlineStr">
        <is>
          <t xml:space="preserve"> </t>
        </is>
      </c>
      <c r="AQ17" s="254" t="inlineStr">
        <is>
          <t xml:space="preserve"> </t>
        </is>
      </c>
      <c r="AR17" s="254" t="inlineStr">
        <is>
          <t xml:space="preserve"> </t>
        </is>
      </c>
      <c r="AS17" s="254" t="inlineStr">
        <is>
          <t xml:space="preserve"> </t>
        </is>
      </c>
      <c r="AT17" s="254" t="inlineStr">
        <is>
          <t xml:space="preserve"> </t>
        </is>
      </c>
      <c r="AU17" s="254" t="inlineStr">
        <is>
          <t xml:space="preserve"> </t>
        </is>
      </c>
      <c r="AV17" s="254" t="inlineStr">
        <is>
          <t xml:space="preserve"> </t>
        </is>
      </c>
      <c r="AW17" s="254" t="inlineStr">
        <is>
          <t xml:space="preserve"> </t>
        </is>
      </c>
      <c r="AX17" s="254" t="inlineStr">
        <is>
          <t xml:space="preserve"> </t>
        </is>
      </c>
      <c r="AY17" s="254" t="inlineStr">
        <is>
          <t xml:space="preserve"> </t>
        </is>
      </c>
      <c r="AZ17" s="254" t="inlineStr">
        <is>
          <t xml:space="preserve"> </t>
        </is>
      </c>
      <c r="BA17" s="254" t="inlineStr">
        <is>
          <t xml:space="preserve"> </t>
        </is>
      </c>
      <c r="BB17" s="254" t="inlineStr">
        <is>
          <t xml:space="preserve"> </t>
        </is>
      </c>
      <c r="BC17" s="254" t="inlineStr">
        <is>
          <t xml:space="preserve"> </t>
        </is>
      </c>
      <c r="BD17" s="254" t="inlineStr">
        <is>
          <t xml:space="preserve"> </t>
        </is>
      </c>
      <c r="BE17" s="254" t="inlineStr">
        <is>
          <t xml:space="preserve"> </t>
        </is>
      </c>
      <c r="BF17" s="254" t="inlineStr">
        <is>
          <t xml:space="preserve"> </t>
        </is>
      </c>
      <c r="BG17" s="254" t="inlineStr">
        <is>
          <t xml:space="preserve"> </t>
        </is>
      </c>
      <c r="BH17" s="254" t="inlineStr">
        <is>
          <t xml:space="preserve"> </t>
        </is>
      </c>
      <c r="BI17" s="254" t="inlineStr">
        <is>
          <t xml:space="preserve"> </t>
        </is>
      </c>
      <c r="BJ17" s="254" t="inlineStr">
        <is>
          <t xml:space="preserve"> </t>
        </is>
      </c>
      <c r="BK17" s="254" t="inlineStr">
        <is>
          <t xml:space="preserve"> </t>
        </is>
      </c>
      <c r="BL17" s="254" t="inlineStr">
        <is>
          <t xml:space="preserve"> </t>
        </is>
      </c>
      <c r="BM17" s="254" t="inlineStr">
        <is>
          <t xml:space="preserve"> </t>
        </is>
      </c>
      <c r="BN17" s="254" t="inlineStr">
        <is>
          <t xml:space="preserve"> </t>
        </is>
      </c>
      <c r="BO17" s="254" t="inlineStr">
        <is>
          <t xml:space="preserve"> </t>
        </is>
      </c>
      <c r="BP17" s="254" t="inlineStr">
        <is>
          <t xml:space="preserve"> </t>
        </is>
      </c>
      <c r="BQ17" s="254" t="inlineStr">
        <is>
          <t xml:space="preserve"> </t>
        </is>
      </c>
      <c r="BR17" s="254" t="inlineStr">
        <is>
          <t xml:space="preserve"> </t>
        </is>
      </c>
      <c r="BS17" s="254" t="inlineStr">
        <is>
          <t xml:space="preserve"> </t>
        </is>
      </c>
      <c r="BT17" s="254" t="inlineStr">
        <is>
          <t xml:space="preserve"> </t>
        </is>
      </c>
      <c r="BU17" s="254" t="inlineStr">
        <is>
          <t xml:space="preserve"> </t>
        </is>
      </c>
      <c r="BV17" s="254" t="inlineStr">
        <is>
          <t xml:space="preserve"> </t>
        </is>
      </c>
      <c r="BW17" s="254" t="inlineStr">
        <is>
          <t xml:space="preserve"> </t>
        </is>
      </c>
      <c r="BX17" s="254" t="inlineStr">
        <is>
          <t xml:space="preserve"> </t>
        </is>
      </c>
      <c r="BY17" s="254" t="inlineStr">
        <is>
          <t xml:space="preserve"> </t>
        </is>
      </c>
      <c r="BZ17" s="254" t="inlineStr">
        <is>
          <t xml:space="preserve"> </t>
        </is>
      </c>
      <c r="CA17" s="254" t="inlineStr">
        <is>
          <t xml:space="preserve"> </t>
        </is>
      </c>
      <c r="CB17" s="254" t="inlineStr">
        <is>
          <t xml:space="preserve"> </t>
        </is>
      </c>
      <c r="CC17" s="254" t="inlineStr">
        <is>
          <t xml:space="preserve"> </t>
        </is>
      </c>
      <c r="CD17" s="254" t="inlineStr">
        <is>
          <t xml:space="preserve"> </t>
        </is>
      </c>
      <c r="CE17" s="254" t="inlineStr">
        <is>
          <t xml:space="preserve"> </t>
        </is>
      </c>
      <c r="CF17" s="254" t="inlineStr">
        <is>
          <t xml:space="preserve"> </t>
        </is>
      </c>
      <c r="CG17" s="254" t="inlineStr">
        <is>
          <t xml:space="preserve"> </t>
        </is>
      </c>
      <c r="CH17" s="254" t="inlineStr">
        <is>
          <t xml:space="preserve"> </t>
        </is>
      </c>
      <c r="CI17" s="254" t="inlineStr">
        <is>
          <t xml:space="preserve"> </t>
        </is>
      </c>
      <c r="CJ17" s="254" t="inlineStr">
        <is>
          <t xml:space="preserve"> </t>
        </is>
      </c>
      <c r="CK17" s="254" t="inlineStr">
        <is>
          <t xml:space="preserve"> </t>
        </is>
      </c>
      <c r="CL17" s="254" t="inlineStr">
        <is>
          <t xml:space="preserve"> </t>
        </is>
      </c>
      <c r="CM17" s="254" t="inlineStr">
        <is>
          <t xml:space="preserve"> </t>
        </is>
      </c>
      <c r="CN17" s="254" t="inlineStr">
        <is>
          <t xml:space="preserve"> </t>
        </is>
      </c>
      <c r="CO17" s="254" t="inlineStr">
        <is>
          <t xml:space="preserve"> </t>
        </is>
      </c>
      <c r="CP17" s="254" t="inlineStr">
        <is>
          <t xml:space="preserve"> </t>
        </is>
      </c>
      <c r="CQ17" s="254" t="inlineStr">
        <is>
          <t xml:space="preserve"> </t>
        </is>
      </c>
      <c r="CR17" s="254" t="inlineStr">
        <is>
          <t xml:space="preserve"> </t>
        </is>
      </c>
      <c r="CS17" s="254" t="inlineStr">
        <is>
          <t xml:space="preserve"> </t>
        </is>
      </c>
      <c r="CT17" s="254" t="inlineStr">
        <is>
          <t xml:space="preserve"> </t>
        </is>
      </c>
      <c r="CU17" s="254" t="inlineStr">
        <is>
          <t xml:space="preserve"> </t>
        </is>
      </c>
      <c r="CV17" s="254" t="inlineStr">
        <is>
          <t xml:space="preserve"> </t>
        </is>
      </c>
      <c r="CW17" s="254" t="inlineStr">
        <is>
          <t xml:space="preserve"> </t>
        </is>
      </c>
      <c r="CX17" s="254" t="inlineStr">
        <is>
          <t xml:space="preserve"> </t>
        </is>
      </c>
      <c r="CY17" s="254" t="inlineStr">
        <is>
          <t xml:space="preserve"> </t>
        </is>
      </c>
      <c r="CZ17" s="254" t="inlineStr">
        <is>
          <t xml:space="preserve"> </t>
        </is>
      </c>
      <c r="DA17" s="254" t="inlineStr">
        <is>
          <t xml:space="preserve"> </t>
        </is>
      </c>
      <c r="DB17" s="254" t="inlineStr">
        <is>
          <t xml:space="preserve"> </t>
        </is>
      </c>
      <c r="DC17" s="254" t="inlineStr">
        <is>
          <t xml:space="preserve"> </t>
        </is>
      </c>
      <c r="DD17" s="254" t="inlineStr">
        <is>
          <t xml:space="preserve"> </t>
        </is>
      </c>
      <c r="DE17" s="254" t="inlineStr">
        <is>
          <t xml:space="preserve"> </t>
        </is>
      </c>
      <c r="DF17" s="254" t="inlineStr">
        <is>
          <t xml:space="preserve"> </t>
        </is>
      </c>
      <c r="DG17" s="254" t="inlineStr">
        <is>
          <t xml:space="preserve"> </t>
        </is>
      </c>
      <c r="DH17" s="254" t="inlineStr">
        <is>
          <t xml:space="preserve"> </t>
        </is>
      </c>
      <c r="DI17" s="254" t="inlineStr">
        <is>
          <t xml:space="preserve"> </t>
        </is>
      </c>
      <c r="DJ17" s="254" t="inlineStr">
        <is>
          <t xml:space="preserve"> </t>
        </is>
      </c>
      <c r="DK17" s="254" t="inlineStr">
        <is>
          <t xml:space="preserve"> </t>
        </is>
      </c>
      <c r="DL17" s="254" t="inlineStr">
        <is>
          <t xml:space="preserve"> </t>
        </is>
      </c>
      <c r="DM17" s="254" t="inlineStr">
        <is>
          <t xml:space="preserve"> </t>
        </is>
      </c>
      <c r="DN17" s="254" t="inlineStr">
        <is>
          <t xml:space="preserve"> </t>
        </is>
      </c>
      <c r="DO17" s="254" t="inlineStr">
        <is>
          <t xml:space="preserve"> </t>
        </is>
      </c>
      <c r="DP17" s="254" t="inlineStr">
        <is>
          <t xml:space="preserve"> </t>
        </is>
      </c>
      <c r="DQ17" s="254" t="inlineStr">
        <is>
          <t xml:space="preserve"> </t>
        </is>
      </c>
      <c r="DR17" s="254" t="inlineStr">
        <is>
          <t xml:space="preserve"> </t>
        </is>
      </c>
      <c r="DS17" s="254" t="inlineStr">
        <is>
          <t xml:space="preserve"> </t>
        </is>
      </c>
      <c r="DT17" s="254" t="inlineStr">
        <is>
          <t xml:space="preserve"> </t>
        </is>
      </c>
      <c r="DU17" s="254" t="inlineStr">
        <is>
          <t xml:space="preserve"> </t>
        </is>
      </c>
      <c r="DV17" s="254" t="inlineStr">
        <is>
          <t xml:space="preserve"> </t>
        </is>
      </c>
      <c r="DW17" s="254" t="inlineStr">
        <is>
          <t xml:space="preserve"> </t>
        </is>
      </c>
      <c r="DX17" s="254" t="inlineStr">
        <is>
          <t xml:space="preserve"> </t>
        </is>
      </c>
      <c r="DY17" s="254" t="inlineStr">
        <is>
          <t xml:space="preserve"> </t>
        </is>
      </c>
      <c r="DZ17" s="254" t="inlineStr">
        <is>
          <t xml:space="preserve"> </t>
        </is>
      </c>
      <c r="EA17" s="254" t="inlineStr">
        <is>
          <t xml:space="preserve"> </t>
        </is>
      </c>
      <c r="EB17" s="254" t="inlineStr">
        <is>
          <t xml:space="preserve"> </t>
        </is>
      </c>
      <c r="EC17" s="254" t="inlineStr">
        <is>
          <t xml:space="preserve"> </t>
        </is>
      </c>
      <c r="ED17" s="254" t="inlineStr">
        <is>
          <t xml:space="preserve"> </t>
        </is>
      </c>
      <c r="EE17" s="254" t="inlineStr">
        <is>
          <t xml:space="preserve"> </t>
        </is>
      </c>
      <c r="EF17" s="254" t="inlineStr">
        <is>
          <t xml:space="preserve"> </t>
        </is>
      </c>
      <c r="EG17" s="254" t="inlineStr">
        <is>
          <t xml:space="preserve"> </t>
        </is>
      </c>
      <c r="EH17" s="254" t="inlineStr">
        <is>
          <t xml:space="preserve"> </t>
        </is>
      </c>
      <c r="EI17" s="254" t="inlineStr">
        <is>
          <t xml:space="preserve"> </t>
        </is>
      </c>
      <c r="EJ17" s="254" t="inlineStr">
        <is>
          <t xml:space="preserve"> </t>
        </is>
      </c>
      <c r="EK17" s="254" t="inlineStr">
        <is>
          <t xml:space="preserve"> </t>
        </is>
      </c>
      <c r="EL17" s="254" t="inlineStr">
        <is>
          <t xml:space="preserve"> </t>
        </is>
      </c>
      <c r="EM17" s="254" t="inlineStr">
        <is>
          <t xml:space="preserve"> </t>
        </is>
      </c>
      <c r="EN17" s="254" t="inlineStr">
        <is>
          <t xml:space="preserve"> </t>
        </is>
      </c>
      <c r="EO17" s="254" t="inlineStr">
        <is>
          <t xml:space="preserve"> </t>
        </is>
      </c>
      <c r="EP17" s="254" t="inlineStr">
        <is>
          <t xml:space="preserve"> </t>
        </is>
      </c>
      <c r="EQ17" s="254" t="inlineStr">
        <is>
          <t xml:space="preserve"> </t>
        </is>
      </c>
      <c r="ER17" s="254" t="inlineStr">
        <is>
          <t xml:space="preserve"> </t>
        </is>
      </c>
      <c r="ES17" s="254" t="inlineStr">
        <is>
          <t xml:space="preserve"> </t>
        </is>
      </c>
      <c r="ET17" s="254" t="inlineStr">
        <is>
          <t xml:space="preserve"> </t>
        </is>
      </c>
      <c r="EU17" s="254" t="inlineStr">
        <is>
          <t xml:space="preserve"> </t>
        </is>
      </c>
      <c r="EV17" s="254" t="inlineStr">
        <is>
          <t xml:space="preserve"> </t>
        </is>
      </c>
      <c r="EW17" s="254" t="inlineStr">
        <is>
          <t xml:space="preserve"> </t>
        </is>
      </c>
      <c r="EX17" s="254" t="inlineStr">
        <is>
          <t xml:space="preserve"> </t>
        </is>
      </c>
      <c r="EY17" s="254" t="inlineStr">
        <is>
          <t xml:space="preserve"> </t>
        </is>
      </c>
      <c r="EZ17" s="254" t="inlineStr">
        <is>
          <t xml:space="preserve"> </t>
        </is>
      </c>
      <c r="FA17" s="254" t="inlineStr">
        <is>
          <t xml:space="preserve"> </t>
        </is>
      </c>
      <c r="FB17" s="254" t="inlineStr">
        <is>
          <t xml:space="preserve"> </t>
        </is>
      </c>
      <c r="FC17" s="254" t="inlineStr">
        <is>
          <t xml:space="preserve"> </t>
        </is>
      </c>
      <c r="FD17" s="254" t="inlineStr">
        <is>
          <t xml:space="preserve"> </t>
        </is>
      </c>
      <c r="FE17" s="254" t="inlineStr">
        <is>
          <t xml:space="preserve"> </t>
        </is>
      </c>
      <c r="FF17" s="254" t="inlineStr">
        <is>
          <t xml:space="preserve"> </t>
        </is>
      </c>
      <c r="FG17" s="254" t="inlineStr">
        <is>
          <t xml:space="preserve"> </t>
        </is>
      </c>
      <c r="FH17" s="254" t="inlineStr">
        <is>
          <t xml:space="preserve"> </t>
        </is>
      </c>
      <c r="FI17" s="254" t="inlineStr">
        <is>
          <t xml:space="preserve"> </t>
        </is>
      </c>
      <c r="FJ17" s="254" t="inlineStr">
        <is>
          <t xml:space="preserve"> </t>
        </is>
      </c>
      <c r="FK17" s="254" t="inlineStr">
        <is>
          <t xml:space="preserve"> </t>
        </is>
      </c>
      <c r="FL17" s="254" t="inlineStr">
        <is>
          <t xml:space="preserve"> </t>
        </is>
      </c>
      <c r="FM17" s="254" t="inlineStr">
        <is>
          <t xml:space="preserve"> </t>
        </is>
      </c>
      <c r="FN17" s="254" t="inlineStr">
        <is>
          <t xml:space="preserve"> </t>
        </is>
      </c>
      <c r="FO17" s="254" t="inlineStr">
        <is>
          <t xml:space="preserve"> </t>
        </is>
      </c>
      <c r="FP17" s="254" t="inlineStr">
        <is>
          <t xml:space="preserve"> </t>
        </is>
      </c>
      <c r="FQ17" s="254" t="inlineStr">
        <is>
          <t xml:space="preserve"> </t>
        </is>
      </c>
      <c r="FR17" s="254" t="inlineStr">
        <is>
          <t xml:space="preserve"> </t>
        </is>
      </c>
      <c r="FS17" s="254" t="inlineStr">
        <is>
          <t xml:space="preserve"> </t>
        </is>
      </c>
      <c r="FT17" s="254" t="inlineStr">
        <is>
          <t xml:space="preserve"> </t>
        </is>
      </c>
      <c r="FU17" s="254" t="inlineStr">
        <is>
          <t xml:space="preserve"> </t>
        </is>
      </c>
      <c r="FV17" s="254" t="inlineStr">
        <is>
          <t xml:space="preserve"> </t>
        </is>
      </c>
      <c r="FW17" s="254" t="inlineStr">
        <is>
          <t xml:space="preserve"> </t>
        </is>
      </c>
      <c r="FX17" s="254" t="inlineStr">
        <is>
          <t xml:space="preserve"> </t>
        </is>
      </c>
      <c r="FY17" s="254" t="inlineStr">
        <is>
          <t xml:space="preserve"> </t>
        </is>
      </c>
      <c r="FZ17" s="254" t="inlineStr">
        <is>
          <t xml:space="preserve"> </t>
        </is>
      </c>
      <c r="GA17" s="254" t="inlineStr">
        <is>
          <t xml:space="preserve"> </t>
        </is>
      </c>
      <c r="GB17" s="254" t="inlineStr">
        <is>
          <t xml:space="preserve"> </t>
        </is>
      </c>
      <c r="GC17" s="254" t="inlineStr">
        <is>
          <t xml:space="preserve"> </t>
        </is>
      </c>
      <c r="GD17" s="254" t="inlineStr">
        <is>
          <t xml:space="preserve"> </t>
        </is>
      </c>
      <c r="GE17" s="254" t="inlineStr">
        <is>
          <t xml:space="preserve"> </t>
        </is>
      </c>
      <c r="GF17" s="254" t="inlineStr">
        <is>
          <t xml:space="preserve"> </t>
        </is>
      </c>
      <c r="GG17" s="254" t="inlineStr">
        <is>
          <t xml:space="preserve"> </t>
        </is>
      </c>
      <c r="GH17" s="254" t="inlineStr">
        <is>
          <t xml:space="preserve"> </t>
        </is>
      </c>
      <c r="GI17" s="254" t="inlineStr">
        <is>
          <t xml:space="preserve"> </t>
        </is>
      </c>
      <c r="GJ17" s="254" t="inlineStr">
        <is>
          <t xml:space="preserve"> </t>
        </is>
      </c>
      <c r="GK17" s="254" t="inlineStr">
        <is>
          <t xml:space="preserve"> </t>
        </is>
      </c>
      <c r="GL17" s="254" t="inlineStr">
        <is>
          <t xml:space="preserve"> </t>
        </is>
      </c>
      <c r="GM17" s="254" t="inlineStr">
        <is>
          <t xml:space="preserve"> </t>
        </is>
      </c>
      <c r="GN17" s="254" t="inlineStr">
        <is>
          <t xml:space="preserve"> </t>
        </is>
      </c>
      <c r="GO17" s="254" t="inlineStr">
        <is>
          <t xml:space="preserve"> </t>
        </is>
      </c>
      <c r="GP17" s="254" t="inlineStr">
        <is>
          <t xml:space="preserve"> </t>
        </is>
      </c>
      <c r="GQ17" s="254" t="inlineStr">
        <is>
          <t xml:space="preserve"> </t>
        </is>
      </c>
      <c r="GR17" s="254" t="inlineStr">
        <is>
          <t xml:space="preserve"> </t>
        </is>
      </c>
      <c r="GS17" s="254" t="inlineStr">
        <is>
          <t xml:space="preserve"> </t>
        </is>
      </c>
      <c r="GT17" s="254" t="inlineStr">
        <is>
          <t xml:space="preserve"> </t>
        </is>
      </c>
      <c r="GU17" s="254" t="inlineStr">
        <is>
          <t xml:space="preserve"> </t>
        </is>
      </c>
      <c r="GV17" s="254" t="inlineStr">
        <is>
          <t xml:space="preserve"> </t>
        </is>
      </c>
      <c r="GW17" s="254" t="inlineStr">
        <is>
          <t xml:space="preserve"> </t>
        </is>
      </c>
      <c r="GX17" s="254" t="inlineStr">
        <is>
          <t xml:space="preserve"> </t>
        </is>
      </c>
      <c r="GY17" s="254" t="inlineStr">
        <is>
          <t xml:space="preserve"> </t>
        </is>
      </c>
      <c r="GZ17" s="254" t="inlineStr">
        <is>
          <t xml:space="preserve"> </t>
        </is>
      </c>
      <c r="HA17" s="254" t="inlineStr">
        <is>
          <t xml:space="preserve"> </t>
        </is>
      </c>
      <c r="HB17" s="254" t="inlineStr">
        <is>
          <t xml:space="preserve"> </t>
        </is>
      </c>
      <c r="HC17" s="254" t="inlineStr">
        <is>
          <t xml:space="preserve"> </t>
        </is>
      </c>
      <c r="HD17" s="254" t="inlineStr">
        <is>
          <t xml:space="preserve"> </t>
        </is>
      </c>
      <c r="HE17" s="254" t="inlineStr">
        <is>
          <t xml:space="preserve"> </t>
        </is>
      </c>
      <c r="HF17" s="254" t="inlineStr">
        <is>
          <t xml:space="preserve"> </t>
        </is>
      </c>
      <c r="HG17" s="254" t="inlineStr">
        <is>
          <t xml:space="preserve"> </t>
        </is>
      </c>
      <c r="HH17" s="254" t="inlineStr">
        <is>
          <t xml:space="preserve"> </t>
        </is>
      </c>
      <c r="HI17" s="254" t="inlineStr">
        <is>
          <t xml:space="preserve"> </t>
        </is>
      </c>
      <c r="HJ17" s="254" t="inlineStr">
        <is>
          <t xml:space="preserve"> </t>
        </is>
      </c>
      <c r="HK17" s="254" t="inlineStr">
        <is>
          <t xml:space="preserve"> </t>
        </is>
      </c>
      <c r="HL17" s="254" t="inlineStr">
        <is>
          <t xml:space="preserve"> </t>
        </is>
      </c>
      <c r="HM17" s="254" t="inlineStr">
        <is>
          <t xml:space="preserve"> </t>
        </is>
      </c>
      <c r="HN17" s="254" t="inlineStr">
        <is>
          <t xml:space="preserve"> </t>
        </is>
      </c>
      <c r="HO17" s="254" t="inlineStr">
        <is>
          <t xml:space="preserve"> </t>
        </is>
      </c>
      <c r="HP17" s="254" t="inlineStr">
        <is>
          <t xml:space="preserve"> </t>
        </is>
      </c>
      <c r="HQ17" s="254" t="inlineStr">
        <is>
          <t xml:space="preserve"> </t>
        </is>
      </c>
      <c r="HR17" s="254" t="inlineStr">
        <is>
          <t xml:space="preserve"> </t>
        </is>
      </c>
      <c r="HS17" s="254" t="inlineStr">
        <is>
          <t xml:space="preserve"> </t>
        </is>
      </c>
      <c r="HT17" s="254" t="inlineStr">
        <is>
          <t xml:space="preserve"> </t>
        </is>
      </c>
      <c r="HU17" s="254" t="inlineStr">
        <is>
          <t xml:space="preserve"> </t>
        </is>
      </c>
      <c r="HV17" s="254" t="inlineStr">
        <is>
          <t xml:space="preserve"> </t>
        </is>
      </c>
      <c r="HW17" s="254" t="inlineStr">
        <is>
          <t xml:space="preserve"> </t>
        </is>
      </c>
      <c r="HX17" s="254" t="inlineStr">
        <is>
          <t xml:space="preserve"> </t>
        </is>
      </c>
      <c r="HY17" s="254" t="inlineStr">
        <is>
          <t xml:space="preserve"> </t>
        </is>
      </c>
      <c r="HZ17" s="254" t="inlineStr">
        <is>
          <t xml:space="preserve"> </t>
        </is>
      </c>
      <c r="IA17" s="254" t="inlineStr">
        <is>
          <t xml:space="preserve"> </t>
        </is>
      </c>
      <c r="IB17" s="254" t="inlineStr">
        <is>
          <t xml:space="preserve"> </t>
        </is>
      </c>
      <c r="IC17" s="254" t="inlineStr">
        <is>
          <t xml:space="preserve"> </t>
        </is>
      </c>
      <c r="ID17" s="254" t="inlineStr">
        <is>
          <t xml:space="preserve"> </t>
        </is>
      </c>
      <c r="IE17" s="254" t="inlineStr">
        <is>
          <t xml:space="preserve"> </t>
        </is>
      </c>
      <c r="IF17" s="254" t="inlineStr">
        <is>
          <t xml:space="preserve"> </t>
        </is>
      </c>
      <c r="IG17" s="254" t="inlineStr">
        <is>
          <t xml:space="preserve"> </t>
        </is>
      </c>
      <c r="IH17" s="254" t="inlineStr">
        <is>
          <t xml:space="preserve"> </t>
        </is>
      </c>
      <c r="II17" s="254" t="inlineStr">
        <is>
          <t xml:space="preserve"> </t>
        </is>
      </c>
      <c r="IJ17" s="254" t="inlineStr">
        <is>
          <t xml:space="preserve"> </t>
        </is>
      </c>
      <c r="IK17" s="254" t="inlineStr">
        <is>
          <t xml:space="preserve"> </t>
        </is>
      </c>
      <c r="IL17" s="254" t="inlineStr">
        <is>
          <t xml:space="preserve"> </t>
        </is>
      </c>
      <c r="IM17" s="254" t="inlineStr">
        <is>
          <t xml:space="preserve"> </t>
        </is>
      </c>
      <c r="IN17" s="254" t="inlineStr">
        <is>
          <t xml:space="preserve"> </t>
        </is>
      </c>
      <c r="IO17" s="254" t="inlineStr">
        <is>
          <t xml:space="preserve"> </t>
        </is>
      </c>
      <c r="IP17" s="254" t="inlineStr">
        <is>
          <t xml:space="preserve"> </t>
        </is>
      </c>
      <c r="IQ17" s="254" t="inlineStr">
        <is>
          <t xml:space="preserve"> </t>
        </is>
      </c>
      <c r="IR17" s="254" t="inlineStr">
        <is>
          <t xml:space="preserve"> </t>
        </is>
      </c>
      <c r="IS17" s="254" t="inlineStr">
        <is>
          <t xml:space="preserve"> </t>
        </is>
      </c>
      <c r="IT17" s="254" t="inlineStr">
        <is>
          <t xml:space="preserve"> </t>
        </is>
      </c>
      <c r="IU17" s="254" t="inlineStr">
        <is>
          <t xml:space="preserve"> </t>
        </is>
      </c>
      <c r="IV17" s="254" t="inlineStr">
        <is>
          <t xml:space="preserve"> </t>
        </is>
      </c>
      <c r="IW17" s="254" t="inlineStr">
        <is>
          <t xml:space="preserve"> </t>
        </is>
      </c>
      <c r="IX17" s="254" t="inlineStr">
        <is>
          <t xml:space="preserve"> </t>
        </is>
      </c>
      <c r="IY17" s="254" t="inlineStr">
        <is>
          <t xml:space="preserve"> </t>
        </is>
      </c>
      <c r="IZ17" s="254" t="inlineStr">
        <is>
          <t xml:space="preserve"> </t>
        </is>
      </c>
      <c r="JA17" s="254" t="inlineStr">
        <is>
          <t xml:space="preserve"> </t>
        </is>
      </c>
      <c r="JB17" s="254" t="inlineStr">
        <is>
          <t xml:space="preserve"> </t>
        </is>
      </c>
      <c r="JC17" s="254" t="inlineStr">
        <is>
          <t xml:space="preserve"> </t>
        </is>
      </c>
      <c r="JD17" s="254" t="inlineStr">
        <is>
          <t xml:space="preserve"> </t>
        </is>
      </c>
      <c r="JE17" s="254" t="inlineStr">
        <is>
          <t xml:space="preserve"> </t>
        </is>
      </c>
      <c r="JF17" s="254" t="inlineStr">
        <is>
          <t xml:space="preserve"> </t>
        </is>
      </c>
      <c r="JG17" s="254" t="inlineStr">
        <is>
          <t xml:space="preserve"> </t>
        </is>
      </c>
      <c r="JH17" s="254" t="inlineStr">
        <is>
          <t xml:space="preserve"> </t>
        </is>
      </c>
      <c r="JI17" s="254" t="inlineStr">
        <is>
          <t xml:space="preserve"> </t>
        </is>
      </c>
      <c r="JJ17" s="254" t="inlineStr">
        <is>
          <t xml:space="preserve"> </t>
        </is>
      </c>
      <c r="JK17" s="254" t="inlineStr">
        <is>
          <t xml:space="preserve"> </t>
        </is>
      </c>
      <c r="JL17" s="254" t="inlineStr">
        <is>
          <t xml:space="preserve"> </t>
        </is>
      </c>
      <c r="JM17" s="254" t="inlineStr">
        <is>
          <t xml:space="preserve"> </t>
        </is>
      </c>
      <c r="JN17" s="254" t="inlineStr">
        <is>
          <t xml:space="preserve"> </t>
        </is>
      </c>
      <c r="JO17" s="254" t="inlineStr">
        <is>
          <t xml:space="preserve"> </t>
        </is>
      </c>
      <c r="JP17" s="254" t="inlineStr">
        <is>
          <t xml:space="preserve"> </t>
        </is>
      </c>
      <c r="JQ17" s="254" t="inlineStr">
        <is>
          <t xml:space="preserve"> </t>
        </is>
      </c>
      <c r="JR17" s="254" t="inlineStr">
        <is>
          <t xml:space="preserve"> </t>
        </is>
      </c>
      <c r="JS17" s="254" t="inlineStr">
        <is>
          <t xml:space="preserve"> </t>
        </is>
      </c>
      <c r="JT17" s="254" t="inlineStr">
        <is>
          <t xml:space="preserve"> </t>
        </is>
      </c>
      <c r="JU17" s="254" t="inlineStr">
        <is>
          <t xml:space="preserve"> </t>
        </is>
      </c>
      <c r="JV17" s="254" t="inlineStr">
        <is>
          <t xml:space="preserve"> </t>
        </is>
      </c>
      <c r="JW17" s="254" t="inlineStr">
        <is>
          <t xml:space="preserve"> </t>
        </is>
      </c>
      <c r="JX17" s="254" t="inlineStr">
        <is>
          <t xml:space="preserve"> </t>
        </is>
      </c>
      <c r="JY17" s="254" t="inlineStr">
        <is>
          <t xml:space="preserve"> </t>
        </is>
      </c>
      <c r="JZ17" s="254" t="inlineStr">
        <is>
          <t xml:space="preserve"> </t>
        </is>
      </c>
      <c r="KA17" s="254" t="inlineStr">
        <is>
          <t xml:space="preserve"> </t>
        </is>
      </c>
      <c r="KB17" s="254" t="inlineStr">
        <is>
          <t xml:space="preserve"> </t>
        </is>
      </c>
      <c r="KC17" s="254" t="inlineStr">
        <is>
          <t xml:space="preserve"> </t>
        </is>
      </c>
      <c r="KD17" s="254" t="inlineStr">
        <is>
          <t xml:space="preserve"> </t>
        </is>
      </c>
      <c r="KE17" s="254" t="inlineStr">
        <is>
          <t xml:space="preserve"> </t>
        </is>
      </c>
      <c r="KF17" s="254" t="inlineStr">
        <is>
          <t xml:space="preserve"> </t>
        </is>
      </c>
      <c r="KG17" s="254" t="inlineStr">
        <is>
          <t xml:space="preserve"> </t>
        </is>
      </c>
      <c r="KH17" s="254" t="inlineStr">
        <is>
          <t xml:space="preserve"> </t>
        </is>
      </c>
      <c r="KI17" s="254" t="inlineStr">
        <is>
          <t xml:space="preserve"> </t>
        </is>
      </c>
      <c r="KJ17" s="254" t="inlineStr">
        <is>
          <t xml:space="preserve"> </t>
        </is>
      </c>
      <c r="KK17" s="254" t="inlineStr">
        <is>
          <t xml:space="preserve"> </t>
        </is>
      </c>
      <c r="KL17" s="254" t="inlineStr">
        <is>
          <t xml:space="preserve"> </t>
        </is>
      </c>
      <c r="KM17" s="254" t="inlineStr">
        <is>
          <t xml:space="preserve"> </t>
        </is>
      </c>
      <c r="KN17" s="254" t="inlineStr">
        <is>
          <t xml:space="preserve"> </t>
        </is>
      </c>
      <c r="KO17" s="254" t="inlineStr">
        <is>
          <t xml:space="preserve"> </t>
        </is>
      </c>
      <c r="KP17" s="254" t="inlineStr">
        <is>
          <t xml:space="preserve"> </t>
        </is>
      </c>
      <c r="KQ17" s="254" t="inlineStr">
        <is>
          <t xml:space="preserve"> </t>
        </is>
      </c>
      <c r="KR17" s="254" t="inlineStr">
        <is>
          <t xml:space="preserve"> </t>
        </is>
      </c>
      <c r="KS17" s="254" t="inlineStr">
        <is>
          <t xml:space="preserve"> </t>
        </is>
      </c>
      <c r="KT17" s="254" t="inlineStr">
        <is>
          <t xml:space="preserve"> </t>
        </is>
      </c>
      <c r="KU17" s="254" t="inlineStr">
        <is>
          <t xml:space="preserve"> </t>
        </is>
      </c>
      <c r="KV17" s="254" t="inlineStr">
        <is>
          <t xml:space="preserve"> </t>
        </is>
      </c>
      <c r="KW17" s="254" t="inlineStr">
        <is>
          <t xml:space="preserve"> </t>
        </is>
      </c>
      <c r="KX17" s="254" t="inlineStr">
        <is>
          <t xml:space="preserve"> </t>
        </is>
      </c>
      <c r="KY17" s="254" t="inlineStr">
        <is>
          <t xml:space="preserve"> </t>
        </is>
      </c>
      <c r="KZ17" s="254" t="inlineStr">
        <is>
          <t xml:space="preserve"> </t>
        </is>
      </c>
      <c r="LA17" s="254" t="inlineStr">
        <is>
          <t xml:space="preserve"> </t>
        </is>
      </c>
      <c r="LB17" s="254" t="inlineStr">
        <is>
          <t xml:space="preserve"> </t>
        </is>
      </c>
      <c r="LC17" s="254" t="inlineStr">
        <is>
          <t xml:space="preserve"> </t>
        </is>
      </c>
      <c r="LD17" s="254" t="inlineStr">
        <is>
          <t xml:space="preserve"> </t>
        </is>
      </c>
      <c r="LE17" s="254" t="inlineStr">
        <is>
          <t xml:space="preserve"> </t>
        </is>
      </c>
      <c r="LF17" s="254" t="inlineStr">
        <is>
          <t xml:space="preserve"> </t>
        </is>
      </c>
      <c r="LG17" s="254" t="inlineStr">
        <is>
          <t xml:space="preserve"> </t>
        </is>
      </c>
      <c r="LH17" s="254" t="inlineStr">
        <is>
          <t xml:space="preserve"> </t>
        </is>
      </c>
      <c r="LI17" s="254" t="inlineStr">
        <is>
          <t xml:space="preserve"> </t>
        </is>
      </c>
      <c r="LJ17" s="254" t="inlineStr">
        <is>
          <t xml:space="preserve"> </t>
        </is>
      </c>
      <c r="LK17" s="254" t="inlineStr">
        <is>
          <t xml:space="preserve"> </t>
        </is>
      </c>
      <c r="LL17" s="254" t="inlineStr">
        <is>
          <t xml:space="preserve"> </t>
        </is>
      </c>
      <c r="LM17" s="254" t="inlineStr">
        <is>
          <t xml:space="preserve"> </t>
        </is>
      </c>
      <c r="LN17" s="254" t="inlineStr">
        <is>
          <t xml:space="preserve"> </t>
        </is>
      </c>
      <c r="LO17" s="254" t="inlineStr">
        <is>
          <t xml:space="preserve"> </t>
        </is>
      </c>
      <c r="LP17" s="254" t="inlineStr">
        <is>
          <t xml:space="preserve"> </t>
        </is>
      </c>
      <c r="LQ17" s="254" t="inlineStr">
        <is>
          <t xml:space="preserve"> </t>
        </is>
      </c>
      <c r="LR17" s="254" t="inlineStr">
        <is>
          <t xml:space="preserve"> </t>
        </is>
      </c>
      <c r="LS17" s="254" t="inlineStr">
        <is>
          <t xml:space="preserve"> </t>
        </is>
      </c>
      <c r="LT17" s="254" t="inlineStr">
        <is>
          <t xml:space="preserve"> </t>
        </is>
      </c>
      <c r="LU17" s="254" t="inlineStr">
        <is>
          <t xml:space="preserve"> </t>
        </is>
      </c>
      <c r="LV17" s="254" t="inlineStr">
        <is>
          <t xml:space="preserve"> </t>
        </is>
      </c>
      <c r="LW17" s="254" t="inlineStr">
        <is>
          <t xml:space="preserve"> </t>
        </is>
      </c>
      <c r="LX17" s="254" t="inlineStr">
        <is>
          <t xml:space="preserve"> </t>
        </is>
      </c>
      <c r="LY17" s="254" t="inlineStr">
        <is>
          <t xml:space="preserve"> </t>
        </is>
      </c>
      <c r="LZ17" s="254" t="inlineStr">
        <is>
          <t xml:space="preserve"> </t>
        </is>
      </c>
      <c r="MA17" s="254" t="inlineStr">
        <is>
          <t xml:space="preserve"> </t>
        </is>
      </c>
      <c r="MB17" s="254" t="inlineStr">
        <is>
          <t xml:space="preserve"> </t>
        </is>
      </c>
      <c r="MC17" s="254" t="inlineStr">
        <is>
          <t xml:space="preserve"> </t>
        </is>
      </c>
      <c r="MD17" s="254" t="inlineStr">
        <is>
          <t xml:space="preserve"> </t>
        </is>
      </c>
      <c r="ME17" s="254" t="inlineStr">
        <is>
          <t xml:space="preserve"> </t>
        </is>
      </c>
      <c r="MF17" s="254" t="inlineStr">
        <is>
          <t xml:space="preserve"> </t>
        </is>
      </c>
      <c r="MG17" s="254" t="inlineStr">
        <is>
          <t xml:space="preserve"> </t>
        </is>
      </c>
      <c r="MH17" s="254" t="inlineStr">
        <is>
          <t xml:space="preserve"> </t>
        </is>
      </c>
      <c r="MI17" s="254" t="inlineStr">
        <is>
          <t xml:space="preserve"> </t>
        </is>
      </c>
      <c r="MJ17" s="254" t="inlineStr">
        <is>
          <t xml:space="preserve"> </t>
        </is>
      </c>
      <c r="MK17" s="254" t="inlineStr">
        <is>
          <t xml:space="preserve"> </t>
        </is>
      </c>
      <c r="ML17" s="254" t="inlineStr">
        <is>
          <t xml:space="preserve"> </t>
        </is>
      </c>
      <c r="MM17" s="254" t="inlineStr">
        <is>
          <t xml:space="preserve"> </t>
        </is>
      </c>
      <c r="MN17" s="254" t="inlineStr">
        <is>
          <t xml:space="preserve"> </t>
        </is>
      </c>
      <c r="MO17" s="254" t="inlineStr">
        <is>
          <t xml:space="preserve"> </t>
        </is>
      </c>
      <c r="MP17" s="254" t="inlineStr">
        <is>
          <t xml:space="preserve"> </t>
        </is>
      </c>
      <c r="MQ17" s="254" t="inlineStr">
        <is>
          <t xml:space="preserve"> </t>
        </is>
      </c>
      <c r="MR17" s="254" t="inlineStr">
        <is>
          <t xml:space="preserve"> </t>
        </is>
      </c>
      <c r="MS17" s="254" t="inlineStr">
        <is>
          <t xml:space="preserve"> </t>
        </is>
      </c>
      <c r="MT17" s="254" t="inlineStr">
        <is>
          <t xml:space="preserve"> </t>
        </is>
      </c>
      <c r="MU17" s="254" t="inlineStr">
        <is>
          <t xml:space="preserve"> </t>
        </is>
      </c>
      <c r="MV17" s="254" t="inlineStr">
        <is>
          <t xml:space="preserve"> </t>
        </is>
      </c>
      <c r="MW17" s="254" t="inlineStr">
        <is>
          <t xml:space="preserve"> </t>
        </is>
      </c>
      <c r="MX17" s="254" t="inlineStr">
        <is>
          <t xml:space="preserve"> </t>
        </is>
      </c>
      <c r="MY17" s="254" t="inlineStr">
        <is>
          <t xml:space="preserve"> </t>
        </is>
      </c>
      <c r="MZ17" s="254" t="inlineStr">
        <is>
          <t xml:space="preserve"> </t>
        </is>
      </c>
      <c r="NA17" s="254" t="inlineStr">
        <is>
          <t xml:space="preserve"> </t>
        </is>
      </c>
      <c r="NB17" s="254" t="inlineStr">
        <is>
          <t xml:space="preserve"> </t>
        </is>
      </c>
      <c r="NC17" s="254" t="inlineStr">
        <is>
          <t xml:space="preserve"> </t>
        </is>
      </c>
      <c r="ND17" s="254" t="inlineStr">
        <is>
          <t xml:space="preserve"> </t>
        </is>
      </c>
      <c r="NE17" s="254" t="inlineStr">
        <is>
          <t xml:space="preserve"> </t>
        </is>
      </c>
    </row>
    <row r="18" ht="15" customHeight="1" s="166">
      <c r="A18" s="263" t="inlineStr">
        <is>
          <t>Average Daily Temperature N</t>
        </is>
      </c>
      <c r="B18" s="245" t="n"/>
      <c r="C18" s="264" t="inlineStr">
        <is>
          <t>C°</t>
        </is>
      </c>
      <c r="D18" s="255">
        <f>'Daily Consumption'!B110</f>
        <v/>
      </c>
      <c r="E18" s="255">
        <f>'Daily Consumption'!C110</f>
        <v/>
      </c>
      <c r="F18" s="255">
        <f>'Daily Consumption'!D110</f>
        <v/>
      </c>
      <c r="G18" s="255">
        <f>'Daily Consumption'!E110</f>
        <v/>
      </c>
      <c r="H18" s="255">
        <f>'Daily Consumption'!F110</f>
        <v/>
      </c>
      <c r="I18" s="255">
        <f>'Daily Consumption'!G110</f>
        <v/>
      </c>
      <c r="J18" s="255">
        <f>'Daily Consumption'!H110</f>
        <v/>
      </c>
      <c r="K18" s="255">
        <f>'Daily Consumption'!I110</f>
        <v/>
      </c>
      <c r="L18" s="255">
        <f>'Daily Consumption'!J110</f>
        <v/>
      </c>
      <c r="M18" s="255">
        <f>'Daily Consumption'!K110</f>
        <v/>
      </c>
      <c r="N18" s="255">
        <f>'Daily Consumption'!L110</f>
        <v/>
      </c>
      <c r="O18" s="255">
        <f>'Daily Consumption'!M110</f>
        <v/>
      </c>
      <c r="P18" s="255">
        <f>'Daily Consumption'!N110</f>
        <v/>
      </c>
      <c r="Q18" s="255">
        <f>'Daily Consumption'!O110</f>
        <v/>
      </c>
      <c r="R18" s="255">
        <f>'Daily Consumption'!P110</f>
        <v/>
      </c>
      <c r="S18" s="255">
        <f>'Daily Consumption'!Q110</f>
        <v/>
      </c>
      <c r="T18" s="255">
        <f>'Daily Consumption'!R110</f>
        <v/>
      </c>
      <c r="U18" s="255">
        <f>'Daily Consumption'!S110</f>
        <v/>
      </c>
      <c r="V18" s="255">
        <f>'Daily Consumption'!T110</f>
        <v/>
      </c>
      <c r="W18" s="255">
        <f>'Daily Consumption'!U110</f>
        <v/>
      </c>
      <c r="X18" s="255">
        <f>'Daily Consumption'!V110</f>
        <v/>
      </c>
      <c r="Y18" s="255">
        <f>'Daily Consumption'!W110</f>
        <v/>
      </c>
      <c r="Z18" s="255">
        <f>'Daily Consumption'!X110</f>
        <v/>
      </c>
      <c r="AA18" s="255">
        <f>'Daily Consumption'!Y110</f>
        <v/>
      </c>
      <c r="AB18" s="255">
        <f>'Daily Consumption'!Z110</f>
        <v/>
      </c>
      <c r="AC18" s="255">
        <f>'Daily Consumption'!AA110</f>
        <v/>
      </c>
      <c r="AD18" s="255">
        <f>'Daily Consumption'!AB110</f>
        <v/>
      </c>
      <c r="AE18" s="255">
        <f>'Daily Consumption'!AC110</f>
        <v/>
      </c>
      <c r="AF18" s="255">
        <f>'Daily Consumption'!AD110</f>
        <v/>
      </c>
      <c r="AG18" s="255">
        <f>'Daily Consumption'!AE110</f>
        <v/>
      </c>
      <c r="AH18" s="255">
        <f>'Daily Consumption'!AF110</f>
        <v/>
      </c>
      <c r="AI18" s="255">
        <f>'Daily Consumption'!AG110</f>
        <v/>
      </c>
      <c r="AJ18" s="255">
        <f>'Daily Consumption'!AH110</f>
        <v/>
      </c>
      <c r="AK18" s="255">
        <f>'Daily Consumption'!AI110</f>
        <v/>
      </c>
      <c r="AL18" s="255">
        <f>'Daily Consumption'!AJ110</f>
        <v/>
      </c>
      <c r="AM18" s="255">
        <f>'Daily Consumption'!AK110</f>
        <v/>
      </c>
      <c r="AN18" s="255">
        <f>'Daily Consumption'!AL110</f>
        <v/>
      </c>
      <c r="AO18" s="255">
        <f>'Daily Consumption'!AM110</f>
        <v/>
      </c>
      <c r="AP18" s="255">
        <f>'Daily Consumption'!AN110</f>
        <v/>
      </c>
      <c r="AQ18" s="255">
        <f>'Daily Consumption'!AO110</f>
        <v/>
      </c>
      <c r="AR18" s="255">
        <f>'Daily Consumption'!AP110</f>
        <v/>
      </c>
      <c r="AS18" s="255">
        <f>'Daily Consumption'!AQ110</f>
        <v/>
      </c>
      <c r="AT18" s="255">
        <f>'Daily Consumption'!AR110</f>
        <v/>
      </c>
      <c r="AU18" s="255">
        <f>'Daily Consumption'!AS110</f>
        <v/>
      </c>
      <c r="AV18" s="255">
        <f>'Daily Consumption'!AT110</f>
        <v/>
      </c>
      <c r="AW18" s="255">
        <f>'Daily Consumption'!AU110</f>
        <v/>
      </c>
      <c r="AX18" s="255">
        <f>'Daily Consumption'!AV110</f>
        <v/>
      </c>
      <c r="AY18" s="255">
        <f>'Daily Consumption'!AW110</f>
        <v/>
      </c>
      <c r="AZ18" s="255">
        <f>'Daily Consumption'!AX110</f>
        <v/>
      </c>
      <c r="BA18" s="255">
        <f>'Daily Consumption'!AY110</f>
        <v/>
      </c>
      <c r="BB18" s="255">
        <f>'Daily Consumption'!AZ110</f>
        <v/>
      </c>
      <c r="BC18" s="255">
        <f>'Daily Consumption'!BA110</f>
        <v/>
      </c>
      <c r="BD18" s="255">
        <f>'Daily Consumption'!BB110</f>
        <v/>
      </c>
      <c r="BE18" s="255">
        <f>'Daily Consumption'!BC110</f>
        <v/>
      </c>
      <c r="BF18" s="255">
        <f>'Daily Consumption'!BD110</f>
        <v/>
      </c>
      <c r="BG18" s="255">
        <f>'Daily Consumption'!BE110</f>
        <v/>
      </c>
      <c r="BH18" s="255">
        <f>'Daily Consumption'!BF110</f>
        <v/>
      </c>
      <c r="BI18" s="255">
        <f>'Daily Consumption'!BG110</f>
        <v/>
      </c>
      <c r="BJ18" s="255">
        <f>'Daily Consumption'!BH110</f>
        <v/>
      </c>
      <c r="BK18" s="255">
        <f>'Daily Consumption'!BI110</f>
        <v/>
      </c>
      <c r="BL18" s="255">
        <f>'Daily Consumption'!BJ110</f>
        <v/>
      </c>
      <c r="BM18" s="255">
        <f>'Daily Consumption'!BK110</f>
        <v/>
      </c>
      <c r="BN18" s="255">
        <f>'Daily Consumption'!BL110</f>
        <v/>
      </c>
      <c r="BO18" s="255">
        <f>'Daily Consumption'!BM110</f>
        <v/>
      </c>
      <c r="BP18" s="255">
        <f>'Daily Consumption'!BN110</f>
        <v/>
      </c>
      <c r="BQ18" s="255">
        <f>'Daily Consumption'!BO110</f>
        <v/>
      </c>
      <c r="BR18" s="255">
        <f>'Daily Consumption'!BP110</f>
        <v/>
      </c>
      <c r="BS18" s="255">
        <f>'Daily Consumption'!BQ110</f>
        <v/>
      </c>
      <c r="BT18" s="255">
        <f>'Daily Consumption'!BR110</f>
        <v/>
      </c>
      <c r="BU18" s="255">
        <f>'Daily Consumption'!BS110</f>
        <v/>
      </c>
      <c r="BV18" s="255">
        <f>'Daily Consumption'!BT110</f>
        <v/>
      </c>
      <c r="BW18" s="255">
        <f>'Daily Consumption'!BU110</f>
        <v/>
      </c>
      <c r="BX18" s="255">
        <f>'Daily Consumption'!BV110</f>
        <v/>
      </c>
      <c r="BY18" s="255">
        <f>'Daily Consumption'!BW110</f>
        <v/>
      </c>
      <c r="BZ18" s="255">
        <f>'Daily Consumption'!BX110</f>
        <v/>
      </c>
      <c r="CA18" s="255">
        <f>'Daily Consumption'!BY110</f>
        <v/>
      </c>
      <c r="CB18" s="255">
        <f>'Daily Consumption'!BZ110</f>
        <v/>
      </c>
      <c r="CC18" s="255">
        <f>'Daily Consumption'!CA110</f>
        <v/>
      </c>
      <c r="CD18" s="255">
        <f>'Daily Consumption'!CB110</f>
        <v/>
      </c>
      <c r="CE18" s="255">
        <f>'Daily Consumption'!CC110</f>
        <v/>
      </c>
      <c r="CF18" s="255">
        <f>'Daily Consumption'!CD110</f>
        <v/>
      </c>
      <c r="CG18" s="255">
        <f>'Daily Consumption'!CE110</f>
        <v/>
      </c>
      <c r="CH18" s="255">
        <f>'Daily Consumption'!CF110</f>
        <v/>
      </c>
      <c r="CI18" s="255">
        <f>'Daily Consumption'!CG110</f>
        <v/>
      </c>
      <c r="CJ18" s="255">
        <f>'Daily Consumption'!CH110</f>
        <v/>
      </c>
      <c r="CK18" s="255">
        <f>'Daily Consumption'!CI110</f>
        <v/>
      </c>
      <c r="CL18" s="255">
        <f>'Daily Consumption'!CJ110</f>
        <v/>
      </c>
      <c r="CM18" s="255">
        <f>'Daily Consumption'!CK110</f>
        <v/>
      </c>
      <c r="CN18" s="255">
        <f>'Daily Consumption'!CL110</f>
        <v/>
      </c>
      <c r="CO18" s="255">
        <f>'Daily Consumption'!CM110</f>
        <v/>
      </c>
      <c r="CP18" s="255">
        <f>'Daily Consumption'!CN110</f>
        <v/>
      </c>
      <c r="CQ18" s="255">
        <f>'Daily Consumption'!CO110</f>
        <v/>
      </c>
      <c r="CR18" s="255">
        <f>'Daily Consumption'!CP110</f>
        <v/>
      </c>
      <c r="CS18" s="255">
        <f>'Daily Consumption'!CQ110</f>
        <v/>
      </c>
      <c r="CT18" s="255">
        <f>'Daily Consumption'!CR110</f>
        <v/>
      </c>
      <c r="CU18" s="255">
        <f>'Daily Consumption'!CS110</f>
        <v/>
      </c>
      <c r="CV18" s="255">
        <f>'Daily Consumption'!CT110</f>
        <v/>
      </c>
      <c r="CW18" s="255">
        <f>'Daily Consumption'!CU110</f>
        <v/>
      </c>
      <c r="CX18" s="255">
        <f>'Daily Consumption'!CV110</f>
        <v/>
      </c>
      <c r="CY18" s="255">
        <f>'Daily Consumption'!CW110</f>
        <v/>
      </c>
      <c r="CZ18" s="255">
        <f>'Daily Consumption'!CX110</f>
        <v/>
      </c>
      <c r="DA18" s="255">
        <f>'Daily Consumption'!CY110</f>
        <v/>
      </c>
      <c r="DB18" s="255">
        <f>'Daily Consumption'!CZ110</f>
        <v/>
      </c>
      <c r="DC18" s="255">
        <f>'Daily Consumption'!DA110</f>
        <v/>
      </c>
      <c r="DD18" s="255">
        <f>'Daily Consumption'!DB110</f>
        <v/>
      </c>
      <c r="DE18" s="255">
        <f>'Daily Consumption'!DC110</f>
        <v/>
      </c>
      <c r="DF18" s="255">
        <f>'Daily Consumption'!DD110</f>
        <v/>
      </c>
      <c r="DG18" s="255">
        <f>'Daily Consumption'!DE110</f>
        <v/>
      </c>
      <c r="DH18" s="255">
        <f>'Daily Consumption'!DF110</f>
        <v/>
      </c>
      <c r="DI18" s="255">
        <f>'Daily Consumption'!DG110</f>
        <v/>
      </c>
      <c r="DJ18" s="255">
        <f>'Daily Consumption'!DH110</f>
        <v/>
      </c>
      <c r="DK18" s="255">
        <f>'Daily Consumption'!DI110</f>
        <v/>
      </c>
      <c r="DL18" s="255">
        <f>'Daily Consumption'!DJ110</f>
        <v/>
      </c>
      <c r="DM18" s="255">
        <f>'Daily Consumption'!DK110</f>
        <v/>
      </c>
      <c r="DN18" s="255">
        <f>'Daily Consumption'!DL110</f>
        <v/>
      </c>
      <c r="DO18" s="255">
        <f>'Daily Consumption'!DM110</f>
        <v/>
      </c>
      <c r="DP18" s="255">
        <f>'Daily Consumption'!DN110</f>
        <v/>
      </c>
      <c r="DQ18" s="255">
        <f>'Daily Consumption'!DO110</f>
        <v/>
      </c>
      <c r="DR18" s="255">
        <f>'Daily Consumption'!DP110</f>
        <v/>
      </c>
      <c r="DS18" s="255">
        <f>'Daily Consumption'!DQ110</f>
        <v/>
      </c>
      <c r="DT18" s="255">
        <f>'Daily Consumption'!DR110</f>
        <v/>
      </c>
      <c r="DU18" s="255">
        <f>'Daily Consumption'!DS110</f>
        <v/>
      </c>
      <c r="DV18" s="255">
        <f>'Daily Consumption'!DT110</f>
        <v/>
      </c>
      <c r="DW18" s="255">
        <f>'Daily Consumption'!DU110</f>
        <v/>
      </c>
      <c r="DX18" s="255">
        <f>'Daily Consumption'!DV110</f>
        <v/>
      </c>
      <c r="DY18" s="255">
        <f>'Daily Consumption'!DW110</f>
        <v/>
      </c>
      <c r="DZ18" s="255">
        <f>'Daily Consumption'!DX110</f>
        <v/>
      </c>
      <c r="EA18" s="255">
        <f>'Daily Consumption'!DY110</f>
        <v/>
      </c>
      <c r="EB18" s="255">
        <f>'Daily Consumption'!DZ110</f>
        <v/>
      </c>
      <c r="EC18" s="255">
        <f>'Daily Consumption'!EA110</f>
        <v/>
      </c>
      <c r="ED18" s="255">
        <f>'Daily Consumption'!EB110</f>
        <v/>
      </c>
      <c r="EE18" s="255">
        <f>'Daily Consumption'!EC110</f>
        <v/>
      </c>
      <c r="EF18" s="255">
        <f>'Daily Consumption'!ED110</f>
        <v/>
      </c>
      <c r="EG18" s="255">
        <f>'Daily Consumption'!EE110</f>
        <v/>
      </c>
      <c r="EH18" s="255">
        <f>'Daily Consumption'!EF110</f>
        <v/>
      </c>
      <c r="EI18" s="255">
        <f>'Daily Consumption'!EG110</f>
        <v/>
      </c>
      <c r="EJ18" s="255">
        <f>'Daily Consumption'!EH110</f>
        <v/>
      </c>
      <c r="EK18" s="255">
        <f>'Daily Consumption'!EI110</f>
        <v/>
      </c>
      <c r="EL18" s="255">
        <f>'Daily Consumption'!EJ110</f>
        <v/>
      </c>
      <c r="EM18" s="255">
        <f>'Daily Consumption'!EK110</f>
        <v/>
      </c>
      <c r="EN18" s="255">
        <f>'Daily Consumption'!EL110</f>
        <v/>
      </c>
      <c r="EO18" s="255">
        <f>'Daily Consumption'!EM110</f>
        <v/>
      </c>
      <c r="EP18" s="255">
        <f>'Daily Consumption'!EN110</f>
        <v/>
      </c>
      <c r="EQ18" s="255">
        <f>'Daily Consumption'!EO110</f>
        <v/>
      </c>
      <c r="ER18" s="255">
        <f>'Daily Consumption'!EP110</f>
        <v/>
      </c>
      <c r="ES18" s="255">
        <f>'Daily Consumption'!EQ110</f>
        <v/>
      </c>
      <c r="ET18" s="255">
        <f>'Daily Consumption'!ER110</f>
        <v/>
      </c>
      <c r="EU18" s="255">
        <f>'Daily Consumption'!ES110</f>
        <v/>
      </c>
      <c r="EV18" s="255">
        <f>'Daily Consumption'!ET110</f>
        <v/>
      </c>
      <c r="EW18" s="255">
        <f>'Daily Consumption'!EU110</f>
        <v/>
      </c>
      <c r="EX18" s="255">
        <f>'Daily Consumption'!EV110</f>
        <v/>
      </c>
      <c r="EY18" s="255">
        <f>'Daily Consumption'!EW110</f>
        <v/>
      </c>
      <c r="EZ18" s="255">
        <f>'Daily Consumption'!EX110</f>
        <v/>
      </c>
      <c r="FA18" s="255">
        <f>'Daily Consumption'!EY110</f>
        <v/>
      </c>
      <c r="FB18" s="255">
        <f>'Daily Consumption'!EZ110</f>
        <v/>
      </c>
      <c r="FC18" s="255">
        <f>'Daily Consumption'!FA110</f>
        <v/>
      </c>
      <c r="FD18" s="255">
        <f>'Daily Consumption'!FB110</f>
        <v/>
      </c>
      <c r="FE18" s="255">
        <f>'Daily Consumption'!FC110</f>
        <v/>
      </c>
      <c r="FF18" s="255">
        <f>'Daily Consumption'!FD110</f>
        <v/>
      </c>
      <c r="FG18" s="255">
        <f>'Daily Consumption'!FE110</f>
        <v/>
      </c>
      <c r="FH18" s="255">
        <f>'Daily Consumption'!FF110</f>
        <v/>
      </c>
      <c r="FI18" s="255">
        <f>'Daily Consumption'!FG110</f>
        <v/>
      </c>
      <c r="FJ18" s="255">
        <f>'Daily Consumption'!FH110</f>
        <v/>
      </c>
      <c r="FK18" s="255">
        <f>'Daily Consumption'!FI110</f>
        <v/>
      </c>
      <c r="FL18" s="255">
        <f>'Daily Consumption'!FJ110</f>
        <v/>
      </c>
      <c r="FM18" s="255">
        <f>'Daily Consumption'!FK110</f>
        <v/>
      </c>
      <c r="FN18" s="255">
        <f>'Daily Consumption'!FL110</f>
        <v/>
      </c>
      <c r="FO18" s="255">
        <f>'Daily Consumption'!FM110</f>
        <v/>
      </c>
      <c r="FP18" s="255">
        <f>'Daily Consumption'!FN110</f>
        <v/>
      </c>
      <c r="FQ18" s="255">
        <f>'Daily Consumption'!FO110</f>
        <v/>
      </c>
      <c r="FR18" s="255">
        <f>'Daily Consumption'!FP110</f>
        <v/>
      </c>
      <c r="FS18" s="255">
        <f>'Daily Consumption'!FQ110</f>
        <v/>
      </c>
      <c r="FT18" s="255">
        <f>'Daily Consumption'!FR110</f>
        <v/>
      </c>
      <c r="FU18" s="255">
        <f>'Daily Consumption'!FS110</f>
        <v/>
      </c>
      <c r="FV18" s="255">
        <f>'Daily Consumption'!FT110</f>
        <v/>
      </c>
      <c r="FW18" s="255">
        <f>'Daily Consumption'!FU110</f>
        <v/>
      </c>
      <c r="FX18" s="255">
        <f>'Daily Consumption'!FV110</f>
        <v/>
      </c>
      <c r="FY18" s="255">
        <f>'Daily Consumption'!FW110</f>
        <v/>
      </c>
      <c r="FZ18" s="255">
        <f>'Daily Consumption'!FX110</f>
        <v/>
      </c>
      <c r="GA18" s="255">
        <f>'Daily Consumption'!FY110</f>
        <v/>
      </c>
      <c r="GB18" s="255">
        <f>'Daily Consumption'!FZ110</f>
        <v/>
      </c>
      <c r="GC18" s="255">
        <f>'Daily Consumption'!GA110</f>
        <v/>
      </c>
      <c r="GD18" s="255">
        <f>'Daily Consumption'!GB110</f>
        <v/>
      </c>
      <c r="GE18" s="255">
        <f>'Daily Consumption'!GC110</f>
        <v/>
      </c>
      <c r="GF18" s="255">
        <f>'Daily Consumption'!GD110</f>
        <v/>
      </c>
      <c r="GG18" s="255">
        <f>'Daily Consumption'!GE110</f>
        <v/>
      </c>
      <c r="GH18" s="255">
        <f>'Daily Consumption'!GF110</f>
        <v/>
      </c>
      <c r="GI18" s="255">
        <f>'Daily Consumption'!GG110</f>
        <v/>
      </c>
      <c r="GJ18" s="255">
        <f>'Daily Consumption'!GH110</f>
        <v/>
      </c>
      <c r="GK18" s="255">
        <f>'Daily Consumption'!GI110</f>
        <v/>
      </c>
      <c r="GL18" s="255">
        <f>'Daily Consumption'!GJ110</f>
        <v/>
      </c>
      <c r="GM18" s="255">
        <f>'Daily Consumption'!GK110</f>
        <v/>
      </c>
      <c r="GN18" s="255">
        <f>'Daily Consumption'!GL110</f>
        <v/>
      </c>
      <c r="GO18" s="255">
        <f>'Daily Consumption'!GM110</f>
        <v/>
      </c>
      <c r="GP18" s="255">
        <f>'Daily Consumption'!GN110</f>
        <v/>
      </c>
      <c r="GQ18" s="255">
        <f>'Daily Consumption'!GO110</f>
        <v/>
      </c>
      <c r="GR18" s="255">
        <f>'Daily Consumption'!GP110</f>
        <v/>
      </c>
      <c r="GS18" s="255">
        <f>'Daily Consumption'!GQ110</f>
        <v/>
      </c>
      <c r="GT18" s="255">
        <f>'Daily Consumption'!GR110</f>
        <v/>
      </c>
      <c r="GU18" s="255">
        <f>'Daily Consumption'!GS110</f>
        <v/>
      </c>
      <c r="GV18" s="255">
        <f>'Daily Consumption'!GT110</f>
        <v/>
      </c>
      <c r="GW18" s="255">
        <f>'Daily Consumption'!GU110</f>
        <v/>
      </c>
      <c r="GX18" s="255">
        <f>'Daily Consumption'!GV110</f>
        <v/>
      </c>
      <c r="GY18" s="255">
        <f>'Daily Consumption'!GW110</f>
        <v/>
      </c>
      <c r="GZ18" s="255">
        <f>'Daily Consumption'!GX110</f>
        <v/>
      </c>
      <c r="HA18" s="255">
        <f>'Daily Consumption'!GY110</f>
        <v/>
      </c>
      <c r="HB18" s="255">
        <f>'Daily Consumption'!GZ110</f>
        <v/>
      </c>
      <c r="HC18" s="255">
        <f>'Daily Consumption'!HA110</f>
        <v/>
      </c>
      <c r="HD18" s="255">
        <f>'Daily Consumption'!HB110</f>
        <v/>
      </c>
      <c r="HE18" s="255">
        <f>'Daily Consumption'!HC110</f>
        <v/>
      </c>
      <c r="HF18" s="255">
        <f>'Daily Consumption'!HD110</f>
        <v/>
      </c>
      <c r="HG18" s="255">
        <f>'Daily Consumption'!HE110</f>
        <v/>
      </c>
      <c r="HH18" s="255">
        <f>'Daily Consumption'!HF110</f>
        <v/>
      </c>
      <c r="HI18" s="255">
        <f>'Daily Consumption'!HG110</f>
        <v/>
      </c>
      <c r="HJ18" s="255">
        <f>'Daily Consumption'!HH110</f>
        <v/>
      </c>
      <c r="HK18" s="255">
        <f>'Daily Consumption'!HI110</f>
        <v/>
      </c>
      <c r="HL18" s="255">
        <f>'Daily Consumption'!HJ110</f>
        <v/>
      </c>
      <c r="HM18" s="255">
        <f>'Daily Consumption'!HK110</f>
        <v/>
      </c>
      <c r="HN18" s="255">
        <f>'Daily Consumption'!HL110</f>
        <v/>
      </c>
      <c r="HO18" s="255">
        <f>'Daily Consumption'!HM110</f>
        <v/>
      </c>
      <c r="HP18" s="255">
        <f>'Daily Consumption'!HN110</f>
        <v/>
      </c>
      <c r="HQ18" s="255">
        <f>'Daily Consumption'!HO110</f>
        <v/>
      </c>
      <c r="HR18" s="255">
        <f>'Daily Consumption'!HP110</f>
        <v/>
      </c>
      <c r="HS18" s="255">
        <f>'Daily Consumption'!HQ110</f>
        <v/>
      </c>
      <c r="HT18" s="255">
        <f>'Daily Consumption'!HR110</f>
        <v/>
      </c>
      <c r="HU18" s="255">
        <f>'Daily Consumption'!HS110</f>
        <v/>
      </c>
      <c r="HV18" s="255">
        <f>'Daily Consumption'!HT110</f>
        <v/>
      </c>
      <c r="HW18" s="255">
        <f>'Daily Consumption'!HU110</f>
        <v/>
      </c>
      <c r="HX18" s="255">
        <f>'Daily Consumption'!HV110</f>
        <v/>
      </c>
      <c r="HY18" s="255">
        <f>'Daily Consumption'!HW110</f>
        <v/>
      </c>
      <c r="HZ18" s="255">
        <f>'Daily Consumption'!HX110</f>
        <v/>
      </c>
      <c r="IA18" s="255">
        <f>'Daily Consumption'!HY110</f>
        <v/>
      </c>
      <c r="IB18" s="255">
        <f>'Daily Consumption'!HZ110</f>
        <v/>
      </c>
      <c r="IC18" s="255">
        <f>'Daily Consumption'!IA110</f>
        <v/>
      </c>
      <c r="ID18" s="255">
        <f>'Daily Consumption'!IB110</f>
        <v/>
      </c>
      <c r="IE18" s="255">
        <f>'Daily Consumption'!IC110</f>
        <v/>
      </c>
      <c r="IF18" s="255">
        <f>'Daily Consumption'!ID110</f>
        <v/>
      </c>
      <c r="IG18" s="255">
        <f>'Daily Consumption'!IE110</f>
        <v/>
      </c>
      <c r="IH18" s="255">
        <f>'Daily Consumption'!IF110</f>
        <v/>
      </c>
      <c r="II18" s="255">
        <f>'Daily Consumption'!IG110</f>
        <v/>
      </c>
      <c r="IJ18" s="255">
        <f>'Daily Consumption'!IH110</f>
        <v/>
      </c>
      <c r="IK18" s="255">
        <f>'Daily Consumption'!II110</f>
        <v/>
      </c>
      <c r="IL18" s="255">
        <f>'Daily Consumption'!IJ110</f>
        <v/>
      </c>
      <c r="IM18" s="255">
        <f>'Daily Consumption'!IK110</f>
        <v/>
      </c>
      <c r="IN18" s="255">
        <f>'Daily Consumption'!IL110</f>
        <v/>
      </c>
      <c r="IO18" s="255">
        <f>'Daily Consumption'!IM110</f>
        <v/>
      </c>
      <c r="IP18" s="255">
        <f>'Daily Consumption'!IN110</f>
        <v/>
      </c>
      <c r="IQ18" s="255">
        <f>'Daily Consumption'!IO110</f>
        <v/>
      </c>
      <c r="IR18" s="255">
        <f>'Daily Consumption'!IP110</f>
        <v/>
      </c>
      <c r="IS18" s="255">
        <f>'Daily Consumption'!IQ110</f>
        <v/>
      </c>
      <c r="IT18" s="255">
        <f>'Daily Consumption'!IR110</f>
        <v/>
      </c>
      <c r="IU18" s="255">
        <f>'Daily Consumption'!IS110</f>
        <v/>
      </c>
      <c r="IV18" s="255">
        <f>'Daily Consumption'!IT110</f>
        <v/>
      </c>
      <c r="IW18" s="255">
        <f>'Daily Consumption'!IU110</f>
        <v/>
      </c>
      <c r="IX18" s="255">
        <f>'Daily Consumption'!IV110</f>
        <v/>
      </c>
      <c r="IY18" s="255">
        <f>'Daily Consumption'!IW110</f>
        <v/>
      </c>
      <c r="IZ18" s="255">
        <f>'Daily Consumption'!IX110</f>
        <v/>
      </c>
      <c r="JA18" s="255">
        <f>'Daily Consumption'!IY110</f>
        <v/>
      </c>
      <c r="JB18" s="255">
        <f>'Daily Consumption'!IZ110</f>
        <v/>
      </c>
      <c r="JC18" s="255">
        <f>'Daily Consumption'!JA110</f>
        <v/>
      </c>
      <c r="JD18" s="255">
        <f>'Daily Consumption'!JB110</f>
        <v/>
      </c>
      <c r="JE18" s="255">
        <f>'Daily Consumption'!JC110</f>
        <v/>
      </c>
      <c r="JF18" s="255">
        <f>'Daily Consumption'!JD110</f>
        <v/>
      </c>
      <c r="JG18" s="255">
        <f>'Daily Consumption'!JE110</f>
        <v/>
      </c>
      <c r="JH18" s="255">
        <f>'Daily Consumption'!JF110</f>
        <v/>
      </c>
      <c r="JI18" s="255">
        <f>'Daily Consumption'!JG110</f>
        <v/>
      </c>
      <c r="JJ18" s="255">
        <f>'Daily Consumption'!JH110</f>
        <v/>
      </c>
      <c r="JK18" s="255">
        <f>'Daily Consumption'!JI110</f>
        <v/>
      </c>
      <c r="JL18" s="255">
        <f>'Daily Consumption'!JJ110</f>
        <v/>
      </c>
      <c r="JM18" s="255">
        <f>'Daily Consumption'!JK110</f>
        <v/>
      </c>
      <c r="JN18" s="255">
        <f>'Daily Consumption'!JL110</f>
        <v/>
      </c>
      <c r="JO18" s="255">
        <f>'Daily Consumption'!JM110</f>
        <v/>
      </c>
      <c r="JP18" s="255">
        <f>'Daily Consumption'!JN110</f>
        <v/>
      </c>
      <c r="JQ18" s="255">
        <f>'Daily Consumption'!JO110</f>
        <v/>
      </c>
      <c r="JR18" s="255">
        <f>'Daily Consumption'!JP110</f>
        <v/>
      </c>
      <c r="JS18" s="255">
        <f>'Daily Consumption'!JQ110</f>
        <v/>
      </c>
      <c r="JT18" s="255">
        <f>'Daily Consumption'!JR110</f>
        <v/>
      </c>
      <c r="JU18" s="255">
        <f>'Daily Consumption'!JS110</f>
        <v/>
      </c>
      <c r="JV18" s="255">
        <f>'Daily Consumption'!JT110</f>
        <v/>
      </c>
      <c r="JW18" s="255">
        <f>'Daily Consumption'!JU110</f>
        <v/>
      </c>
      <c r="JX18" s="255">
        <f>'Daily Consumption'!JV110</f>
        <v/>
      </c>
      <c r="JY18" s="255">
        <f>'Daily Consumption'!JW110</f>
        <v/>
      </c>
      <c r="JZ18" s="255">
        <f>'Daily Consumption'!JX110</f>
        <v/>
      </c>
      <c r="KA18" s="255">
        <f>'Daily Consumption'!JY110</f>
        <v/>
      </c>
      <c r="KB18" s="255">
        <f>'Daily Consumption'!JZ110</f>
        <v/>
      </c>
      <c r="KC18" s="255">
        <f>'Daily Consumption'!KA110</f>
        <v/>
      </c>
      <c r="KD18" s="255">
        <f>'Daily Consumption'!KB110</f>
        <v/>
      </c>
      <c r="KE18" s="255">
        <f>'Daily Consumption'!KC110</f>
        <v/>
      </c>
      <c r="KF18" s="255">
        <f>'Daily Consumption'!KD110</f>
        <v/>
      </c>
      <c r="KG18" s="255">
        <f>'Daily Consumption'!KE110</f>
        <v/>
      </c>
      <c r="KH18" s="255">
        <f>'Daily Consumption'!KF110</f>
        <v/>
      </c>
      <c r="KI18" s="255">
        <f>'Daily Consumption'!KG110</f>
        <v/>
      </c>
      <c r="KJ18" s="255">
        <f>'Daily Consumption'!KH110</f>
        <v/>
      </c>
      <c r="KK18" s="255">
        <f>'Daily Consumption'!KI110</f>
        <v/>
      </c>
      <c r="KL18" s="255">
        <f>'Daily Consumption'!KJ110</f>
        <v/>
      </c>
      <c r="KM18" s="255">
        <f>'Daily Consumption'!KK110</f>
        <v/>
      </c>
      <c r="KN18" s="255">
        <f>'Daily Consumption'!KL110</f>
        <v/>
      </c>
      <c r="KO18" s="255">
        <f>'Daily Consumption'!KM110</f>
        <v/>
      </c>
      <c r="KP18" s="255">
        <f>'Daily Consumption'!KN110</f>
        <v/>
      </c>
      <c r="KQ18" s="255">
        <f>'Daily Consumption'!KO110</f>
        <v/>
      </c>
      <c r="KR18" s="255">
        <f>'Daily Consumption'!KP110</f>
        <v/>
      </c>
      <c r="KS18" s="255">
        <f>'Daily Consumption'!KQ110</f>
        <v/>
      </c>
      <c r="KT18" s="255">
        <f>'Daily Consumption'!KR110</f>
        <v/>
      </c>
      <c r="KU18" s="255">
        <f>'Daily Consumption'!KS110</f>
        <v/>
      </c>
      <c r="KV18" s="255">
        <f>'Daily Consumption'!KT110</f>
        <v/>
      </c>
      <c r="KW18" s="255">
        <f>'Daily Consumption'!KU110</f>
        <v/>
      </c>
      <c r="KX18" s="255">
        <f>'Daily Consumption'!KV110</f>
        <v/>
      </c>
      <c r="KY18" s="255">
        <f>'Daily Consumption'!KW110</f>
        <v/>
      </c>
      <c r="KZ18" s="255">
        <f>'Daily Consumption'!KX110</f>
        <v/>
      </c>
      <c r="LA18" s="255">
        <f>'Daily Consumption'!KY110</f>
        <v/>
      </c>
      <c r="LB18" s="255">
        <f>'Daily Consumption'!KZ110</f>
        <v/>
      </c>
      <c r="LC18" s="255">
        <f>'Daily Consumption'!LA110</f>
        <v/>
      </c>
      <c r="LD18" s="255">
        <f>'Daily Consumption'!LB110</f>
        <v/>
      </c>
      <c r="LE18" s="255">
        <f>'Daily Consumption'!LC110</f>
        <v/>
      </c>
      <c r="LF18" s="255">
        <f>'Daily Consumption'!LD110</f>
        <v/>
      </c>
      <c r="LG18" s="255">
        <f>'Daily Consumption'!LE110</f>
        <v/>
      </c>
      <c r="LH18" s="255">
        <f>'Daily Consumption'!LF110</f>
        <v/>
      </c>
      <c r="LI18" s="255">
        <f>'Daily Consumption'!LG110</f>
        <v/>
      </c>
      <c r="LJ18" s="255">
        <f>'Daily Consumption'!LH110</f>
        <v/>
      </c>
      <c r="LK18" s="255">
        <f>'Daily Consumption'!LI110</f>
        <v/>
      </c>
      <c r="LL18" s="255">
        <f>'Daily Consumption'!LJ110</f>
        <v/>
      </c>
      <c r="LM18" s="255">
        <f>'Daily Consumption'!LK110</f>
        <v/>
      </c>
      <c r="LN18" s="255">
        <f>'Daily Consumption'!LL110</f>
        <v/>
      </c>
      <c r="LO18" s="255">
        <f>'Daily Consumption'!LM110</f>
        <v/>
      </c>
      <c r="LP18" s="255">
        <f>'Daily Consumption'!LN110</f>
        <v/>
      </c>
      <c r="LQ18" s="255">
        <f>'Daily Consumption'!LO110</f>
        <v/>
      </c>
      <c r="LR18" s="255">
        <f>'Daily Consumption'!LP110</f>
        <v/>
      </c>
      <c r="LS18" s="255">
        <f>'Daily Consumption'!LQ110</f>
        <v/>
      </c>
      <c r="LT18" s="255">
        <f>'Daily Consumption'!LR110</f>
        <v/>
      </c>
      <c r="LU18" s="255">
        <f>'Daily Consumption'!LS110</f>
        <v/>
      </c>
      <c r="LV18" s="255">
        <f>'Daily Consumption'!LT110</f>
        <v/>
      </c>
      <c r="LW18" s="255">
        <f>'Daily Consumption'!LU110</f>
        <v/>
      </c>
      <c r="LX18" s="255">
        <f>'Daily Consumption'!LV110</f>
        <v/>
      </c>
      <c r="LY18" s="255">
        <f>'Daily Consumption'!LW110</f>
        <v/>
      </c>
      <c r="LZ18" s="255">
        <f>'Daily Consumption'!LX110</f>
        <v/>
      </c>
      <c r="MA18" s="255">
        <f>'Daily Consumption'!LY110</f>
        <v/>
      </c>
      <c r="MB18" s="255">
        <f>'Daily Consumption'!LZ110</f>
        <v/>
      </c>
      <c r="MC18" s="255">
        <f>'Daily Consumption'!MA110</f>
        <v/>
      </c>
      <c r="MD18" s="255">
        <f>'Daily Consumption'!MB110</f>
        <v/>
      </c>
      <c r="ME18" s="255">
        <f>'Daily Consumption'!MC110</f>
        <v/>
      </c>
      <c r="MF18" s="255">
        <f>'Daily Consumption'!MD110</f>
        <v/>
      </c>
      <c r="MG18" s="255">
        <f>'Daily Consumption'!ME110</f>
        <v/>
      </c>
      <c r="MH18" s="255">
        <f>'Daily Consumption'!MF110</f>
        <v/>
      </c>
      <c r="MI18" s="255">
        <f>'Daily Consumption'!MG110</f>
        <v/>
      </c>
      <c r="MJ18" s="255">
        <f>'Daily Consumption'!MH110</f>
        <v/>
      </c>
      <c r="MK18" s="255">
        <f>'Daily Consumption'!MI110</f>
        <v/>
      </c>
      <c r="ML18" s="255">
        <f>'Daily Consumption'!MJ110</f>
        <v/>
      </c>
      <c r="MM18" s="255">
        <f>'Daily Consumption'!MK110</f>
        <v/>
      </c>
      <c r="MN18" s="255">
        <f>'Daily Consumption'!ML110</f>
        <v/>
      </c>
      <c r="MO18" s="255">
        <f>'Daily Consumption'!MM110</f>
        <v/>
      </c>
      <c r="MP18" s="255">
        <f>'Daily Consumption'!MN110</f>
        <v/>
      </c>
      <c r="MQ18" s="255">
        <f>'Daily Consumption'!MO110</f>
        <v/>
      </c>
      <c r="MR18" s="255">
        <f>'Daily Consumption'!MP110</f>
        <v/>
      </c>
      <c r="MS18" s="255">
        <f>'Daily Consumption'!MQ110</f>
        <v/>
      </c>
      <c r="MT18" s="255">
        <f>'Daily Consumption'!MR110</f>
        <v/>
      </c>
      <c r="MU18" s="255">
        <f>'Daily Consumption'!MS110</f>
        <v/>
      </c>
      <c r="MV18" s="255">
        <f>'Daily Consumption'!MT110</f>
        <v/>
      </c>
      <c r="MW18" s="255">
        <f>'Daily Consumption'!MU110</f>
        <v/>
      </c>
      <c r="MX18" s="255">
        <f>'Daily Consumption'!MV110</f>
        <v/>
      </c>
      <c r="MY18" s="255">
        <f>'Daily Consumption'!MW110</f>
        <v/>
      </c>
      <c r="MZ18" s="255">
        <f>'Daily Consumption'!MX110</f>
        <v/>
      </c>
      <c r="NA18" s="255">
        <f>'Daily Consumption'!MY110</f>
        <v/>
      </c>
      <c r="NB18" s="255">
        <f>'Daily Consumption'!MZ110</f>
        <v/>
      </c>
      <c r="NC18" s="255">
        <f>'Daily Consumption'!NA110</f>
        <v/>
      </c>
      <c r="ND18" s="255">
        <f>'Daily Consumption'!NB110</f>
        <v/>
      </c>
      <c r="NE18" s="256" t="n"/>
    </row>
    <row r="19" ht="15" customHeight="1" s="166">
      <c r="A19" s="263" t="inlineStr">
        <is>
          <t>Average Daily Temperature N-1</t>
        </is>
      </c>
      <c r="B19" s="245" t="n"/>
      <c r="C19" s="264" t="inlineStr">
        <is>
          <t>C°</t>
        </is>
      </c>
      <c r="D19" s="256" t="n"/>
      <c r="E19" s="255">
        <f>'Daily Consumption'!B110</f>
        <v/>
      </c>
      <c r="F19" s="255">
        <f>'Daily Consumption'!C110</f>
        <v/>
      </c>
      <c r="G19" s="255">
        <f>'Daily Consumption'!D110</f>
        <v/>
      </c>
      <c r="H19" s="255">
        <f>'Daily Consumption'!E110</f>
        <v/>
      </c>
      <c r="I19" s="255">
        <f>'Daily Consumption'!F110</f>
        <v/>
      </c>
      <c r="J19" s="255">
        <f>'Daily Consumption'!G110</f>
        <v/>
      </c>
      <c r="K19" s="255">
        <f>'Daily Consumption'!H110</f>
        <v/>
      </c>
      <c r="L19" s="255">
        <f>'Daily Consumption'!I110</f>
        <v/>
      </c>
      <c r="M19" s="255">
        <f>'Daily Consumption'!J110</f>
        <v/>
      </c>
      <c r="N19" s="255">
        <f>'Daily Consumption'!K110</f>
        <v/>
      </c>
      <c r="O19" s="255">
        <f>'Daily Consumption'!L110</f>
        <v/>
      </c>
      <c r="P19" s="255">
        <f>'Daily Consumption'!M110</f>
        <v/>
      </c>
      <c r="Q19" s="255">
        <f>'Daily Consumption'!N110</f>
        <v/>
      </c>
      <c r="R19" s="255">
        <f>'Daily Consumption'!O110</f>
        <v/>
      </c>
      <c r="S19" s="255">
        <f>'Daily Consumption'!P110</f>
        <v/>
      </c>
      <c r="T19" s="255">
        <f>'Daily Consumption'!Q110</f>
        <v/>
      </c>
      <c r="U19" s="255">
        <f>'Daily Consumption'!R110</f>
        <v/>
      </c>
      <c r="V19" s="255">
        <f>'Daily Consumption'!S110</f>
        <v/>
      </c>
      <c r="W19" s="255">
        <f>'Daily Consumption'!T110</f>
        <v/>
      </c>
      <c r="X19" s="255">
        <f>'Daily Consumption'!U110</f>
        <v/>
      </c>
      <c r="Y19" s="255">
        <f>'Daily Consumption'!V110</f>
        <v/>
      </c>
      <c r="Z19" s="255">
        <f>'Daily Consumption'!W110</f>
        <v/>
      </c>
      <c r="AA19" s="255">
        <f>'Daily Consumption'!X110</f>
        <v/>
      </c>
      <c r="AB19" s="255">
        <f>'Daily Consumption'!Y110</f>
        <v/>
      </c>
      <c r="AC19" s="255">
        <f>'Daily Consumption'!Z110</f>
        <v/>
      </c>
      <c r="AD19" s="255">
        <f>'Daily Consumption'!AA110</f>
        <v/>
      </c>
      <c r="AE19" s="255">
        <f>'Daily Consumption'!AB110</f>
        <v/>
      </c>
      <c r="AF19" s="255">
        <f>'Daily Consumption'!AC110</f>
        <v/>
      </c>
      <c r="AG19" s="255">
        <f>'Daily Consumption'!AD110</f>
        <v/>
      </c>
      <c r="AH19" s="255">
        <f>'Daily Consumption'!AE110</f>
        <v/>
      </c>
      <c r="AI19" s="255">
        <f>'Daily Consumption'!AF110</f>
        <v/>
      </c>
      <c r="AJ19" s="255">
        <f>'Daily Consumption'!AG110</f>
        <v/>
      </c>
      <c r="AK19" s="255">
        <f>'Daily Consumption'!AH110</f>
        <v/>
      </c>
      <c r="AL19" s="255">
        <f>'Daily Consumption'!AI110</f>
        <v/>
      </c>
      <c r="AM19" s="255">
        <f>'Daily Consumption'!AJ110</f>
        <v/>
      </c>
      <c r="AN19" s="255">
        <f>'Daily Consumption'!AK110</f>
        <v/>
      </c>
      <c r="AO19" s="255">
        <f>'Daily Consumption'!AL110</f>
        <v/>
      </c>
      <c r="AP19" s="255">
        <f>'Daily Consumption'!AM110</f>
        <v/>
      </c>
      <c r="AQ19" s="255">
        <f>'Daily Consumption'!AN110</f>
        <v/>
      </c>
      <c r="AR19" s="255">
        <f>'Daily Consumption'!AO110</f>
        <v/>
      </c>
      <c r="AS19" s="255">
        <f>'Daily Consumption'!AP110</f>
        <v/>
      </c>
      <c r="AT19" s="255">
        <f>'Daily Consumption'!AQ110</f>
        <v/>
      </c>
      <c r="AU19" s="255">
        <f>'Daily Consumption'!AR110</f>
        <v/>
      </c>
      <c r="AV19" s="255">
        <f>'Daily Consumption'!AS110</f>
        <v/>
      </c>
      <c r="AW19" s="255">
        <f>'Daily Consumption'!AT110</f>
        <v/>
      </c>
      <c r="AX19" s="255">
        <f>'Daily Consumption'!AU110</f>
        <v/>
      </c>
      <c r="AY19" s="255">
        <f>'Daily Consumption'!AV110</f>
        <v/>
      </c>
      <c r="AZ19" s="255">
        <f>'Daily Consumption'!AW110</f>
        <v/>
      </c>
      <c r="BA19" s="255">
        <f>'Daily Consumption'!AX110</f>
        <v/>
      </c>
      <c r="BB19" s="255">
        <f>'Daily Consumption'!AY110</f>
        <v/>
      </c>
      <c r="BC19" s="255">
        <f>'Daily Consumption'!AZ110</f>
        <v/>
      </c>
      <c r="BD19" s="255">
        <f>'Daily Consumption'!BA110</f>
        <v/>
      </c>
      <c r="BE19" s="255">
        <f>'Daily Consumption'!BB110</f>
        <v/>
      </c>
      <c r="BF19" s="255">
        <f>'Daily Consumption'!BC110</f>
        <v/>
      </c>
      <c r="BG19" s="255">
        <f>'Daily Consumption'!BD110</f>
        <v/>
      </c>
      <c r="BH19" s="255">
        <f>'Daily Consumption'!BE110</f>
        <v/>
      </c>
      <c r="BI19" s="255">
        <f>'Daily Consumption'!BF110</f>
        <v/>
      </c>
      <c r="BJ19" s="255">
        <f>'Daily Consumption'!BG110</f>
        <v/>
      </c>
      <c r="BK19" s="255">
        <f>'Daily Consumption'!BH110</f>
        <v/>
      </c>
      <c r="BL19" s="255">
        <f>'Daily Consumption'!BI110</f>
        <v/>
      </c>
      <c r="BM19" s="255">
        <f>'Daily Consumption'!BJ110</f>
        <v/>
      </c>
      <c r="BN19" s="255">
        <f>'Daily Consumption'!BK110</f>
        <v/>
      </c>
      <c r="BO19" s="255">
        <f>'Daily Consumption'!BL110</f>
        <v/>
      </c>
      <c r="BP19" s="255">
        <f>'Daily Consumption'!BM110</f>
        <v/>
      </c>
      <c r="BQ19" s="255">
        <f>'Daily Consumption'!BN110</f>
        <v/>
      </c>
      <c r="BR19" s="255">
        <f>'Daily Consumption'!BO110</f>
        <v/>
      </c>
      <c r="BS19" s="255">
        <f>'Daily Consumption'!BP110</f>
        <v/>
      </c>
      <c r="BT19" s="255">
        <f>'Daily Consumption'!BQ110</f>
        <v/>
      </c>
      <c r="BU19" s="255">
        <f>'Daily Consumption'!BR110</f>
        <v/>
      </c>
      <c r="BV19" s="255">
        <f>'Daily Consumption'!BS110</f>
        <v/>
      </c>
      <c r="BW19" s="255">
        <f>'Daily Consumption'!BT110</f>
        <v/>
      </c>
      <c r="BX19" s="255">
        <f>'Daily Consumption'!BU110</f>
        <v/>
      </c>
      <c r="BY19" s="255">
        <f>'Daily Consumption'!BV110</f>
        <v/>
      </c>
      <c r="BZ19" s="255">
        <f>'Daily Consumption'!BW110</f>
        <v/>
      </c>
      <c r="CA19" s="255">
        <f>'Daily Consumption'!BX110</f>
        <v/>
      </c>
      <c r="CB19" s="255">
        <f>'Daily Consumption'!BY110</f>
        <v/>
      </c>
      <c r="CC19" s="255">
        <f>'Daily Consumption'!BZ110</f>
        <v/>
      </c>
      <c r="CD19" s="255">
        <f>'Daily Consumption'!CA110</f>
        <v/>
      </c>
      <c r="CE19" s="255">
        <f>'Daily Consumption'!CB110</f>
        <v/>
      </c>
      <c r="CF19" s="255">
        <f>'Daily Consumption'!CC110</f>
        <v/>
      </c>
      <c r="CG19" s="255">
        <f>'Daily Consumption'!CD110</f>
        <v/>
      </c>
      <c r="CH19" s="255">
        <f>'Daily Consumption'!CE110</f>
        <v/>
      </c>
      <c r="CI19" s="255">
        <f>'Daily Consumption'!CF110</f>
        <v/>
      </c>
      <c r="CJ19" s="255">
        <f>'Daily Consumption'!CG110</f>
        <v/>
      </c>
      <c r="CK19" s="255">
        <f>'Daily Consumption'!CH110</f>
        <v/>
      </c>
      <c r="CL19" s="255">
        <f>'Daily Consumption'!CI110</f>
        <v/>
      </c>
      <c r="CM19" s="255">
        <f>'Daily Consumption'!CJ110</f>
        <v/>
      </c>
      <c r="CN19" s="255">
        <f>'Daily Consumption'!CK110</f>
        <v/>
      </c>
      <c r="CO19" s="255">
        <f>'Daily Consumption'!CL110</f>
        <v/>
      </c>
      <c r="CP19" s="255">
        <f>'Daily Consumption'!CM110</f>
        <v/>
      </c>
      <c r="CQ19" s="255">
        <f>'Daily Consumption'!CN110</f>
        <v/>
      </c>
      <c r="CR19" s="255">
        <f>'Daily Consumption'!CO110</f>
        <v/>
      </c>
      <c r="CS19" s="255">
        <f>'Daily Consumption'!CP110</f>
        <v/>
      </c>
      <c r="CT19" s="255">
        <f>'Daily Consumption'!CQ110</f>
        <v/>
      </c>
      <c r="CU19" s="255">
        <f>'Daily Consumption'!CR110</f>
        <v/>
      </c>
      <c r="CV19" s="255">
        <f>'Daily Consumption'!CS110</f>
        <v/>
      </c>
      <c r="CW19" s="255">
        <f>'Daily Consumption'!CT110</f>
        <v/>
      </c>
      <c r="CX19" s="255">
        <f>'Daily Consumption'!CU110</f>
        <v/>
      </c>
      <c r="CY19" s="255">
        <f>'Daily Consumption'!CV110</f>
        <v/>
      </c>
      <c r="CZ19" s="255">
        <f>'Daily Consumption'!CW110</f>
        <v/>
      </c>
      <c r="DA19" s="255">
        <f>'Daily Consumption'!CX110</f>
        <v/>
      </c>
      <c r="DB19" s="255">
        <f>'Daily Consumption'!CY110</f>
        <v/>
      </c>
      <c r="DC19" s="255">
        <f>'Daily Consumption'!CZ110</f>
        <v/>
      </c>
      <c r="DD19" s="255">
        <f>'Daily Consumption'!DA110</f>
        <v/>
      </c>
      <c r="DE19" s="255">
        <f>'Daily Consumption'!DB110</f>
        <v/>
      </c>
      <c r="DF19" s="255">
        <f>'Daily Consumption'!DC110</f>
        <v/>
      </c>
      <c r="DG19" s="255">
        <f>'Daily Consumption'!DD110</f>
        <v/>
      </c>
      <c r="DH19" s="255">
        <f>'Daily Consumption'!DE110</f>
        <v/>
      </c>
      <c r="DI19" s="255">
        <f>'Daily Consumption'!DF110</f>
        <v/>
      </c>
      <c r="DJ19" s="255">
        <f>'Daily Consumption'!DG110</f>
        <v/>
      </c>
      <c r="DK19" s="255">
        <f>'Daily Consumption'!DH110</f>
        <v/>
      </c>
      <c r="DL19" s="255">
        <f>'Daily Consumption'!DI110</f>
        <v/>
      </c>
      <c r="DM19" s="255">
        <f>'Daily Consumption'!DJ110</f>
        <v/>
      </c>
      <c r="DN19" s="255">
        <f>'Daily Consumption'!DK110</f>
        <v/>
      </c>
      <c r="DO19" s="255">
        <f>'Daily Consumption'!DL110</f>
        <v/>
      </c>
      <c r="DP19" s="255">
        <f>'Daily Consumption'!DM110</f>
        <v/>
      </c>
      <c r="DQ19" s="255">
        <f>'Daily Consumption'!DN110</f>
        <v/>
      </c>
      <c r="DR19" s="255">
        <f>'Daily Consumption'!DO110</f>
        <v/>
      </c>
      <c r="DS19" s="255">
        <f>'Daily Consumption'!DP110</f>
        <v/>
      </c>
      <c r="DT19" s="255">
        <f>'Daily Consumption'!DQ110</f>
        <v/>
      </c>
      <c r="DU19" s="255">
        <f>'Daily Consumption'!DR110</f>
        <v/>
      </c>
      <c r="DV19" s="255">
        <f>'Daily Consumption'!DS110</f>
        <v/>
      </c>
      <c r="DW19" s="255">
        <f>'Daily Consumption'!DT110</f>
        <v/>
      </c>
      <c r="DX19" s="255">
        <f>'Daily Consumption'!DU110</f>
        <v/>
      </c>
      <c r="DY19" s="255">
        <f>'Daily Consumption'!DV110</f>
        <v/>
      </c>
      <c r="DZ19" s="255">
        <f>'Daily Consumption'!DW110</f>
        <v/>
      </c>
      <c r="EA19" s="255">
        <f>'Daily Consumption'!DX110</f>
        <v/>
      </c>
      <c r="EB19" s="255">
        <f>'Daily Consumption'!DY110</f>
        <v/>
      </c>
      <c r="EC19" s="255">
        <f>'Daily Consumption'!DZ110</f>
        <v/>
      </c>
      <c r="ED19" s="255">
        <f>'Daily Consumption'!EA110</f>
        <v/>
      </c>
      <c r="EE19" s="255">
        <f>'Daily Consumption'!EB110</f>
        <v/>
      </c>
      <c r="EF19" s="255">
        <f>'Daily Consumption'!EC110</f>
        <v/>
      </c>
      <c r="EG19" s="255">
        <f>'Daily Consumption'!ED110</f>
        <v/>
      </c>
      <c r="EH19" s="255">
        <f>'Daily Consumption'!EE110</f>
        <v/>
      </c>
      <c r="EI19" s="255">
        <f>'Daily Consumption'!EF110</f>
        <v/>
      </c>
      <c r="EJ19" s="255">
        <f>'Daily Consumption'!EG110</f>
        <v/>
      </c>
      <c r="EK19" s="255">
        <f>'Daily Consumption'!EH110</f>
        <v/>
      </c>
      <c r="EL19" s="255">
        <f>'Daily Consumption'!EI110</f>
        <v/>
      </c>
      <c r="EM19" s="255">
        <f>'Daily Consumption'!EJ110</f>
        <v/>
      </c>
      <c r="EN19" s="255">
        <f>'Daily Consumption'!EK110</f>
        <v/>
      </c>
      <c r="EO19" s="255">
        <f>'Daily Consumption'!EL110</f>
        <v/>
      </c>
      <c r="EP19" s="255">
        <f>'Daily Consumption'!EM110</f>
        <v/>
      </c>
      <c r="EQ19" s="255">
        <f>'Daily Consumption'!EN110</f>
        <v/>
      </c>
      <c r="ER19" s="255">
        <f>'Daily Consumption'!EO110</f>
        <v/>
      </c>
      <c r="ES19" s="255">
        <f>'Daily Consumption'!EP110</f>
        <v/>
      </c>
      <c r="ET19" s="255">
        <f>'Daily Consumption'!EQ110</f>
        <v/>
      </c>
      <c r="EU19" s="255">
        <f>'Daily Consumption'!ER110</f>
        <v/>
      </c>
      <c r="EV19" s="255">
        <f>'Daily Consumption'!ES110</f>
        <v/>
      </c>
      <c r="EW19" s="255">
        <f>'Daily Consumption'!ET110</f>
        <v/>
      </c>
      <c r="EX19" s="255">
        <f>'Daily Consumption'!EU110</f>
        <v/>
      </c>
      <c r="EY19" s="255">
        <f>'Daily Consumption'!EV110</f>
        <v/>
      </c>
      <c r="EZ19" s="255">
        <f>'Daily Consumption'!EW110</f>
        <v/>
      </c>
      <c r="FA19" s="255">
        <f>'Daily Consumption'!EX110</f>
        <v/>
      </c>
      <c r="FB19" s="255">
        <f>'Daily Consumption'!EY110</f>
        <v/>
      </c>
      <c r="FC19" s="255">
        <f>'Daily Consumption'!EZ110</f>
        <v/>
      </c>
      <c r="FD19" s="255">
        <f>'Daily Consumption'!FA110</f>
        <v/>
      </c>
      <c r="FE19" s="255">
        <f>'Daily Consumption'!FB110</f>
        <v/>
      </c>
      <c r="FF19" s="255">
        <f>'Daily Consumption'!FC110</f>
        <v/>
      </c>
      <c r="FG19" s="255">
        <f>'Daily Consumption'!FD110</f>
        <v/>
      </c>
      <c r="FH19" s="255">
        <f>'Daily Consumption'!FE110</f>
        <v/>
      </c>
      <c r="FI19" s="255">
        <f>'Daily Consumption'!FF110</f>
        <v/>
      </c>
      <c r="FJ19" s="255">
        <f>'Daily Consumption'!FG110</f>
        <v/>
      </c>
      <c r="FK19" s="255">
        <f>'Daily Consumption'!FH110</f>
        <v/>
      </c>
      <c r="FL19" s="255">
        <f>'Daily Consumption'!FI110</f>
        <v/>
      </c>
      <c r="FM19" s="255">
        <f>'Daily Consumption'!FJ110</f>
        <v/>
      </c>
      <c r="FN19" s="255">
        <f>'Daily Consumption'!FK110</f>
        <v/>
      </c>
      <c r="FO19" s="255">
        <f>'Daily Consumption'!FL110</f>
        <v/>
      </c>
      <c r="FP19" s="255">
        <f>'Daily Consumption'!FM110</f>
        <v/>
      </c>
      <c r="FQ19" s="255">
        <f>'Daily Consumption'!FN110</f>
        <v/>
      </c>
      <c r="FR19" s="255">
        <f>'Daily Consumption'!FO110</f>
        <v/>
      </c>
      <c r="FS19" s="255">
        <f>'Daily Consumption'!FP110</f>
        <v/>
      </c>
      <c r="FT19" s="255">
        <f>'Daily Consumption'!FQ110</f>
        <v/>
      </c>
      <c r="FU19" s="255">
        <f>'Daily Consumption'!FR110</f>
        <v/>
      </c>
      <c r="FV19" s="255">
        <f>'Daily Consumption'!FS110</f>
        <v/>
      </c>
      <c r="FW19" s="255">
        <f>'Daily Consumption'!FT110</f>
        <v/>
      </c>
      <c r="FX19" s="255">
        <f>'Daily Consumption'!FU110</f>
        <v/>
      </c>
      <c r="FY19" s="255">
        <f>'Daily Consumption'!FV110</f>
        <v/>
      </c>
      <c r="FZ19" s="255">
        <f>'Daily Consumption'!FW110</f>
        <v/>
      </c>
      <c r="GA19" s="255">
        <f>'Daily Consumption'!FX110</f>
        <v/>
      </c>
      <c r="GB19" s="255">
        <f>'Daily Consumption'!FY110</f>
        <v/>
      </c>
      <c r="GC19" s="255">
        <f>'Daily Consumption'!FZ110</f>
        <v/>
      </c>
      <c r="GD19" s="255">
        <f>'Daily Consumption'!GA110</f>
        <v/>
      </c>
      <c r="GE19" s="255">
        <f>'Daily Consumption'!GB110</f>
        <v/>
      </c>
      <c r="GF19" s="255">
        <f>'Daily Consumption'!GC110</f>
        <v/>
      </c>
      <c r="GG19" s="255">
        <f>'Daily Consumption'!GD110</f>
        <v/>
      </c>
      <c r="GH19" s="255">
        <f>'Daily Consumption'!GE110</f>
        <v/>
      </c>
      <c r="GI19" s="255">
        <f>'Daily Consumption'!GF110</f>
        <v/>
      </c>
      <c r="GJ19" s="255">
        <f>'Daily Consumption'!GG110</f>
        <v/>
      </c>
      <c r="GK19" s="255">
        <f>'Daily Consumption'!GH110</f>
        <v/>
      </c>
      <c r="GL19" s="255">
        <f>'Daily Consumption'!GI110</f>
        <v/>
      </c>
      <c r="GM19" s="255">
        <f>'Daily Consumption'!GJ110</f>
        <v/>
      </c>
      <c r="GN19" s="255">
        <f>'Daily Consumption'!GK110</f>
        <v/>
      </c>
      <c r="GO19" s="255">
        <f>'Daily Consumption'!GL110</f>
        <v/>
      </c>
      <c r="GP19" s="255">
        <f>'Daily Consumption'!GM110</f>
        <v/>
      </c>
      <c r="GQ19" s="255">
        <f>'Daily Consumption'!GN110</f>
        <v/>
      </c>
      <c r="GR19" s="255">
        <f>'Daily Consumption'!GO110</f>
        <v/>
      </c>
      <c r="GS19" s="255">
        <f>'Daily Consumption'!GP110</f>
        <v/>
      </c>
      <c r="GT19" s="255">
        <f>'Daily Consumption'!GQ110</f>
        <v/>
      </c>
      <c r="GU19" s="255">
        <f>'Daily Consumption'!GR110</f>
        <v/>
      </c>
      <c r="GV19" s="255">
        <f>'Daily Consumption'!GS110</f>
        <v/>
      </c>
      <c r="GW19" s="255">
        <f>'Daily Consumption'!GT110</f>
        <v/>
      </c>
      <c r="GX19" s="255">
        <f>'Daily Consumption'!GU110</f>
        <v/>
      </c>
      <c r="GY19" s="255">
        <f>'Daily Consumption'!GV110</f>
        <v/>
      </c>
      <c r="GZ19" s="255">
        <f>'Daily Consumption'!GW110</f>
        <v/>
      </c>
      <c r="HA19" s="255">
        <f>'Daily Consumption'!GX110</f>
        <v/>
      </c>
      <c r="HB19" s="255">
        <f>'Daily Consumption'!GY110</f>
        <v/>
      </c>
      <c r="HC19" s="255">
        <f>'Daily Consumption'!GZ110</f>
        <v/>
      </c>
      <c r="HD19" s="255">
        <f>'Daily Consumption'!HA110</f>
        <v/>
      </c>
      <c r="HE19" s="255">
        <f>'Daily Consumption'!HB110</f>
        <v/>
      </c>
      <c r="HF19" s="255">
        <f>'Daily Consumption'!HC110</f>
        <v/>
      </c>
      <c r="HG19" s="255">
        <f>'Daily Consumption'!HD110</f>
        <v/>
      </c>
      <c r="HH19" s="255">
        <f>'Daily Consumption'!HE110</f>
        <v/>
      </c>
      <c r="HI19" s="255">
        <f>'Daily Consumption'!HF110</f>
        <v/>
      </c>
      <c r="HJ19" s="255">
        <f>'Daily Consumption'!HG110</f>
        <v/>
      </c>
      <c r="HK19" s="255">
        <f>'Daily Consumption'!HH110</f>
        <v/>
      </c>
      <c r="HL19" s="255">
        <f>'Daily Consumption'!HI110</f>
        <v/>
      </c>
      <c r="HM19" s="255">
        <f>'Daily Consumption'!HJ110</f>
        <v/>
      </c>
      <c r="HN19" s="255">
        <f>'Daily Consumption'!HK110</f>
        <v/>
      </c>
      <c r="HO19" s="255">
        <f>'Daily Consumption'!HL110</f>
        <v/>
      </c>
      <c r="HP19" s="255">
        <f>'Daily Consumption'!HM110</f>
        <v/>
      </c>
      <c r="HQ19" s="255">
        <f>'Daily Consumption'!HN110</f>
        <v/>
      </c>
      <c r="HR19" s="255">
        <f>'Daily Consumption'!HO110</f>
        <v/>
      </c>
      <c r="HS19" s="255">
        <f>'Daily Consumption'!HP110</f>
        <v/>
      </c>
      <c r="HT19" s="255">
        <f>'Daily Consumption'!HQ110</f>
        <v/>
      </c>
      <c r="HU19" s="255">
        <f>'Daily Consumption'!HR110</f>
        <v/>
      </c>
      <c r="HV19" s="255">
        <f>'Daily Consumption'!HS110</f>
        <v/>
      </c>
      <c r="HW19" s="255">
        <f>'Daily Consumption'!HT110</f>
        <v/>
      </c>
      <c r="HX19" s="255">
        <f>'Daily Consumption'!HU110</f>
        <v/>
      </c>
      <c r="HY19" s="255">
        <f>'Daily Consumption'!HV110</f>
        <v/>
      </c>
      <c r="HZ19" s="255">
        <f>'Daily Consumption'!HW110</f>
        <v/>
      </c>
      <c r="IA19" s="255">
        <f>'Daily Consumption'!HX110</f>
        <v/>
      </c>
      <c r="IB19" s="255">
        <f>'Daily Consumption'!HY110</f>
        <v/>
      </c>
      <c r="IC19" s="255">
        <f>'Daily Consumption'!HZ110</f>
        <v/>
      </c>
      <c r="ID19" s="255">
        <f>'Daily Consumption'!IA110</f>
        <v/>
      </c>
      <c r="IE19" s="255">
        <f>'Daily Consumption'!IB110</f>
        <v/>
      </c>
      <c r="IF19" s="255">
        <f>'Daily Consumption'!IC110</f>
        <v/>
      </c>
      <c r="IG19" s="255">
        <f>'Daily Consumption'!ID110</f>
        <v/>
      </c>
      <c r="IH19" s="255">
        <f>'Daily Consumption'!IE110</f>
        <v/>
      </c>
      <c r="II19" s="255">
        <f>'Daily Consumption'!IF110</f>
        <v/>
      </c>
      <c r="IJ19" s="255">
        <f>'Daily Consumption'!IG110</f>
        <v/>
      </c>
      <c r="IK19" s="255">
        <f>'Daily Consumption'!IH110</f>
        <v/>
      </c>
      <c r="IL19" s="255">
        <f>'Daily Consumption'!II110</f>
        <v/>
      </c>
      <c r="IM19" s="255">
        <f>'Daily Consumption'!IJ110</f>
        <v/>
      </c>
      <c r="IN19" s="255">
        <f>'Daily Consumption'!IK110</f>
        <v/>
      </c>
      <c r="IO19" s="255">
        <f>'Daily Consumption'!IL110</f>
        <v/>
      </c>
      <c r="IP19" s="255">
        <f>'Daily Consumption'!IM110</f>
        <v/>
      </c>
      <c r="IQ19" s="255">
        <f>'Daily Consumption'!IN110</f>
        <v/>
      </c>
      <c r="IR19" s="255">
        <f>'Daily Consumption'!IO110</f>
        <v/>
      </c>
      <c r="IS19" s="255">
        <f>'Daily Consumption'!IP110</f>
        <v/>
      </c>
      <c r="IT19" s="255">
        <f>'Daily Consumption'!IQ110</f>
        <v/>
      </c>
      <c r="IU19" s="255">
        <f>'Daily Consumption'!IR110</f>
        <v/>
      </c>
      <c r="IV19" s="255">
        <f>'Daily Consumption'!IS110</f>
        <v/>
      </c>
      <c r="IW19" s="255">
        <f>'Daily Consumption'!IT110</f>
        <v/>
      </c>
      <c r="IX19" s="255">
        <f>'Daily Consumption'!IU110</f>
        <v/>
      </c>
      <c r="IY19" s="255">
        <f>'Daily Consumption'!IV110</f>
        <v/>
      </c>
      <c r="IZ19" s="255">
        <f>'Daily Consumption'!IW110</f>
        <v/>
      </c>
      <c r="JA19" s="255">
        <f>'Daily Consumption'!IX110</f>
        <v/>
      </c>
      <c r="JB19" s="255">
        <f>'Daily Consumption'!IY110</f>
        <v/>
      </c>
      <c r="JC19" s="255">
        <f>'Daily Consumption'!IZ110</f>
        <v/>
      </c>
      <c r="JD19" s="255">
        <f>'Daily Consumption'!JA110</f>
        <v/>
      </c>
      <c r="JE19" s="255">
        <f>'Daily Consumption'!JB110</f>
        <v/>
      </c>
      <c r="JF19" s="255">
        <f>'Daily Consumption'!JC110</f>
        <v/>
      </c>
      <c r="JG19" s="255">
        <f>'Daily Consumption'!JD110</f>
        <v/>
      </c>
      <c r="JH19" s="255">
        <f>'Daily Consumption'!JE110</f>
        <v/>
      </c>
      <c r="JI19" s="255">
        <f>'Daily Consumption'!JF110</f>
        <v/>
      </c>
      <c r="JJ19" s="255">
        <f>'Daily Consumption'!JG110</f>
        <v/>
      </c>
      <c r="JK19" s="255">
        <f>'Daily Consumption'!JH110</f>
        <v/>
      </c>
      <c r="JL19" s="255">
        <f>'Daily Consumption'!JI110</f>
        <v/>
      </c>
      <c r="JM19" s="255">
        <f>'Daily Consumption'!JJ110</f>
        <v/>
      </c>
      <c r="JN19" s="255">
        <f>'Daily Consumption'!JK110</f>
        <v/>
      </c>
      <c r="JO19" s="255">
        <f>'Daily Consumption'!JL110</f>
        <v/>
      </c>
      <c r="JP19" s="255">
        <f>'Daily Consumption'!JM110</f>
        <v/>
      </c>
      <c r="JQ19" s="255">
        <f>'Daily Consumption'!JN110</f>
        <v/>
      </c>
      <c r="JR19" s="255">
        <f>'Daily Consumption'!JO110</f>
        <v/>
      </c>
      <c r="JS19" s="255">
        <f>'Daily Consumption'!JP110</f>
        <v/>
      </c>
      <c r="JT19" s="255">
        <f>'Daily Consumption'!JQ110</f>
        <v/>
      </c>
      <c r="JU19" s="255">
        <f>'Daily Consumption'!JR110</f>
        <v/>
      </c>
      <c r="JV19" s="255">
        <f>'Daily Consumption'!JS110</f>
        <v/>
      </c>
      <c r="JW19" s="255">
        <f>'Daily Consumption'!JT110</f>
        <v/>
      </c>
      <c r="JX19" s="255">
        <f>'Daily Consumption'!JU110</f>
        <v/>
      </c>
      <c r="JY19" s="255">
        <f>'Daily Consumption'!JV110</f>
        <v/>
      </c>
      <c r="JZ19" s="255">
        <f>'Daily Consumption'!JW110</f>
        <v/>
      </c>
      <c r="KA19" s="255">
        <f>'Daily Consumption'!JX110</f>
        <v/>
      </c>
      <c r="KB19" s="255">
        <f>'Daily Consumption'!JY110</f>
        <v/>
      </c>
      <c r="KC19" s="255">
        <f>'Daily Consumption'!JZ110</f>
        <v/>
      </c>
      <c r="KD19" s="255">
        <f>'Daily Consumption'!KA110</f>
        <v/>
      </c>
      <c r="KE19" s="255">
        <f>'Daily Consumption'!KB110</f>
        <v/>
      </c>
      <c r="KF19" s="255">
        <f>'Daily Consumption'!KC110</f>
        <v/>
      </c>
      <c r="KG19" s="255">
        <f>'Daily Consumption'!KD110</f>
        <v/>
      </c>
      <c r="KH19" s="255">
        <f>'Daily Consumption'!KE110</f>
        <v/>
      </c>
      <c r="KI19" s="255">
        <f>'Daily Consumption'!KF110</f>
        <v/>
      </c>
      <c r="KJ19" s="255">
        <f>'Daily Consumption'!KG110</f>
        <v/>
      </c>
      <c r="KK19" s="255">
        <f>'Daily Consumption'!KH110</f>
        <v/>
      </c>
      <c r="KL19" s="255">
        <f>'Daily Consumption'!KI110</f>
        <v/>
      </c>
      <c r="KM19" s="255">
        <f>'Daily Consumption'!KJ110</f>
        <v/>
      </c>
      <c r="KN19" s="255">
        <f>'Daily Consumption'!KK110</f>
        <v/>
      </c>
      <c r="KO19" s="255">
        <f>'Daily Consumption'!KL110</f>
        <v/>
      </c>
      <c r="KP19" s="255">
        <f>'Daily Consumption'!KM110</f>
        <v/>
      </c>
      <c r="KQ19" s="255">
        <f>'Daily Consumption'!KN110</f>
        <v/>
      </c>
      <c r="KR19" s="255">
        <f>'Daily Consumption'!KO110</f>
        <v/>
      </c>
      <c r="KS19" s="255">
        <f>'Daily Consumption'!KP110</f>
        <v/>
      </c>
      <c r="KT19" s="255">
        <f>'Daily Consumption'!KQ110</f>
        <v/>
      </c>
      <c r="KU19" s="255">
        <f>'Daily Consumption'!KR110</f>
        <v/>
      </c>
      <c r="KV19" s="255">
        <f>'Daily Consumption'!KS110</f>
        <v/>
      </c>
      <c r="KW19" s="255">
        <f>'Daily Consumption'!KT110</f>
        <v/>
      </c>
      <c r="KX19" s="255">
        <f>'Daily Consumption'!KU110</f>
        <v/>
      </c>
      <c r="KY19" s="255">
        <f>'Daily Consumption'!KV110</f>
        <v/>
      </c>
      <c r="KZ19" s="255">
        <f>'Daily Consumption'!KW110</f>
        <v/>
      </c>
      <c r="LA19" s="255">
        <f>'Daily Consumption'!KX110</f>
        <v/>
      </c>
      <c r="LB19" s="255">
        <f>'Daily Consumption'!KY110</f>
        <v/>
      </c>
      <c r="LC19" s="255">
        <f>'Daily Consumption'!KZ110</f>
        <v/>
      </c>
      <c r="LD19" s="255">
        <f>'Daily Consumption'!LA110</f>
        <v/>
      </c>
      <c r="LE19" s="255">
        <f>'Daily Consumption'!LB110</f>
        <v/>
      </c>
      <c r="LF19" s="255">
        <f>'Daily Consumption'!LC110</f>
        <v/>
      </c>
      <c r="LG19" s="255">
        <f>'Daily Consumption'!LD110</f>
        <v/>
      </c>
      <c r="LH19" s="255">
        <f>'Daily Consumption'!LE110</f>
        <v/>
      </c>
      <c r="LI19" s="255">
        <f>'Daily Consumption'!LF110</f>
        <v/>
      </c>
      <c r="LJ19" s="255">
        <f>'Daily Consumption'!LG110</f>
        <v/>
      </c>
      <c r="LK19" s="255">
        <f>'Daily Consumption'!LH110</f>
        <v/>
      </c>
      <c r="LL19" s="255">
        <f>'Daily Consumption'!LI110</f>
        <v/>
      </c>
      <c r="LM19" s="255">
        <f>'Daily Consumption'!LJ110</f>
        <v/>
      </c>
      <c r="LN19" s="255">
        <f>'Daily Consumption'!LK110</f>
        <v/>
      </c>
      <c r="LO19" s="255">
        <f>'Daily Consumption'!LL110</f>
        <v/>
      </c>
      <c r="LP19" s="255">
        <f>'Daily Consumption'!LM110</f>
        <v/>
      </c>
      <c r="LQ19" s="255">
        <f>'Daily Consumption'!LN110</f>
        <v/>
      </c>
      <c r="LR19" s="255">
        <f>'Daily Consumption'!LO110</f>
        <v/>
      </c>
      <c r="LS19" s="255">
        <f>'Daily Consumption'!LP110</f>
        <v/>
      </c>
      <c r="LT19" s="255">
        <f>'Daily Consumption'!LQ110</f>
        <v/>
      </c>
      <c r="LU19" s="255">
        <f>'Daily Consumption'!LR110</f>
        <v/>
      </c>
      <c r="LV19" s="255">
        <f>'Daily Consumption'!LS110</f>
        <v/>
      </c>
      <c r="LW19" s="255">
        <f>'Daily Consumption'!LT110</f>
        <v/>
      </c>
      <c r="LX19" s="255">
        <f>'Daily Consumption'!LU110</f>
        <v/>
      </c>
      <c r="LY19" s="255">
        <f>'Daily Consumption'!LV110</f>
        <v/>
      </c>
      <c r="LZ19" s="255">
        <f>'Daily Consumption'!LW110</f>
        <v/>
      </c>
      <c r="MA19" s="255">
        <f>'Daily Consumption'!LX110</f>
        <v/>
      </c>
      <c r="MB19" s="255">
        <f>'Daily Consumption'!LY110</f>
        <v/>
      </c>
      <c r="MC19" s="255">
        <f>'Daily Consumption'!LZ110</f>
        <v/>
      </c>
      <c r="MD19" s="255">
        <f>'Daily Consumption'!MA110</f>
        <v/>
      </c>
      <c r="ME19" s="255">
        <f>'Daily Consumption'!MB110</f>
        <v/>
      </c>
      <c r="MF19" s="255">
        <f>'Daily Consumption'!MC110</f>
        <v/>
      </c>
      <c r="MG19" s="255">
        <f>'Daily Consumption'!MD110</f>
        <v/>
      </c>
      <c r="MH19" s="255">
        <f>'Daily Consumption'!ME110</f>
        <v/>
      </c>
      <c r="MI19" s="255">
        <f>'Daily Consumption'!MF110</f>
        <v/>
      </c>
      <c r="MJ19" s="255">
        <f>'Daily Consumption'!MG110</f>
        <v/>
      </c>
      <c r="MK19" s="255">
        <f>'Daily Consumption'!MH110</f>
        <v/>
      </c>
      <c r="ML19" s="255">
        <f>'Daily Consumption'!MI110</f>
        <v/>
      </c>
      <c r="MM19" s="255">
        <f>'Daily Consumption'!MJ110</f>
        <v/>
      </c>
      <c r="MN19" s="255">
        <f>'Daily Consumption'!MK110</f>
        <v/>
      </c>
      <c r="MO19" s="255">
        <f>'Daily Consumption'!ML110</f>
        <v/>
      </c>
      <c r="MP19" s="255">
        <f>'Daily Consumption'!MM110</f>
        <v/>
      </c>
      <c r="MQ19" s="255">
        <f>'Daily Consumption'!MN110</f>
        <v/>
      </c>
      <c r="MR19" s="255">
        <f>'Daily Consumption'!MO110</f>
        <v/>
      </c>
      <c r="MS19" s="255">
        <f>'Daily Consumption'!MP110</f>
        <v/>
      </c>
      <c r="MT19" s="255">
        <f>'Daily Consumption'!MQ110</f>
        <v/>
      </c>
      <c r="MU19" s="255">
        <f>'Daily Consumption'!MR110</f>
        <v/>
      </c>
      <c r="MV19" s="255">
        <f>'Daily Consumption'!MS110</f>
        <v/>
      </c>
      <c r="MW19" s="255">
        <f>'Daily Consumption'!MT110</f>
        <v/>
      </c>
      <c r="MX19" s="255">
        <f>'Daily Consumption'!MU110</f>
        <v/>
      </c>
      <c r="MY19" s="255">
        <f>'Daily Consumption'!MV110</f>
        <v/>
      </c>
      <c r="MZ19" s="255">
        <f>'Daily Consumption'!MW110</f>
        <v/>
      </c>
      <c r="NA19" s="255">
        <f>'Daily Consumption'!MX110</f>
        <v/>
      </c>
      <c r="NB19" s="255">
        <f>'Daily Consumption'!MY110</f>
        <v/>
      </c>
      <c r="NC19" s="255">
        <f>'Daily Consumption'!MZ110</f>
        <v/>
      </c>
      <c r="ND19" s="255">
        <f>'Daily Consumption'!NA110</f>
        <v/>
      </c>
      <c r="NE19" s="256" t="n"/>
    </row>
    <row r="20" ht="15.75" customHeight="1" s="166">
      <c r="A20" s="247" t="inlineStr">
        <is>
          <t>OCCUPANCY DATA</t>
        </is>
      </c>
      <c r="B20" s="244" t="n"/>
      <c r="C20" s="245" t="n"/>
      <c r="D20" s="248" t="inlineStr">
        <is>
          <t xml:space="preserve"> </t>
        </is>
      </c>
      <c r="E20" s="248" t="inlineStr">
        <is>
          <t xml:space="preserve"> </t>
        </is>
      </c>
      <c r="F20" s="248" t="inlineStr">
        <is>
          <t xml:space="preserve"> </t>
        </is>
      </c>
      <c r="G20" s="248" t="inlineStr">
        <is>
          <t xml:space="preserve"> </t>
        </is>
      </c>
      <c r="H20" s="248" t="inlineStr">
        <is>
          <t xml:space="preserve"> </t>
        </is>
      </c>
      <c r="I20" s="248" t="inlineStr">
        <is>
          <t xml:space="preserve"> </t>
        </is>
      </c>
      <c r="J20" s="248" t="inlineStr">
        <is>
          <t xml:space="preserve"> </t>
        </is>
      </c>
      <c r="K20" s="248" t="inlineStr">
        <is>
          <t xml:space="preserve"> </t>
        </is>
      </c>
      <c r="L20" s="248" t="inlineStr">
        <is>
          <t xml:space="preserve"> </t>
        </is>
      </c>
      <c r="M20" s="248" t="inlineStr">
        <is>
          <t xml:space="preserve"> </t>
        </is>
      </c>
      <c r="N20" s="248" t="inlineStr">
        <is>
          <t xml:space="preserve"> </t>
        </is>
      </c>
      <c r="O20" s="248" t="inlineStr">
        <is>
          <t xml:space="preserve"> </t>
        </is>
      </c>
      <c r="P20" s="248" t="inlineStr">
        <is>
          <t xml:space="preserve"> </t>
        </is>
      </c>
      <c r="Q20" s="248" t="inlineStr">
        <is>
          <t xml:space="preserve"> </t>
        </is>
      </c>
      <c r="R20" s="248" t="inlineStr">
        <is>
          <t xml:space="preserve"> </t>
        </is>
      </c>
      <c r="S20" s="248" t="inlineStr">
        <is>
          <t xml:space="preserve"> </t>
        </is>
      </c>
      <c r="T20" s="248" t="inlineStr">
        <is>
          <t xml:space="preserve"> </t>
        </is>
      </c>
      <c r="U20" s="248" t="inlineStr">
        <is>
          <t xml:space="preserve"> </t>
        </is>
      </c>
      <c r="V20" s="248" t="inlineStr">
        <is>
          <t xml:space="preserve"> </t>
        </is>
      </c>
      <c r="W20" s="248" t="inlineStr">
        <is>
          <t xml:space="preserve"> </t>
        </is>
      </c>
      <c r="X20" s="248" t="inlineStr">
        <is>
          <t xml:space="preserve"> </t>
        </is>
      </c>
      <c r="Y20" s="248" t="inlineStr">
        <is>
          <t xml:space="preserve"> </t>
        </is>
      </c>
      <c r="Z20" s="248" t="inlineStr">
        <is>
          <t xml:space="preserve"> </t>
        </is>
      </c>
      <c r="AA20" s="248" t="inlineStr">
        <is>
          <t xml:space="preserve"> </t>
        </is>
      </c>
      <c r="AB20" s="248" t="inlineStr">
        <is>
          <t xml:space="preserve"> </t>
        </is>
      </c>
      <c r="AC20" s="248" t="inlineStr">
        <is>
          <t xml:space="preserve"> </t>
        </is>
      </c>
      <c r="AD20" s="248" t="inlineStr">
        <is>
          <t xml:space="preserve"> </t>
        </is>
      </c>
      <c r="AE20" s="248" t="inlineStr">
        <is>
          <t xml:space="preserve"> </t>
        </is>
      </c>
      <c r="AF20" s="248" t="inlineStr">
        <is>
          <t xml:space="preserve"> </t>
        </is>
      </c>
      <c r="AG20" s="248" t="inlineStr">
        <is>
          <t xml:space="preserve"> </t>
        </is>
      </c>
      <c r="AH20" s="248" t="inlineStr">
        <is>
          <t xml:space="preserve"> </t>
        </is>
      </c>
      <c r="AI20" s="248" t="inlineStr">
        <is>
          <t xml:space="preserve"> </t>
        </is>
      </c>
      <c r="AJ20" s="248" t="inlineStr">
        <is>
          <t xml:space="preserve"> </t>
        </is>
      </c>
      <c r="AK20" s="248" t="inlineStr">
        <is>
          <t xml:space="preserve"> </t>
        </is>
      </c>
      <c r="AL20" s="248" t="inlineStr">
        <is>
          <t xml:space="preserve"> </t>
        </is>
      </c>
      <c r="AM20" s="248" t="inlineStr">
        <is>
          <t xml:space="preserve"> </t>
        </is>
      </c>
      <c r="AN20" s="248" t="inlineStr">
        <is>
          <t xml:space="preserve"> </t>
        </is>
      </c>
      <c r="AO20" s="248" t="inlineStr">
        <is>
          <t xml:space="preserve"> </t>
        </is>
      </c>
      <c r="AP20" s="248" t="inlineStr">
        <is>
          <t xml:space="preserve"> </t>
        </is>
      </c>
      <c r="AQ20" s="248" t="inlineStr">
        <is>
          <t xml:space="preserve"> </t>
        </is>
      </c>
      <c r="AR20" s="248" t="inlineStr">
        <is>
          <t xml:space="preserve"> </t>
        </is>
      </c>
      <c r="AS20" s="248" t="inlineStr">
        <is>
          <t xml:space="preserve"> </t>
        </is>
      </c>
      <c r="AT20" s="248" t="inlineStr">
        <is>
          <t xml:space="preserve"> </t>
        </is>
      </c>
      <c r="AU20" s="248" t="inlineStr">
        <is>
          <t xml:space="preserve"> </t>
        </is>
      </c>
      <c r="AV20" s="248" t="inlineStr">
        <is>
          <t xml:space="preserve"> </t>
        </is>
      </c>
      <c r="AW20" s="248" t="inlineStr">
        <is>
          <t xml:space="preserve"> </t>
        </is>
      </c>
      <c r="AX20" s="248" t="inlineStr">
        <is>
          <t xml:space="preserve"> </t>
        </is>
      </c>
      <c r="AY20" s="248" t="inlineStr">
        <is>
          <t xml:space="preserve"> </t>
        </is>
      </c>
      <c r="AZ20" s="248" t="inlineStr">
        <is>
          <t xml:space="preserve"> </t>
        </is>
      </c>
      <c r="BA20" s="248" t="inlineStr">
        <is>
          <t xml:space="preserve"> </t>
        </is>
      </c>
      <c r="BB20" s="248" t="inlineStr">
        <is>
          <t xml:space="preserve"> </t>
        </is>
      </c>
      <c r="BC20" s="248" t="inlineStr">
        <is>
          <t xml:space="preserve"> </t>
        </is>
      </c>
      <c r="BD20" s="248" t="inlineStr">
        <is>
          <t xml:space="preserve"> </t>
        </is>
      </c>
      <c r="BE20" s="248" t="inlineStr">
        <is>
          <t xml:space="preserve"> </t>
        </is>
      </c>
      <c r="BF20" s="248" t="inlineStr">
        <is>
          <t xml:space="preserve"> </t>
        </is>
      </c>
      <c r="BG20" s="248" t="inlineStr">
        <is>
          <t xml:space="preserve"> </t>
        </is>
      </c>
      <c r="BH20" s="248" t="inlineStr">
        <is>
          <t xml:space="preserve"> </t>
        </is>
      </c>
      <c r="BI20" s="248" t="inlineStr">
        <is>
          <t xml:space="preserve"> </t>
        </is>
      </c>
      <c r="BJ20" s="248" t="inlineStr">
        <is>
          <t xml:space="preserve"> </t>
        </is>
      </c>
      <c r="BK20" s="248" t="inlineStr">
        <is>
          <t xml:space="preserve"> </t>
        </is>
      </c>
      <c r="BL20" s="248" t="inlineStr">
        <is>
          <t xml:space="preserve"> </t>
        </is>
      </c>
      <c r="BM20" s="248" t="inlineStr">
        <is>
          <t xml:space="preserve"> </t>
        </is>
      </c>
      <c r="BN20" s="248" t="inlineStr">
        <is>
          <t xml:space="preserve"> </t>
        </is>
      </c>
      <c r="BO20" s="248" t="inlineStr">
        <is>
          <t xml:space="preserve"> </t>
        </is>
      </c>
      <c r="BP20" s="248" t="inlineStr">
        <is>
          <t xml:space="preserve"> </t>
        </is>
      </c>
      <c r="BQ20" s="248" t="inlineStr">
        <is>
          <t xml:space="preserve"> </t>
        </is>
      </c>
      <c r="BR20" s="248" t="inlineStr">
        <is>
          <t xml:space="preserve"> </t>
        </is>
      </c>
      <c r="BS20" s="248" t="inlineStr">
        <is>
          <t xml:space="preserve"> </t>
        </is>
      </c>
      <c r="BT20" s="248" t="inlineStr">
        <is>
          <t xml:space="preserve"> </t>
        </is>
      </c>
      <c r="BU20" s="248" t="inlineStr">
        <is>
          <t xml:space="preserve"> </t>
        </is>
      </c>
      <c r="BV20" s="248" t="inlineStr">
        <is>
          <t xml:space="preserve"> </t>
        </is>
      </c>
      <c r="BW20" s="248" t="inlineStr">
        <is>
          <t xml:space="preserve"> </t>
        </is>
      </c>
      <c r="BX20" s="248" t="inlineStr">
        <is>
          <t xml:space="preserve"> </t>
        </is>
      </c>
      <c r="BY20" s="248" t="inlineStr">
        <is>
          <t xml:space="preserve"> </t>
        </is>
      </c>
      <c r="BZ20" s="248" t="inlineStr">
        <is>
          <t xml:space="preserve"> </t>
        </is>
      </c>
      <c r="CA20" s="248" t="inlineStr">
        <is>
          <t xml:space="preserve"> </t>
        </is>
      </c>
      <c r="CB20" s="248" t="inlineStr">
        <is>
          <t xml:space="preserve"> </t>
        </is>
      </c>
      <c r="CC20" s="248" t="inlineStr">
        <is>
          <t xml:space="preserve"> </t>
        </is>
      </c>
      <c r="CD20" s="248" t="inlineStr">
        <is>
          <t xml:space="preserve"> </t>
        </is>
      </c>
      <c r="CE20" s="248" t="inlineStr">
        <is>
          <t xml:space="preserve"> </t>
        </is>
      </c>
      <c r="CF20" s="248" t="inlineStr">
        <is>
          <t xml:space="preserve"> </t>
        </is>
      </c>
      <c r="CG20" s="248" t="inlineStr">
        <is>
          <t xml:space="preserve"> </t>
        </is>
      </c>
      <c r="CH20" s="248" t="inlineStr">
        <is>
          <t xml:space="preserve"> </t>
        </is>
      </c>
      <c r="CI20" s="248" t="inlineStr">
        <is>
          <t xml:space="preserve"> </t>
        </is>
      </c>
      <c r="CJ20" s="248" t="inlineStr">
        <is>
          <t xml:space="preserve"> </t>
        </is>
      </c>
      <c r="CK20" s="248" t="inlineStr">
        <is>
          <t xml:space="preserve"> </t>
        </is>
      </c>
      <c r="CL20" s="248" t="inlineStr">
        <is>
          <t xml:space="preserve"> </t>
        </is>
      </c>
      <c r="CM20" s="248" t="inlineStr">
        <is>
          <t xml:space="preserve"> </t>
        </is>
      </c>
      <c r="CN20" s="248" t="inlineStr">
        <is>
          <t xml:space="preserve"> </t>
        </is>
      </c>
      <c r="CO20" s="248" t="inlineStr">
        <is>
          <t xml:space="preserve"> </t>
        </is>
      </c>
      <c r="CP20" s="248" t="inlineStr">
        <is>
          <t xml:space="preserve"> </t>
        </is>
      </c>
      <c r="CQ20" s="248" t="inlineStr">
        <is>
          <t xml:space="preserve"> </t>
        </is>
      </c>
      <c r="CR20" s="248" t="inlineStr">
        <is>
          <t xml:space="preserve"> </t>
        </is>
      </c>
      <c r="CS20" s="248" t="inlineStr">
        <is>
          <t xml:space="preserve"> </t>
        </is>
      </c>
      <c r="CT20" s="248" t="inlineStr">
        <is>
          <t xml:space="preserve"> </t>
        </is>
      </c>
      <c r="CU20" s="248" t="inlineStr">
        <is>
          <t xml:space="preserve"> </t>
        </is>
      </c>
      <c r="CV20" s="248" t="inlineStr">
        <is>
          <t xml:space="preserve"> </t>
        </is>
      </c>
      <c r="CW20" s="248" t="inlineStr">
        <is>
          <t xml:space="preserve"> </t>
        </is>
      </c>
      <c r="CX20" s="248" t="inlineStr">
        <is>
          <t xml:space="preserve"> </t>
        </is>
      </c>
      <c r="CY20" s="248" t="inlineStr">
        <is>
          <t xml:space="preserve"> </t>
        </is>
      </c>
      <c r="CZ20" s="248" t="inlineStr">
        <is>
          <t xml:space="preserve"> </t>
        </is>
      </c>
      <c r="DA20" s="248" t="inlineStr">
        <is>
          <t xml:space="preserve"> </t>
        </is>
      </c>
      <c r="DB20" s="248" t="inlineStr">
        <is>
          <t xml:space="preserve"> </t>
        </is>
      </c>
      <c r="DC20" s="248" t="inlineStr">
        <is>
          <t xml:space="preserve"> </t>
        </is>
      </c>
      <c r="DD20" s="248" t="inlineStr">
        <is>
          <t xml:space="preserve"> </t>
        </is>
      </c>
      <c r="DE20" s="248" t="inlineStr">
        <is>
          <t xml:space="preserve"> </t>
        </is>
      </c>
      <c r="DF20" s="248" t="inlineStr">
        <is>
          <t xml:space="preserve"> </t>
        </is>
      </c>
      <c r="DG20" s="248" t="inlineStr">
        <is>
          <t xml:space="preserve"> </t>
        </is>
      </c>
      <c r="DH20" s="248" t="inlineStr">
        <is>
          <t xml:space="preserve"> </t>
        </is>
      </c>
      <c r="DI20" s="248" t="inlineStr">
        <is>
          <t xml:space="preserve"> </t>
        </is>
      </c>
      <c r="DJ20" s="248" t="inlineStr">
        <is>
          <t xml:space="preserve"> </t>
        </is>
      </c>
      <c r="DK20" s="248" t="inlineStr">
        <is>
          <t xml:space="preserve"> </t>
        </is>
      </c>
      <c r="DL20" s="248" t="inlineStr">
        <is>
          <t xml:space="preserve"> </t>
        </is>
      </c>
      <c r="DM20" s="248" t="inlineStr">
        <is>
          <t xml:space="preserve"> </t>
        </is>
      </c>
      <c r="DN20" s="248" t="inlineStr">
        <is>
          <t xml:space="preserve"> </t>
        </is>
      </c>
      <c r="DO20" s="248" t="inlineStr">
        <is>
          <t xml:space="preserve"> </t>
        </is>
      </c>
      <c r="DP20" s="248" t="inlineStr">
        <is>
          <t xml:space="preserve"> </t>
        </is>
      </c>
      <c r="DQ20" s="248" t="inlineStr">
        <is>
          <t xml:space="preserve"> </t>
        </is>
      </c>
      <c r="DR20" s="248" t="inlineStr">
        <is>
          <t xml:space="preserve"> </t>
        </is>
      </c>
      <c r="DS20" s="248" t="inlineStr">
        <is>
          <t xml:space="preserve"> </t>
        </is>
      </c>
      <c r="DT20" s="248" t="inlineStr">
        <is>
          <t xml:space="preserve"> </t>
        </is>
      </c>
      <c r="DU20" s="248" t="inlineStr">
        <is>
          <t xml:space="preserve"> </t>
        </is>
      </c>
      <c r="DV20" s="248" t="inlineStr">
        <is>
          <t xml:space="preserve"> </t>
        </is>
      </c>
      <c r="DW20" s="248" t="inlineStr">
        <is>
          <t xml:space="preserve"> </t>
        </is>
      </c>
      <c r="DX20" s="248" t="inlineStr">
        <is>
          <t xml:space="preserve"> </t>
        </is>
      </c>
      <c r="DY20" s="248" t="inlineStr">
        <is>
          <t xml:space="preserve"> </t>
        </is>
      </c>
      <c r="DZ20" s="248" t="inlineStr">
        <is>
          <t xml:space="preserve"> </t>
        </is>
      </c>
      <c r="EA20" s="248" t="inlineStr">
        <is>
          <t xml:space="preserve"> </t>
        </is>
      </c>
      <c r="EB20" s="248" t="inlineStr">
        <is>
          <t xml:space="preserve"> </t>
        </is>
      </c>
      <c r="EC20" s="248" t="inlineStr">
        <is>
          <t xml:space="preserve"> </t>
        </is>
      </c>
      <c r="ED20" s="248" t="inlineStr">
        <is>
          <t xml:space="preserve"> </t>
        </is>
      </c>
      <c r="EE20" s="248" t="inlineStr">
        <is>
          <t xml:space="preserve"> </t>
        </is>
      </c>
      <c r="EF20" s="248" t="inlineStr">
        <is>
          <t xml:space="preserve"> </t>
        </is>
      </c>
      <c r="EG20" s="248" t="inlineStr">
        <is>
          <t xml:space="preserve"> </t>
        </is>
      </c>
      <c r="EH20" s="248" t="inlineStr">
        <is>
          <t xml:space="preserve"> </t>
        </is>
      </c>
      <c r="EI20" s="248" t="inlineStr">
        <is>
          <t xml:space="preserve"> </t>
        </is>
      </c>
      <c r="EJ20" s="248" t="inlineStr">
        <is>
          <t xml:space="preserve"> </t>
        </is>
      </c>
      <c r="EK20" s="248" t="inlineStr">
        <is>
          <t xml:space="preserve"> </t>
        </is>
      </c>
      <c r="EL20" s="248" t="inlineStr">
        <is>
          <t xml:space="preserve"> </t>
        </is>
      </c>
      <c r="EM20" s="248" t="inlineStr">
        <is>
          <t xml:space="preserve"> </t>
        </is>
      </c>
      <c r="EN20" s="248" t="inlineStr">
        <is>
          <t xml:space="preserve"> </t>
        </is>
      </c>
      <c r="EO20" s="248" t="inlineStr">
        <is>
          <t xml:space="preserve"> </t>
        </is>
      </c>
      <c r="EP20" s="248" t="inlineStr">
        <is>
          <t xml:space="preserve"> </t>
        </is>
      </c>
      <c r="EQ20" s="248" t="inlineStr">
        <is>
          <t xml:space="preserve"> </t>
        </is>
      </c>
      <c r="ER20" s="248" t="inlineStr">
        <is>
          <t xml:space="preserve"> </t>
        </is>
      </c>
      <c r="ES20" s="248" t="inlineStr">
        <is>
          <t xml:space="preserve"> </t>
        </is>
      </c>
      <c r="ET20" s="248" t="inlineStr">
        <is>
          <t xml:space="preserve"> </t>
        </is>
      </c>
      <c r="EU20" s="248" t="inlineStr">
        <is>
          <t xml:space="preserve"> </t>
        </is>
      </c>
      <c r="EV20" s="248" t="inlineStr">
        <is>
          <t xml:space="preserve"> </t>
        </is>
      </c>
      <c r="EW20" s="248" t="inlineStr">
        <is>
          <t xml:space="preserve"> </t>
        </is>
      </c>
      <c r="EX20" s="248" t="inlineStr">
        <is>
          <t xml:space="preserve"> </t>
        </is>
      </c>
      <c r="EY20" s="248" t="inlineStr">
        <is>
          <t xml:space="preserve"> </t>
        </is>
      </c>
      <c r="EZ20" s="248" t="inlineStr">
        <is>
          <t xml:space="preserve"> </t>
        </is>
      </c>
      <c r="FA20" s="248" t="inlineStr">
        <is>
          <t xml:space="preserve"> </t>
        </is>
      </c>
      <c r="FB20" s="248" t="inlineStr">
        <is>
          <t xml:space="preserve"> </t>
        </is>
      </c>
      <c r="FC20" s="248" t="inlineStr">
        <is>
          <t xml:space="preserve"> </t>
        </is>
      </c>
      <c r="FD20" s="248" t="inlineStr">
        <is>
          <t xml:space="preserve"> </t>
        </is>
      </c>
      <c r="FE20" s="248" t="inlineStr">
        <is>
          <t xml:space="preserve"> </t>
        </is>
      </c>
      <c r="FF20" s="248" t="inlineStr">
        <is>
          <t xml:space="preserve"> </t>
        </is>
      </c>
      <c r="FG20" s="248" t="inlineStr">
        <is>
          <t xml:space="preserve"> </t>
        </is>
      </c>
      <c r="FH20" s="248" t="inlineStr">
        <is>
          <t xml:space="preserve"> </t>
        </is>
      </c>
      <c r="FI20" s="248" t="inlineStr">
        <is>
          <t xml:space="preserve"> </t>
        </is>
      </c>
      <c r="FJ20" s="248" t="inlineStr">
        <is>
          <t xml:space="preserve"> </t>
        </is>
      </c>
      <c r="FK20" s="248" t="inlineStr">
        <is>
          <t xml:space="preserve"> </t>
        </is>
      </c>
      <c r="FL20" s="248" t="inlineStr">
        <is>
          <t xml:space="preserve"> </t>
        </is>
      </c>
      <c r="FM20" s="248" t="inlineStr">
        <is>
          <t xml:space="preserve"> </t>
        </is>
      </c>
      <c r="FN20" s="248" t="inlineStr">
        <is>
          <t xml:space="preserve"> </t>
        </is>
      </c>
      <c r="FO20" s="248" t="inlineStr">
        <is>
          <t xml:space="preserve"> </t>
        </is>
      </c>
      <c r="FP20" s="248" t="inlineStr">
        <is>
          <t xml:space="preserve"> </t>
        </is>
      </c>
      <c r="FQ20" s="248" t="inlineStr">
        <is>
          <t xml:space="preserve"> </t>
        </is>
      </c>
      <c r="FR20" s="248" t="inlineStr">
        <is>
          <t xml:space="preserve"> </t>
        </is>
      </c>
      <c r="FS20" s="248" t="inlineStr">
        <is>
          <t xml:space="preserve"> </t>
        </is>
      </c>
      <c r="FT20" s="248" t="inlineStr">
        <is>
          <t xml:space="preserve"> </t>
        </is>
      </c>
      <c r="FU20" s="248" t="inlineStr">
        <is>
          <t xml:space="preserve"> </t>
        </is>
      </c>
      <c r="FV20" s="248" t="inlineStr">
        <is>
          <t xml:space="preserve"> </t>
        </is>
      </c>
      <c r="FW20" s="248" t="inlineStr">
        <is>
          <t xml:space="preserve"> </t>
        </is>
      </c>
      <c r="FX20" s="248" t="inlineStr">
        <is>
          <t xml:space="preserve"> </t>
        </is>
      </c>
      <c r="FY20" s="248" t="inlineStr">
        <is>
          <t xml:space="preserve"> </t>
        </is>
      </c>
      <c r="FZ20" s="248" t="inlineStr">
        <is>
          <t xml:space="preserve"> </t>
        </is>
      </c>
      <c r="GA20" s="248" t="inlineStr">
        <is>
          <t xml:space="preserve"> </t>
        </is>
      </c>
      <c r="GB20" s="248" t="inlineStr">
        <is>
          <t xml:space="preserve"> </t>
        </is>
      </c>
      <c r="GC20" s="248" t="inlineStr">
        <is>
          <t xml:space="preserve"> </t>
        </is>
      </c>
      <c r="GD20" s="248" t="inlineStr">
        <is>
          <t xml:space="preserve"> </t>
        </is>
      </c>
      <c r="GE20" s="248" t="inlineStr">
        <is>
          <t xml:space="preserve"> </t>
        </is>
      </c>
      <c r="GF20" s="248" t="inlineStr">
        <is>
          <t xml:space="preserve"> </t>
        </is>
      </c>
      <c r="GG20" s="248" t="inlineStr">
        <is>
          <t xml:space="preserve"> </t>
        </is>
      </c>
      <c r="GH20" s="248" t="inlineStr">
        <is>
          <t xml:space="preserve"> </t>
        </is>
      </c>
      <c r="GI20" s="248" t="inlineStr">
        <is>
          <t xml:space="preserve"> </t>
        </is>
      </c>
      <c r="GJ20" s="248" t="inlineStr">
        <is>
          <t xml:space="preserve"> </t>
        </is>
      </c>
      <c r="GK20" s="248" t="inlineStr">
        <is>
          <t xml:space="preserve"> </t>
        </is>
      </c>
      <c r="GL20" s="248" t="inlineStr">
        <is>
          <t xml:space="preserve"> </t>
        </is>
      </c>
      <c r="GM20" s="248" t="inlineStr">
        <is>
          <t xml:space="preserve"> </t>
        </is>
      </c>
      <c r="GN20" s="248" t="inlineStr">
        <is>
          <t xml:space="preserve"> </t>
        </is>
      </c>
      <c r="GO20" s="248" t="inlineStr">
        <is>
          <t xml:space="preserve"> </t>
        </is>
      </c>
      <c r="GP20" s="248" t="inlineStr">
        <is>
          <t xml:space="preserve"> </t>
        </is>
      </c>
      <c r="GQ20" s="248" t="inlineStr">
        <is>
          <t xml:space="preserve"> </t>
        </is>
      </c>
      <c r="GR20" s="248" t="inlineStr">
        <is>
          <t xml:space="preserve"> </t>
        </is>
      </c>
      <c r="GS20" s="248" t="inlineStr">
        <is>
          <t xml:space="preserve"> </t>
        </is>
      </c>
      <c r="GT20" s="248" t="inlineStr">
        <is>
          <t xml:space="preserve"> </t>
        </is>
      </c>
      <c r="GU20" s="248" t="inlineStr">
        <is>
          <t xml:space="preserve"> </t>
        </is>
      </c>
      <c r="GV20" s="248" t="inlineStr">
        <is>
          <t xml:space="preserve"> </t>
        </is>
      </c>
      <c r="GW20" s="248" t="inlineStr">
        <is>
          <t xml:space="preserve"> </t>
        </is>
      </c>
      <c r="GX20" s="248" t="inlineStr">
        <is>
          <t xml:space="preserve"> </t>
        </is>
      </c>
      <c r="GY20" s="248" t="inlineStr">
        <is>
          <t xml:space="preserve"> </t>
        </is>
      </c>
      <c r="GZ20" s="248" t="inlineStr">
        <is>
          <t xml:space="preserve"> </t>
        </is>
      </c>
      <c r="HA20" s="248" t="inlineStr">
        <is>
          <t xml:space="preserve"> </t>
        </is>
      </c>
      <c r="HB20" s="248" t="inlineStr">
        <is>
          <t xml:space="preserve"> </t>
        </is>
      </c>
      <c r="HC20" s="248" t="inlineStr">
        <is>
          <t xml:space="preserve"> </t>
        </is>
      </c>
      <c r="HD20" s="248" t="inlineStr">
        <is>
          <t xml:space="preserve"> </t>
        </is>
      </c>
      <c r="HE20" s="248" t="inlineStr">
        <is>
          <t xml:space="preserve"> </t>
        </is>
      </c>
      <c r="HF20" s="248" t="inlineStr">
        <is>
          <t xml:space="preserve"> </t>
        </is>
      </c>
      <c r="HG20" s="248" t="inlineStr">
        <is>
          <t xml:space="preserve"> </t>
        </is>
      </c>
      <c r="HH20" s="248" t="inlineStr">
        <is>
          <t xml:space="preserve"> </t>
        </is>
      </c>
      <c r="HI20" s="248" t="inlineStr">
        <is>
          <t xml:space="preserve"> </t>
        </is>
      </c>
      <c r="HJ20" s="248" t="inlineStr">
        <is>
          <t xml:space="preserve"> </t>
        </is>
      </c>
      <c r="HK20" s="248" t="inlineStr">
        <is>
          <t xml:space="preserve"> </t>
        </is>
      </c>
      <c r="HL20" s="248" t="inlineStr">
        <is>
          <t xml:space="preserve"> </t>
        </is>
      </c>
      <c r="HM20" s="248" t="inlineStr">
        <is>
          <t xml:space="preserve"> </t>
        </is>
      </c>
      <c r="HN20" s="248" t="inlineStr">
        <is>
          <t xml:space="preserve"> </t>
        </is>
      </c>
      <c r="HO20" s="248" t="inlineStr">
        <is>
          <t xml:space="preserve"> </t>
        </is>
      </c>
      <c r="HP20" s="248" t="inlineStr">
        <is>
          <t xml:space="preserve"> </t>
        </is>
      </c>
      <c r="HQ20" s="248" t="inlineStr">
        <is>
          <t xml:space="preserve"> </t>
        </is>
      </c>
      <c r="HR20" s="248" t="inlineStr">
        <is>
          <t xml:space="preserve"> </t>
        </is>
      </c>
      <c r="HS20" s="248" t="inlineStr">
        <is>
          <t xml:space="preserve"> </t>
        </is>
      </c>
      <c r="HT20" s="248" t="inlineStr">
        <is>
          <t xml:space="preserve"> </t>
        </is>
      </c>
      <c r="HU20" s="248" t="inlineStr">
        <is>
          <t xml:space="preserve"> </t>
        </is>
      </c>
      <c r="HV20" s="248" t="inlineStr">
        <is>
          <t xml:space="preserve"> </t>
        </is>
      </c>
      <c r="HW20" s="248" t="inlineStr">
        <is>
          <t xml:space="preserve"> </t>
        </is>
      </c>
      <c r="HX20" s="248" t="inlineStr">
        <is>
          <t xml:space="preserve"> </t>
        </is>
      </c>
      <c r="HY20" s="248" t="inlineStr">
        <is>
          <t xml:space="preserve"> </t>
        </is>
      </c>
      <c r="HZ20" s="248" t="inlineStr">
        <is>
          <t xml:space="preserve"> </t>
        </is>
      </c>
      <c r="IA20" s="248" t="inlineStr">
        <is>
          <t xml:space="preserve"> </t>
        </is>
      </c>
      <c r="IB20" s="248" t="inlineStr">
        <is>
          <t xml:space="preserve"> </t>
        </is>
      </c>
      <c r="IC20" s="248" t="inlineStr">
        <is>
          <t xml:space="preserve"> </t>
        </is>
      </c>
      <c r="ID20" s="248" t="inlineStr">
        <is>
          <t xml:space="preserve"> </t>
        </is>
      </c>
      <c r="IE20" s="248" t="inlineStr">
        <is>
          <t xml:space="preserve"> </t>
        </is>
      </c>
      <c r="IF20" s="248" t="inlineStr">
        <is>
          <t xml:space="preserve"> </t>
        </is>
      </c>
      <c r="IG20" s="248" t="inlineStr">
        <is>
          <t xml:space="preserve"> </t>
        </is>
      </c>
      <c r="IH20" s="248" t="inlineStr">
        <is>
          <t xml:space="preserve"> </t>
        </is>
      </c>
      <c r="II20" s="248" t="inlineStr">
        <is>
          <t xml:space="preserve"> </t>
        </is>
      </c>
      <c r="IJ20" s="248" t="inlineStr">
        <is>
          <t xml:space="preserve"> </t>
        </is>
      </c>
      <c r="IK20" s="248" t="inlineStr">
        <is>
          <t xml:space="preserve"> </t>
        </is>
      </c>
      <c r="IL20" s="248" t="inlineStr">
        <is>
          <t xml:space="preserve"> </t>
        </is>
      </c>
      <c r="IM20" s="248" t="inlineStr">
        <is>
          <t xml:space="preserve"> </t>
        </is>
      </c>
      <c r="IN20" s="248" t="inlineStr">
        <is>
          <t xml:space="preserve"> </t>
        </is>
      </c>
      <c r="IO20" s="248" t="inlineStr">
        <is>
          <t xml:space="preserve"> </t>
        </is>
      </c>
      <c r="IP20" s="248" t="inlineStr">
        <is>
          <t xml:space="preserve"> </t>
        </is>
      </c>
      <c r="IQ20" s="248" t="inlineStr">
        <is>
          <t xml:space="preserve"> </t>
        </is>
      </c>
      <c r="IR20" s="248" t="inlineStr">
        <is>
          <t xml:space="preserve"> </t>
        </is>
      </c>
      <c r="IS20" s="248" t="inlineStr">
        <is>
          <t xml:space="preserve"> </t>
        </is>
      </c>
      <c r="IT20" s="248" t="inlineStr">
        <is>
          <t xml:space="preserve"> </t>
        </is>
      </c>
      <c r="IU20" s="248" t="inlineStr">
        <is>
          <t xml:space="preserve"> </t>
        </is>
      </c>
      <c r="IV20" s="248" t="inlineStr">
        <is>
          <t xml:space="preserve"> </t>
        </is>
      </c>
      <c r="IW20" s="248" t="inlineStr">
        <is>
          <t xml:space="preserve"> </t>
        </is>
      </c>
      <c r="IX20" s="248" t="inlineStr">
        <is>
          <t xml:space="preserve"> </t>
        </is>
      </c>
      <c r="IY20" s="248" t="inlineStr">
        <is>
          <t xml:space="preserve"> </t>
        </is>
      </c>
      <c r="IZ20" s="248" t="inlineStr">
        <is>
          <t xml:space="preserve"> </t>
        </is>
      </c>
      <c r="JA20" s="248" t="inlineStr">
        <is>
          <t xml:space="preserve"> </t>
        </is>
      </c>
      <c r="JB20" s="248" t="inlineStr">
        <is>
          <t xml:space="preserve"> </t>
        </is>
      </c>
      <c r="JC20" s="248" t="inlineStr">
        <is>
          <t xml:space="preserve"> </t>
        </is>
      </c>
      <c r="JD20" s="248" t="inlineStr">
        <is>
          <t xml:space="preserve"> </t>
        </is>
      </c>
      <c r="JE20" s="248" t="inlineStr">
        <is>
          <t xml:space="preserve"> </t>
        </is>
      </c>
      <c r="JF20" s="248" t="inlineStr">
        <is>
          <t xml:space="preserve"> </t>
        </is>
      </c>
      <c r="JG20" s="248" t="inlineStr">
        <is>
          <t xml:space="preserve"> </t>
        </is>
      </c>
      <c r="JH20" s="248" t="inlineStr">
        <is>
          <t xml:space="preserve"> </t>
        </is>
      </c>
      <c r="JI20" s="248" t="inlineStr">
        <is>
          <t xml:space="preserve"> </t>
        </is>
      </c>
      <c r="JJ20" s="248" t="inlineStr">
        <is>
          <t xml:space="preserve"> </t>
        </is>
      </c>
      <c r="JK20" s="248" t="inlineStr">
        <is>
          <t xml:space="preserve"> </t>
        </is>
      </c>
      <c r="JL20" s="248" t="inlineStr">
        <is>
          <t xml:space="preserve"> </t>
        </is>
      </c>
      <c r="JM20" s="248" t="inlineStr">
        <is>
          <t xml:space="preserve"> </t>
        </is>
      </c>
      <c r="JN20" s="248" t="inlineStr">
        <is>
          <t xml:space="preserve"> </t>
        </is>
      </c>
      <c r="JO20" s="248" t="inlineStr">
        <is>
          <t xml:space="preserve"> </t>
        </is>
      </c>
      <c r="JP20" s="248" t="inlineStr">
        <is>
          <t xml:space="preserve"> </t>
        </is>
      </c>
      <c r="JQ20" s="248" t="inlineStr">
        <is>
          <t xml:space="preserve"> </t>
        </is>
      </c>
      <c r="JR20" s="248" t="inlineStr">
        <is>
          <t xml:space="preserve"> </t>
        </is>
      </c>
      <c r="JS20" s="248" t="inlineStr">
        <is>
          <t xml:space="preserve"> </t>
        </is>
      </c>
      <c r="JT20" s="248" t="inlineStr">
        <is>
          <t xml:space="preserve"> </t>
        </is>
      </c>
      <c r="JU20" s="248" t="inlineStr">
        <is>
          <t xml:space="preserve"> </t>
        </is>
      </c>
      <c r="JV20" s="248" t="inlineStr">
        <is>
          <t xml:space="preserve"> </t>
        </is>
      </c>
      <c r="JW20" s="248" t="inlineStr">
        <is>
          <t xml:space="preserve"> </t>
        </is>
      </c>
      <c r="JX20" s="248" t="inlineStr">
        <is>
          <t xml:space="preserve"> </t>
        </is>
      </c>
      <c r="JY20" s="248" t="inlineStr">
        <is>
          <t xml:space="preserve"> </t>
        </is>
      </c>
      <c r="JZ20" s="248" t="inlineStr">
        <is>
          <t xml:space="preserve"> </t>
        </is>
      </c>
      <c r="KA20" s="248" t="inlineStr">
        <is>
          <t xml:space="preserve"> </t>
        </is>
      </c>
      <c r="KB20" s="248" t="inlineStr">
        <is>
          <t xml:space="preserve"> </t>
        </is>
      </c>
      <c r="KC20" s="248" t="inlineStr">
        <is>
          <t xml:space="preserve"> </t>
        </is>
      </c>
      <c r="KD20" s="248" t="inlineStr">
        <is>
          <t xml:space="preserve"> </t>
        </is>
      </c>
      <c r="KE20" s="248" t="inlineStr">
        <is>
          <t xml:space="preserve"> </t>
        </is>
      </c>
      <c r="KF20" s="248" t="inlineStr">
        <is>
          <t xml:space="preserve"> </t>
        </is>
      </c>
      <c r="KG20" s="248" t="inlineStr">
        <is>
          <t xml:space="preserve"> </t>
        </is>
      </c>
      <c r="KH20" s="248" t="inlineStr">
        <is>
          <t xml:space="preserve"> </t>
        </is>
      </c>
      <c r="KI20" s="248" t="inlineStr">
        <is>
          <t xml:space="preserve"> </t>
        </is>
      </c>
      <c r="KJ20" s="248" t="inlineStr">
        <is>
          <t xml:space="preserve"> </t>
        </is>
      </c>
      <c r="KK20" s="248" t="inlineStr">
        <is>
          <t xml:space="preserve"> </t>
        </is>
      </c>
      <c r="KL20" s="248" t="inlineStr">
        <is>
          <t xml:space="preserve"> </t>
        </is>
      </c>
      <c r="KM20" s="248" t="inlineStr">
        <is>
          <t xml:space="preserve"> </t>
        </is>
      </c>
      <c r="KN20" s="248" t="inlineStr">
        <is>
          <t xml:space="preserve"> </t>
        </is>
      </c>
      <c r="KO20" s="248" t="inlineStr">
        <is>
          <t xml:space="preserve"> </t>
        </is>
      </c>
      <c r="KP20" s="248" t="inlineStr">
        <is>
          <t xml:space="preserve"> </t>
        </is>
      </c>
      <c r="KQ20" s="248" t="inlineStr">
        <is>
          <t xml:space="preserve"> </t>
        </is>
      </c>
      <c r="KR20" s="248" t="inlineStr">
        <is>
          <t xml:space="preserve"> </t>
        </is>
      </c>
      <c r="KS20" s="248" t="inlineStr">
        <is>
          <t xml:space="preserve"> </t>
        </is>
      </c>
      <c r="KT20" s="248" t="inlineStr">
        <is>
          <t xml:space="preserve"> </t>
        </is>
      </c>
      <c r="KU20" s="248" t="inlineStr">
        <is>
          <t xml:space="preserve"> </t>
        </is>
      </c>
      <c r="KV20" s="248" t="inlineStr">
        <is>
          <t xml:space="preserve"> </t>
        </is>
      </c>
      <c r="KW20" s="248" t="inlineStr">
        <is>
          <t xml:space="preserve"> </t>
        </is>
      </c>
      <c r="KX20" s="248" t="inlineStr">
        <is>
          <t xml:space="preserve"> </t>
        </is>
      </c>
      <c r="KY20" s="248" t="inlineStr">
        <is>
          <t xml:space="preserve"> </t>
        </is>
      </c>
      <c r="KZ20" s="248" t="inlineStr">
        <is>
          <t xml:space="preserve"> </t>
        </is>
      </c>
      <c r="LA20" s="248" t="inlineStr">
        <is>
          <t xml:space="preserve"> </t>
        </is>
      </c>
      <c r="LB20" s="248" t="inlineStr">
        <is>
          <t xml:space="preserve"> </t>
        </is>
      </c>
      <c r="LC20" s="248" t="inlineStr">
        <is>
          <t xml:space="preserve"> </t>
        </is>
      </c>
      <c r="LD20" s="248" t="inlineStr">
        <is>
          <t xml:space="preserve"> </t>
        </is>
      </c>
      <c r="LE20" s="248" t="inlineStr">
        <is>
          <t xml:space="preserve"> </t>
        </is>
      </c>
      <c r="LF20" s="248" t="inlineStr">
        <is>
          <t xml:space="preserve"> </t>
        </is>
      </c>
      <c r="LG20" s="248" t="inlineStr">
        <is>
          <t xml:space="preserve"> </t>
        </is>
      </c>
      <c r="LH20" s="248" t="inlineStr">
        <is>
          <t xml:space="preserve"> </t>
        </is>
      </c>
      <c r="LI20" s="248" t="inlineStr">
        <is>
          <t xml:space="preserve"> </t>
        </is>
      </c>
      <c r="LJ20" s="248" t="inlineStr">
        <is>
          <t xml:space="preserve"> </t>
        </is>
      </c>
      <c r="LK20" s="248" t="inlineStr">
        <is>
          <t xml:space="preserve"> </t>
        </is>
      </c>
      <c r="LL20" s="248" t="inlineStr">
        <is>
          <t xml:space="preserve"> </t>
        </is>
      </c>
      <c r="LM20" s="248" t="inlineStr">
        <is>
          <t xml:space="preserve"> </t>
        </is>
      </c>
      <c r="LN20" s="248" t="inlineStr">
        <is>
          <t xml:space="preserve"> </t>
        </is>
      </c>
      <c r="LO20" s="248" t="inlineStr">
        <is>
          <t xml:space="preserve"> </t>
        </is>
      </c>
      <c r="LP20" s="248" t="inlineStr">
        <is>
          <t xml:space="preserve"> </t>
        </is>
      </c>
      <c r="LQ20" s="248" t="inlineStr">
        <is>
          <t xml:space="preserve"> </t>
        </is>
      </c>
      <c r="LR20" s="248" t="inlineStr">
        <is>
          <t xml:space="preserve"> </t>
        </is>
      </c>
      <c r="LS20" s="248" t="inlineStr">
        <is>
          <t xml:space="preserve"> </t>
        </is>
      </c>
      <c r="LT20" s="248" t="inlineStr">
        <is>
          <t xml:space="preserve"> </t>
        </is>
      </c>
      <c r="LU20" s="248" t="inlineStr">
        <is>
          <t xml:space="preserve"> </t>
        </is>
      </c>
      <c r="LV20" s="248" t="inlineStr">
        <is>
          <t xml:space="preserve"> </t>
        </is>
      </c>
      <c r="LW20" s="248" t="inlineStr">
        <is>
          <t xml:space="preserve"> </t>
        </is>
      </c>
      <c r="LX20" s="248" t="inlineStr">
        <is>
          <t xml:space="preserve"> </t>
        </is>
      </c>
      <c r="LY20" s="248" t="inlineStr">
        <is>
          <t xml:space="preserve"> </t>
        </is>
      </c>
      <c r="LZ20" s="248" t="inlineStr">
        <is>
          <t xml:space="preserve"> </t>
        </is>
      </c>
      <c r="MA20" s="248" t="inlineStr">
        <is>
          <t xml:space="preserve"> </t>
        </is>
      </c>
      <c r="MB20" s="248" t="inlineStr">
        <is>
          <t xml:space="preserve"> </t>
        </is>
      </c>
      <c r="MC20" s="248" t="inlineStr">
        <is>
          <t xml:space="preserve"> </t>
        </is>
      </c>
      <c r="MD20" s="248" t="inlineStr">
        <is>
          <t xml:space="preserve"> </t>
        </is>
      </c>
      <c r="ME20" s="248" t="inlineStr">
        <is>
          <t xml:space="preserve"> </t>
        </is>
      </c>
      <c r="MF20" s="248" t="inlineStr">
        <is>
          <t xml:space="preserve"> </t>
        </is>
      </c>
      <c r="MG20" s="248" t="inlineStr">
        <is>
          <t xml:space="preserve"> </t>
        </is>
      </c>
      <c r="MH20" s="248" t="inlineStr">
        <is>
          <t xml:space="preserve"> </t>
        </is>
      </c>
      <c r="MI20" s="248" t="inlineStr">
        <is>
          <t xml:space="preserve"> </t>
        </is>
      </c>
      <c r="MJ20" s="248" t="inlineStr">
        <is>
          <t xml:space="preserve"> </t>
        </is>
      </c>
      <c r="MK20" s="248" t="inlineStr">
        <is>
          <t xml:space="preserve"> </t>
        </is>
      </c>
      <c r="ML20" s="248" t="inlineStr">
        <is>
          <t xml:space="preserve"> </t>
        </is>
      </c>
      <c r="MM20" s="248" t="inlineStr">
        <is>
          <t xml:space="preserve"> </t>
        </is>
      </c>
      <c r="MN20" s="248" t="inlineStr">
        <is>
          <t xml:space="preserve"> </t>
        </is>
      </c>
      <c r="MO20" s="248" t="inlineStr">
        <is>
          <t xml:space="preserve"> </t>
        </is>
      </c>
      <c r="MP20" s="248" t="inlineStr">
        <is>
          <t xml:space="preserve"> </t>
        </is>
      </c>
      <c r="MQ20" s="248" t="inlineStr">
        <is>
          <t xml:space="preserve"> </t>
        </is>
      </c>
      <c r="MR20" s="248" t="inlineStr">
        <is>
          <t xml:space="preserve"> </t>
        </is>
      </c>
      <c r="MS20" s="248" t="inlineStr">
        <is>
          <t xml:space="preserve"> </t>
        </is>
      </c>
      <c r="MT20" s="248" t="inlineStr">
        <is>
          <t xml:space="preserve"> </t>
        </is>
      </c>
      <c r="MU20" s="248" t="inlineStr">
        <is>
          <t xml:space="preserve"> </t>
        </is>
      </c>
      <c r="MV20" s="248" t="inlineStr">
        <is>
          <t xml:space="preserve"> </t>
        </is>
      </c>
      <c r="MW20" s="248" t="inlineStr">
        <is>
          <t xml:space="preserve"> </t>
        </is>
      </c>
      <c r="MX20" s="248" t="inlineStr">
        <is>
          <t xml:space="preserve"> </t>
        </is>
      </c>
      <c r="MY20" s="248" t="inlineStr">
        <is>
          <t xml:space="preserve"> </t>
        </is>
      </c>
      <c r="MZ20" s="248" t="inlineStr">
        <is>
          <t xml:space="preserve"> </t>
        </is>
      </c>
      <c r="NA20" s="248" t="inlineStr">
        <is>
          <t xml:space="preserve"> </t>
        </is>
      </c>
      <c r="NB20" s="248" t="inlineStr">
        <is>
          <t xml:space="preserve"> </t>
        </is>
      </c>
      <c r="NC20" s="248" t="inlineStr">
        <is>
          <t xml:space="preserve"> </t>
        </is>
      </c>
      <c r="ND20" s="248" t="inlineStr">
        <is>
          <t xml:space="preserve"> </t>
        </is>
      </c>
      <c r="NE20" s="248" t="inlineStr">
        <is>
          <t xml:space="preserve"> </t>
        </is>
      </c>
    </row>
    <row r="21" ht="15" customHeight="1" s="166">
      <c r="A21" s="265" t="inlineStr">
        <is>
          <t>N</t>
        </is>
      </c>
      <c r="B21" s="263" t="inlineStr">
        <is>
          <t>Occupancy Rate</t>
        </is>
      </c>
      <c r="C21" s="245" t="n"/>
      <c r="D21" s="266">
        <f>'Daily Consumption'!B112</f>
        <v/>
      </c>
      <c r="E21" s="266">
        <f>'Daily Consumption'!C112</f>
        <v/>
      </c>
      <c r="F21" s="266">
        <f>'Daily Consumption'!D112</f>
        <v/>
      </c>
      <c r="G21" s="266">
        <f>'Daily Consumption'!E112</f>
        <v/>
      </c>
      <c r="H21" s="266">
        <f>'Daily Consumption'!F112</f>
        <v/>
      </c>
      <c r="I21" s="266">
        <f>'Daily Consumption'!G112</f>
        <v/>
      </c>
      <c r="J21" s="266">
        <f>'Daily Consumption'!H112</f>
        <v/>
      </c>
      <c r="K21" s="266">
        <f>'Daily Consumption'!I112</f>
        <v/>
      </c>
      <c r="L21" s="266">
        <f>'Daily Consumption'!J112</f>
        <v/>
      </c>
      <c r="M21" s="266">
        <f>'Daily Consumption'!K112</f>
        <v/>
      </c>
      <c r="N21" s="266">
        <f>'Daily Consumption'!L112</f>
        <v/>
      </c>
      <c r="O21" s="266">
        <f>'Daily Consumption'!M112</f>
        <v/>
      </c>
      <c r="P21" s="266">
        <f>'Daily Consumption'!N112</f>
        <v/>
      </c>
      <c r="Q21" s="266">
        <f>'Daily Consumption'!O112</f>
        <v/>
      </c>
      <c r="R21" s="266">
        <f>'Daily Consumption'!P112</f>
        <v/>
      </c>
      <c r="S21" s="266">
        <f>'Daily Consumption'!Q112</f>
        <v/>
      </c>
      <c r="T21" s="266">
        <f>'Daily Consumption'!R112</f>
        <v/>
      </c>
      <c r="U21" s="266">
        <f>'Daily Consumption'!S112</f>
        <v/>
      </c>
      <c r="V21" s="266">
        <f>'Daily Consumption'!T112</f>
        <v/>
      </c>
      <c r="W21" s="266">
        <f>'Daily Consumption'!U112</f>
        <v/>
      </c>
      <c r="X21" s="266">
        <f>'Daily Consumption'!V112</f>
        <v/>
      </c>
      <c r="Y21" s="266">
        <f>'Daily Consumption'!W112</f>
        <v/>
      </c>
      <c r="Z21" s="266">
        <f>'Daily Consumption'!X112</f>
        <v/>
      </c>
      <c r="AA21" s="266">
        <f>'Daily Consumption'!Y112</f>
        <v/>
      </c>
      <c r="AB21" s="266">
        <f>'Daily Consumption'!Z112</f>
        <v/>
      </c>
      <c r="AC21" s="266">
        <f>'Daily Consumption'!AA112</f>
        <v/>
      </c>
      <c r="AD21" s="266">
        <f>'Daily Consumption'!AB112</f>
        <v/>
      </c>
      <c r="AE21" s="266">
        <f>'Daily Consumption'!AC112</f>
        <v/>
      </c>
      <c r="AF21" s="266">
        <f>'Daily Consumption'!AD112</f>
        <v/>
      </c>
      <c r="AG21" s="266">
        <f>'Daily Consumption'!AE112</f>
        <v/>
      </c>
      <c r="AH21" s="266">
        <f>'Daily Consumption'!AF112</f>
        <v/>
      </c>
      <c r="AI21" s="266">
        <f>'Daily Consumption'!AG112</f>
        <v/>
      </c>
      <c r="AJ21" s="266">
        <f>'Daily Consumption'!AH112</f>
        <v/>
      </c>
      <c r="AK21" s="266">
        <f>'Daily Consumption'!AI112</f>
        <v/>
      </c>
      <c r="AL21" s="266">
        <f>'Daily Consumption'!AJ112</f>
        <v/>
      </c>
      <c r="AM21" s="266">
        <f>'Daily Consumption'!AK112</f>
        <v/>
      </c>
      <c r="AN21" s="266">
        <f>'Daily Consumption'!AL112</f>
        <v/>
      </c>
      <c r="AO21" s="266">
        <f>'Daily Consumption'!AM112</f>
        <v/>
      </c>
      <c r="AP21" s="266">
        <f>'Daily Consumption'!AN112</f>
        <v/>
      </c>
      <c r="AQ21" s="266">
        <f>'Daily Consumption'!AO112</f>
        <v/>
      </c>
      <c r="AR21" s="266">
        <f>'Daily Consumption'!AP112</f>
        <v/>
      </c>
      <c r="AS21" s="266">
        <f>'Daily Consumption'!AQ112</f>
        <v/>
      </c>
      <c r="AT21" s="266">
        <f>'Daily Consumption'!AR112</f>
        <v/>
      </c>
      <c r="AU21" s="266">
        <f>'Daily Consumption'!AS112</f>
        <v/>
      </c>
      <c r="AV21" s="266">
        <f>'Daily Consumption'!AT112</f>
        <v/>
      </c>
      <c r="AW21" s="266">
        <f>'Daily Consumption'!AU112</f>
        <v/>
      </c>
      <c r="AX21" s="266">
        <f>'Daily Consumption'!AV112</f>
        <v/>
      </c>
      <c r="AY21" s="266">
        <f>'Daily Consumption'!AW112</f>
        <v/>
      </c>
      <c r="AZ21" s="266">
        <f>'Daily Consumption'!AX112</f>
        <v/>
      </c>
      <c r="BA21" s="266">
        <f>'Daily Consumption'!AY112</f>
        <v/>
      </c>
      <c r="BB21" s="266">
        <f>'Daily Consumption'!AZ112</f>
        <v/>
      </c>
      <c r="BC21" s="266">
        <f>'Daily Consumption'!BA112</f>
        <v/>
      </c>
      <c r="BD21" s="266">
        <f>'Daily Consumption'!BB112</f>
        <v/>
      </c>
      <c r="BE21" s="266">
        <f>'Daily Consumption'!BC112</f>
        <v/>
      </c>
      <c r="BF21" s="266">
        <f>'Daily Consumption'!BD112</f>
        <v/>
      </c>
      <c r="BG21" s="266">
        <f>'Daily Consumption'!BE112</f>
        <v/>
      </c>
      <c r="BH21" s="266">
        <f>'Daily Consumption'!BF112</f>
        <v/>
      </c>
      <c r="BI21" s="266">
        <f>'Daily Consumption'!BG112</f>
        <v/>
      </c>
      <c r="BJ21" s="266">
        <f>'Daily Consumption'!BH112</f>
        <v/>
      </c>
      <c r="BK21" s="266">
        <f>'Daily Consumption'!BI112</f>
        <v/>
      </c>
      <c r="BL21" s="266">
        <f>'Daily Consumption'!BJ112</f>
        <v/>
      </c>
      <c r="BM21" s="266">
        <f>'Daily Consumption'!BK112</f>
        <v/>
      </c>
      <c r="BN21" s="266">
        <f>'Daily Consumption'!BL112</f>
        <v/>
      </c>
      <c r="BO21" s="266">
        <f>'Daily Consumption'!BM112</f>
        <v/>
      </c>
      <c r="BP21" s="266">
        <f>'Daily Consumption'!BN112</f>
        <v/>
      </c>
      <c r="BQ21" s="266">
        <f>'Daily Consumption'!BO112</f>
        <v/>
      </c>
      <c r="BR21" s="266">
        <f>'Daily Consumption'!BP112</f>
        <v/>
      </c>
      <c r="BS21" s="266">
        <f>'Daily Consumption'!BQ112</f>
        <v/>
      </c>
      <c r="BT21" s="266">
        <f>'Daily Consumption'!BR112</f>
        <v/>
      </c>
      <c r="BU21" s="266">
        <f>'Daily Consumption'!BS112</f>
        <v/>
      </c>
      <c r="BV21" s="266">
        <f>'Daily Consumption'!BT112</f>
        <v/>
      </c>
      <c r="BW21" s="266">
        <f>'Daily Consumption'!BU112</f>
        <v/>
      </c>
      <c r="BX21" s="266">
        <f>'Daily Consumption'!BV112</f>
        <v/>
      </c>
      <c r="BY21" s="266">
        <f>'Daily Consumption'!BW112</f>
        <v/>
      </c>
      <c r="BZ21" s="266">
        <f>'Daily Consumption'!BX112</f>
        <v/>
      </c>
      <c r="CA21" s="266">
        <f>'Daily Consumption'!BY112</f>
        <v/>
      </c>
      <c r="CB21" s="266">
        <f>'Daily Consumption'!BZ112</f>
        <v/>
      </c>
      <c r="CC21" s="266">
        <f>'Daily Consumption'!CA112</f>
        <v/>
      </c>
      <c r="CD21" s="266">
        <f>'Daily Consumption'!CB112</f>
        <v/>
      </c>
      <c r="CE21" s="266">
        <f>'Daily Consumption'!CC112</f>
        <v/>
      </c>
      <c r="CF21" s="266">
        <f>'Daily Consumption'!CD112</f>
        <v/>
      </c>
      <c r="CG21" s="266">
        <f>'Daily Consumption'!CE112</f>
        <v/>
      </c>
      <c r="CH21" s="266">
        <f>'Daily Consumption'!CF112</f>
        <v/>
      </c>
      <c r="CI21" s="266">
        <f>'Daily Consumption'!CG112</f>
        <v/>
      </c>
      <c r="CJ21" s="266">
        <f>'Daily Consumption'!CH112</f>
        <v/>
      </c>
      <c r="CK21" s="266">
        <f>'Daily Consumption'!CI112</f>
        <v/>
      </c>
      <c r="CL21" s="266">
        <f>'Daily Consumption'!CJ112</f>
        <v/>
      </c>
      <c r="CM21" s="266">
        <f>'Daily Consumption'!CK112</f>
        <v/>
      </c>
      <c r="CN21" s="266">
        <f>'Daily Consumption'!CL112</f>
        <v/>
      </c>
      <c r="CO21" s="266">
        <f>'Daily Consumption'!CM112</f>
        <v/>
      </c>
      <c r="CP21" s="266">
        <f>'Daily Consumption'!CN112</f>
        <v/>
      </c>
      <c r="CQ21" s="266">
        <f>'Daily Consumption'!CO112</f>
        <v/>
      </c>
      <c r="CR21" s="266">
        <f>'Daily Consumption'!CP112</f>
        <v/>
      </c>
      <c r="CS21" s="266">
        <f>'Daily Consumption'!CQ112</f>
        <v/>
      </c>
      <c r="CT21" s="266">
        <f>'Daily Consumption'!CR112</f>
        <v/>
      </c>
      <c r="CU21" s="266">
        <f>'Daily Consumption'!CS112</f>
        <v/>
      </c>
      <c r="CV21" s="266">
        <f>'Daily Consumption'!CT112</f>
        <v/>
      </c>
      <c r="CW21" s="266">
        <f>'Daily Consumption'!CU112</f>
        <v/>
      </c>
      <c r="CX21" s="266">
        <f>'Daily Consumption'!CV112</f>
        <v/>
      </c>
      <c r="CY21" s="266">
        <f>'Daily Consumption'!CW112</f>
        <v/>
      </c>
      <c r="CZ21" s="266">
        <f>'Daily Consumption'!CX112</f>
        <v/>
      </c>
      <c r="DA21" s="266">
        <f>'Daily Consumption'!CY112</f>
        <v/>
      </c>
      <c r="DB21" s="266">
        <f>'Daily Consumption'!CZ112</f>
        <v/>
      </c>
      <c r="DC21" s="266">
        <f>'Daily Consumption'!DA112</f>
        <v/>
      </c>
      <c r="DD21" s="266">
        <f>'Daily Consumption'!DB112</f>
        <v/>
      </c>
      <c r="DE21" s="266">
        <f>'Daily Consumption'!DC112</f>
        <v/>
      </c>
      <c r="DF21" s="266">
        <f>'Daily Consumption'!DD112</f>
        <v/>
      </c>
      <c r="DG21" s="266">
        <f>'Daily Consumption'!DE112</f>
        <v/>
      </c>
      <c r="DH21" s="266">
        <f>'Daily Consumption'!DF112</f>
        <v/>
      </c>
      <c r="DI21" s="266">
        <f>'Daily Consumption'!DG112</f>
        <v/>
      </c>
      <c r="DJ21" s="266">
        <f>'Daily Consumption'!DH112</f>
        <v/>
      </c>
      <c r="DK21" s="266">
        <f>'Daily Consumption'!DI112</f>
        <v/>
      </c>
      <c r="DL21" s="266">
        <f>'Daily Consumption'!DJ112</f>
        <v/>
      </c>
      <c r="DM21" s="266">
        <f>'Daily Consumption'!DK112</f>
        <v/>
      </c>
      <c r="DN21" s="266">
        <f>'Daily Consumption'!DL112</f>
        <v/>
      </c>
      <c r="DO21" s="266">
        <f>'Daily Consumption'!DM112</f>
        <v/>
      </c>
      <c r="DP21" s="266">
        <f>'Daily Consumption'!DN112</f>
        <v/>
      </c>
      <c r="DQ21" s="266">
        <f>'Daily Consumption'!DO112</f>
        <v/>
      </c>
      <c r="DR21" s="266">
        <f>'Daily Consumption'!DP112</f>
        <v/>
      </c>
      <c r="DS21" s="266">
        <f>'Daily Consumption'!DQ112</f>
        <v/>
      </c>
      <c r="DT21" s="266">
        <f>'Daily Consumption'!DR112</f>
        <v/>
      </c>
      <c r="DU21" s="266">
        <f>'Daily Consumption'!DS112</f>
        <v/>
      </c>
      <c r="DV21" s="266">
        <f>'Daily Consumption'!DT112</f>
        <v/>
      </c>
      <c r="DW21" s="266">
        <f>'Daily Consumption'!DU112</f>
        <v/>
      </c>
      <c r="DX21" s="266">
        <f>'Daily Consumption'!DV112</f>
        <v/>
      </c>
      <c r="DY21" s="266">
        <f>'Daily Consumption'!DW112</f>
        <v/>
      </c>
      <c r="DZ21" s="266">
        <f>'Daily Consumption'!DX112</f>
        <v/>
      </c>
      <c r="EA21" s="266">
        <f>'Daily Consumption'!DY112</f>
        <v/>
      </c>
      <c r="EB21" s="266">
        <f>'Daily Consumption'!DZ112</f>
        <v/>
      </c>
      <c r="EC21" s="266">
        <f>'Daily Consumption'!EA112</f>
        <v/>
      </c>
      <c r="ED21" s="266">
        <f>'Daily Consumption'!EB112</f>
        <v/>
      </c>
      <c r="EE21" s="266">
        <f>'Daily Consumption'!EC112</f>
        <v/>
      </c>
      <c r="EF21" s="266">
        <f>'Daily Consumption'!ED112</f>
        <v/>
      </c>
      <c r="EG21" s="266">
        <f>'Daily Consumption'!EE112</f>
        <v/>
      </c>
      <c r="EH21" s="266">
        <f>'Daily Consumption'!EF112</f>
        <v/>
      </c>
      <c r="EI21" s="266">
        <f>'Daily Consumption'!EG112</f>
        <v/>
      </c>
      <c r="EJ21" s="266">
        <f>'Daily Consumption'!EH112</f>
        <v/>
      </c>
      <c r="EK21" s="266">
        <f>'Daily Consumption'!EI112</f>
        <v/>
      </c>
      <c r="EL21" s="266">
        <f>'Daily Consumption'!EJ112</f>
        <v/>
      </c>
      <c r="EM21" s="266">
        <f>'Daily Consumption'!EK112</f>
        <v/>
      </c>
      <c r="EN21" s="266">
        <f>'Daily Consumption'!EL112</f>
        <v/>
      </c>
      <c r="EO21" s="266">
        <f>'Daily Consumption'!EM112</f>
        <v/>
      </c>
      <c r="EP21" s="266">
        <f>'Daily Consumption'!EN112</f>
        <v/>
      </c>
      <c r="EQ21" s="266">
        <f>'Daily Consumption'!EO112</f>
        <v/>
      </c>
      <c r="ER21" s="266">
        <f>'Daily Consumption'!EP112</f>
        <v/>
      </c>
      <c r="ES21" s="266">
        <f>'Daily Consumption'!EQ112</f>
        <v/>
      </c>
      <c r="ET21" s="266">
        <f>'Daily Consumption'!ER112</f>
        <v/>
      </c>
      <c r="EU21" s="266">
        <f>'Daily Consumption'!ES112</f>
        <v/>
      </c>
      <c r="EV21" s="266">
        <f>'Daily Consumption'!ET112</f>
        <v/>
      </c>
      <c r="EW21" s="266">
        <f>'Daily Consumption'!EU112</f>
        <v/>
      </c>
      <c r="EX21" s="266">
        <f>'Daily Consumption'!EV112</f>
        <v/>
      </c>
      <c r="EY21" s="266">
        <f>'Daily Consumption'!EW112</f>
        <v/>
      </c>
      <c r="EZ21" s="266">
        <f>'Daily Consumption'!EX112</f>
        <v/>
      </c>
      <c r="FA21" s="266">
        <f>'Daily Consumption'!EY112</f>
        <v/>
      </c>
      <c r="FB21" s="266">
        <f>'Daily Consumption'!EZ112</f>
        <v/>
      </c>
      <c r="FC21" s="266">
        <f>'Daily Consumption'!FA112</f>
        <v/>
      </c>
      <c r="FD21" s="266">
        <f>'Daily Consumption'!FB112</f>
        <v/>
      </c>
      <c r="FE21" s="266">
        <f>'Daily Consumption'!FC112</f>
        <v/>
      </c>
      <c r="FF21" s="266">
        <f>'Daily Consumption'!FD112</f>
        <v/>
      </c>
      <c r="FG21" s="266">
        <f>'Daily Consumption'!FE112</f>
        <v/>
      </c>
      <c r="FH21" s="266">
        <f>'Daily Consumption'!FF112</f>
        <v/>
      </c>
      <c r="FI21" s="266">
        <f>'Daily Consumption'!FG112</f>
        <v/>
      </c>
      <c r="FJ21" s="266">
        <f>'Daily Consumption'!FH112</f>
        <v/>
      </c>
      <c r="FK21" s="266">
        <f>'Daily Consumption'!FI112</f>
        <v/>
      </c>
      <c r="FL21" s="266">
        <f>'Daily Consumption'!FJ112</f>
        <v/>
      </c>
      <c r="FM21" s="266">
        <f>'Daily Consumption'!FK112</f>
        <v/>
      </c>
      <c r="FN21" s="266">
        <f>'Daily Consumption'!FL112</f>
        <v/>
      </c>
      <c r="FO21" s="266">
        <f>'Daily Consumption'!FM112</f>
        <v/>
      </c>
      <c r="FP21" s="266">
        <f>'Daily Consumption'!FN112</f>
        <v/>
      </c>
      <c r="FQ21" s="266">
        <f>'Daily Consumption'!FO112</f>
        <v/>
      </c>
      <c r="FR21" s="266">
        <f>'Daily Consumption'!FP112</f>
        <v/>
      </c>
      <c r="FS21" s="266">
        <f>'Daily Consumption'!FQ112</f>
        <v/>
      </c>
      <c r="FT21" s="266">
        <f>'Daily Consumption'!FR112</f>
        <v/>
      </c>
      <c r="FU21" s="266">
        <f>'Daily Consumption'!FS112</f>
        <v/>
      </c>
      <c r="FV21" s="266">
        <f>'Daily Consumption'!FT112</f>
        <v/>
      </c>
      <c r="FW21" s="266">
        <f>'Daily Consumption'!FU112</f>
        <v/>
      </c>
      <c r="FX21" s="266">
        <f>'Daily Consumption'!FV112</f>
        <v/>
      </c>
      <c r="FY21" s="266">
        <f>'Daily Consumption'!FW112</f>
        <v/>
      </c>
      <c r="FZ21" s="266">
        <f>'Daily Consumption'!FX112</f>
        <v/>
      </c>
      <c r="GA21" s="266">
        <f>'Daily Consumption'!FY112</f>
        <v/>
      </c>
      <c r="GB21" s="266">
        <f>'Daily Consumption'!FZ112</f>
        <v/>
      </c>
      <c r="GC21" s="266">
        <f>'Daily Consumption'!GA112</f>
        <v/>
      </c>
      <c r="GD21" s="266">
        <f>'Daily Consumption'!GB112</f>
        <v/>
      </c>
      <c r="GE21" s="266">
        <f>'Daily Consumption'!GC112</f>
        <v/>
      </c>
      <c r="GF21" s="266">
        <f>'Daily Consumption'!GD112</f>
        <v/>
      </c>
      <c r="GG21" s="266">
        <f>'Daily Consumption'!GE112</f>
        <v/>
      </c>
      <c r="GH21" s="266">
        <f>'Daily Consumption'!GF112</f>
        <v/>
      </c>
      <c r="GI21" s="266">
        <f>'Daily Consumption'!GG112</f>
        <v/>
      </c>
      <c r="GJ21" s="266">
        <f>'Daily Consumption'!GH112</f>
        <v/>
      </c>
      <c r="GK21" s="266">
        <f>'Daily Consumption'!GI112</f>
        <v/>
      </c>
      <c r="GL21" s="266">
        <f>'Daily Consumption'!GJ112</f>
        <v/>
      </c>
      <c r="GM21" s="266">
        <f>'Daily Consumption'!GK112</f>
        <v/>
      </c>
      <c r="GN21" s="266">
        <f>'Daily Consumption'!GL112</f>
        <v/>
      </c>
      <c r="GO21" s="266">
        <f>'Daily Consumption'!GM112</f>
        <v/>
      </c>
      <c r="GP21" s="266">
        <f>'Daily Consumption'!GN112</f>
        <v/>
      </c>
      <c r="GQ21" s="266">
        <f>'Daily Consumption'!GO112</f>
        <v/>
      </c>
      <c r="GR21" s="266">
        <f>'Daily Consumption'!GP112</f>
        <v/>
      </c>
      <c r="GS21" s="266">
        <f>'Daily Consumption'!GQ112</f>
        <v/>
      </c>
      <c r="GT21" s="266">
        <f>'Daily Consumption'!GR112</f>
        <v/>
      </c>
      <c r="GU21" s="266">
        <f>'Daily Consumption'!GS112</f>
        <v/>
      </c>
      <c r="GV21" s="266">
        <f>'Daily Consumption'!GT112</f>
        <v/>
      </c>
      <c r="GW21" s="266">
        <f>'Daily Consumption'!GU112</f>
        <v/>
      </c>
      <c r="GX21" s="266">
        <f>'Daily Consumption'!GV112</f>
        <v/>
      </c>
      <c r="GY21" s="266">
        <f>'Daily Consumption'!GW112</f>
        <v/>
      </c>
      <c r="GZ21" s="266">
        <f>'Daily Consumption'!GX112</f>
        <v/>
      </c>
      <c r="HA21" s="266">
        <f>'Daily Consumption'!GY112</f>
        <v/>
      </c>
      <c r="HB21" s="266">
        <f>'Daily Consumption'!GZ112</f>
        <v/>
      </c>
      <c r="HC21" s="266">
        <f>'Daily Consumption'!HA112</f>
        <v/>
      </c>
      <c r="HD21" s="266">
        <f>'Daily Consumption'!HB112</f>
        <v/>
      </c>
      <c r="HE21" s="266">
        <f>'Daily Consumption'!HC112</f>
        <v/>
      </c>
      <c r="HF21" s="266">
        <f>'Daily Consumption'!HD112</f>
        <v/>
      </c>
      <c r="HG21" s="266">
        <f>'Daily Consumption'!HE112</f>
        <v/>
      </c>
      <c r="HH21" s="266">
        <f>'Daily Consumption'!HF112</f>
        <v/>
      </c>
      <c r="HI21" s="266">
        <f>'Daily Consumption'!HG112</f>
        <v/>
      </c>
      <c r="HJ21" s="266">
        <f>'Daily Consumption'!HH112</f>
        <v/>
      </c>
      <c r="HK21" s="266">
        <f>'Daily Consumption'!HI112</f>
        <v/>
      </c>
      <c r="HL21" s="266">
        <f>'Daily Consumption'!HJ112</f>
        <v/>
      </c>
      <c r="HM21" s="266">
        <f>'Daily Consumption'!HK112</f>
        <v/>
      </c>
      <c r="HN21" s="266">
        <f>'Daily Consumption'!HL112</f>
        <v/>
      </c>
      <c r="HO21" s="266">
        <f>'Daily Consumption'!HM112</f>
        <v/>
      </c>
      <c r="HP21" s="266">
        <f>'Daily Consumption'!HN112</f>
        <v/>
      </c>
      <c r="HQ21" s="266">
        <f>'Daily Consumption'!HO112</f>
        <v/>
      </c>
      <c r="HR21" s="266">
        <f>'Daily Consumption'!HP112</f>
        <v/>
      </c>
      <c r="HS21" s="266">
        <f>'Daily Consumption'!HQ112</f>
        <v/>
      </c>
      <c r="HT21" s="266">
        <f>'Daily Consumption'!HR112</f>
        <v/>
      </c>
      <c r="HU21" s="266">
        <f>'Daily Consumption'!HS112</f>
        <v/>
      </c>
      <c r="HV21" s="266">
        <f>'Daily Consumption'!HT112</f>
        <v/>
      </c>
      <c r="HW21" s="266">
        <f>'Daily Consumption'!HU112</f>
        <v/>
      </c>
      <c r="HX21" s="266">
        <f>'Daily Consumption'!HV112</f>
        <v/>
      </c>
      <c r="HY21" s="266">
        <f>'Daily Consumption'!HW112</f>
        <v/>
      </c>
      <c r="HZ21" s="266">
        <f>'Daily Consumption'!HX112</f>
        <v/>
      </c>
      <c r="IA21" s="266">
        <f>'Daily Consumption'!HY112</f>
        <v/>
      </c>
      <c r="IB21" s="266">
        <f>'Daily Consumption'!HZ112</f>
        <v/>
      </c>
      <c r="IC21" s="266">
        <f>'Daily Consumption'!IA112</f>
        <v/>
      </c>
      <c r="ID21" s="266">
        <f>'Daily Consumption'!IB112</f>
        <v/>
      </c>
      <c r="IE21" s="266">
        <f>'Daily Consumption'!IC112</f>
        <v/>
      </c>
      <c r="IF21" s="266">
        <f>'Daily Consumption'!ID112</f>
        <v/>
      </c>
      <c r="IG21" s="266">
        <f>'Daily Consumption'!IE112</f>
        <v/>
      </c>
      <c r="IH21" s="266">
        <f>'Daily Consumption'!IF112</f>
        <v/>
      </c>
      <c r="II21" s="266">
        <f>'Daily Consumption'!IG112</f>
        <v/>
      </c>
      <c r="IJ21" s="266">
        <f>'Daily Consumption'!IH112</f>
        <v/>
      </c>
      <c r="IK21" s="266">
        <f>'Daily Consumption'!II112</f>
        <v/>
      </c>
      <c r="IL21" s="266">
        <f>'Daily Consumption'!IJ112</f>
        <v/>
      </c>
      <c r="IM21" s="266">
        <f>'Daily Consumption'!IK112</f>
        <v/>
      </c>
      <c r="IN21" s="266">
        <f>'Daily Consumption'!IL112</f>
        <v/>
      </c>
      <c r="IO21" s="266">
        <f>'Daily Consumption'!IM112</f>
        <v/>
      </c>
      <c r="IP21" s="266">
        <f>'Daily Consumption'!IN112</f>
        <v/>
      </c>
      <c r="IQ21" s="266">
        <f>'Daily Consumption'!IO112</f>
        <v/>
      </c>
      <c r="IR21" s="266">
        <f>'Daily Consumption'!IP112</f>
        <v/>
      </c>
      <c r="IS21" s="266">
        <f>'Daily Consumption'!IQ112</f>
        <v/>
      </c>
      <c r="IT21" s="266">
        <f>'Daily Consumption'!IR112</f>
        <v/>
      </c>
      <c r="IU21" s="266">
        <f>'Daily Consumption'!IS112</f>
        <v/>
      </c>
      <c r="IV21" s="266">
        <f>'Daily Consumption'!IT112</f>
        <v/>
      </c>
      <c r="IW21" s="266">
        <f>'Daily Consumption'!IU112</f>
        <v/>
      </c>
      <c r="IX21" s="266">
        <f>'Daily Consumption'!IV112</f>
        <v/>
      </c>
      <c r="IY21" s="266">
        <f>'Daily Consumption'!IW112</f>
        <v/>
      </c>
      <c r="IZ21" s="266">
        <f>'Daily Consumption'!IX112</f>
        <v/>
      </c>
      <c r="JA21" s="266">
        <f>'Daily Consumption'!IY112</f>
        <v/>
      </c>
      <c r="JB21" s="266">
        <f>'Daily Consumption'!IZ112</f>
        <v/>
      </c>
      <c r="JC21" s="266">
        <f>'Daily Consumption'!JA112</f>
        <v/>
      </c>
      <c r="JD21" s="266">
        <f>'Daily Consumption'!JB112</f>
        <v/>
      </c>
      <c r="JE21" s="266">
        <f>'Daily Consumption'!JC112</f>
        <v/>
      </c>
      <c r="JF21" s="266">
        <f>'Daily Consumption'!JD112</f>
        <v/>
      </c>
      <c r="JG21" s="266">
        <f>'Daily Consumption'!JE112</f>
        <v/>
      </c>
      <c r="JH21" s="266">
        <f>'Daily Consumption'!JF112</f>
        <v/>
      </c>
      <c r="JI21" s="266">
        <f>'Daily Consumption'!JG112</f>
        <v/>
      </c>
      <c r="JJ21" s="266">
        <f>'Daily Consumption'!JH112</f>
        <v/>
      </c>
      <c r="JK21" s="266">
        <f>'Daily Consumption'!JI112</f>
        <v/>
      </c>
      <c r="JL21" s="266">
        <f>'Daily Consumption'!JJ112</f>
        <v/>
      </c>
      <c r="JM21" s="266">
        <f>'Daily Consumption'!JK112</f>
        <v/>
      </c>
      <c r="JN21" s="266">
        <f>'Daily Consumption'!JL112</f>
        <v/>
      </c>
      <c r="JO21" s="266">
        <f>'Daily Consumption'!JM112</f>
        <v/>
      </c>
      <c r="JP21" s="266">
        <f>'Daily Consumption'!JN112</f>
        <v/>
      </c>
      <c r="JQ21" s="266">
        <f>'Daily Consumption'!JO112</f>
        <v/>
      </c>
      <c r="JR21" s="266">
        <f>'Daily Consumption'!JP112</f>
        <v/>
      </c>
      <c r="JS21" s="266">
        <f>'Daily Consumption'!JQ112</f>
        <v/>
      </c>
      <c r="JT21" s="266">
        <f>'Daily Consumption'!JR112</f>
        <v/>
      </c>
      <c r="JU21" s="266">
        <f>'Daily Consumption'!JS112</f>
        <v/>
      </c>
      <c r="JV21" s="266">
        <f>'Daily Consumption'!JT112</f>
        <v/>
      </c>
      <c r="JW21" s="266">
        <f>'Daily Consumption'!JU112</f>
        <v/>
      </c>
      <c r="JX21" s="266">
        <f>'Daily Consumption'!JV112</f>
        <v/>
      </c>
      <c r="JY21" s="266">
        <f>'Daily Consumption'!JW112</f>
        <v/>
      </c>
      <c r="JZ21" s="266">
        <f>'Daily Consumption'!JX112</f>
        <v/>
      </c>
      <c r="KA21" s="266">
        <f>'Daily Consumption'!JY112</f>
        <v/>
      </c>
      <c r="KB21" s="266">
        <f>'Daily Consumption'!JZ112</f>
        <v/>
      </c>
      <c r="KC21" s="266">
        <f>'Daily Consumption'!KA112</f>
        <v/>
      </c>
      <c r="KD21" s="266">
        <f>'Daily Consumption'!KB112</f>
        <v/>
      </c>
      <c r="KE21" s="266">
        <f>'Daily Consumption'!KC112</f>
        <v/>
      </c>
      <c r="KF21" s="266">
        <f>'Daily Consumption'!KD112</f>
        <v/>
      </c>
      <c r="KG21" s="266">
        <f>'Daily Consumption'!KE112</f>
        <v/>
      </c>
      <c r="KH21" s="266">
        <f>'Daily Consumption'!KF112</f>
        <v/>
      </c>
      <c r="KI21" s="266">
        <f>'Daily Consumption'!KG112</f>
        <v/>
      </c>
      <c r="KJ21" s="266">
        <f>'Daily Consumption'!KH112</f>
        <v/>
      </c>
      <c r="KK21" s="266">
        <f>'Daily Consumption'!KI112</f>
        <v/>
      </c>
      <c r="KL21" s="266">
        <f>'Daily Consumption'!KJ112</f>
        <v/>
      </c>
      <c r="KM21" s="266">
        <f>'Daily Consumption'!KK112</f>
        <v/>
      </c>
      <c r="KN21" s="266">
        <f>'Daily Consumption'!KL112</f>
        <v/>
      </c>
      <c r="KO21" s="266">
        <f>'Daily Consumption'!KM112</f>
        <v/>
      </c>
      <c r="KP21" s="266">
        <f>'Daily Consumption'!KN112</f>
        <v/>
      </c>
      <c r="KQ21" s="266">
        <f>'Daily Consumption'!KO112</f>
        <v/>
      </c>
      <c r="KR21" s="266">
        <f>'Daily Consumption'!KP112</f>
        <v/>
      </c>
      <c r="KS21" s="266">
        <f>'Daily Consumption'!KQ112</f>
        <v/>
      </c>
      <c r="KT21" s="266">
        <f>'Daily Consumption'!KR112</f>
        <v/>
      </c>
      <c r="KU21" s="266">
        <f>'Daily Consumption'!KS112</f>
        <v/>
      </c>
      <c r="KV21" s="266">
        <f>'Daily Consumption'!KT112</f>
        <v/>
      </c>
      <c r="KW21" s="266">
        <f>'Daily Consumption'!KU112</f>
        <v/>
      </c>
      <c r="KX21" s="266">
        <f>'Daily Consumption'!KV112</f>
        <v/>
      </c>
      <c r="KY21" s="266">
        <f>'Daily Consumption'!KW112</f>
        <v/>
      </c>
      <c r="KZ21" s="266">
        <f>'Daily Consumption'!KX112</f>
        <v/>
      </c>
      <c r="LA21" s="266">
        <f>'Daily Consumption'!KY112</f>
        <v/>
      </c>
      <c r="LB21" s="266">
        <f>'Daily Consumption'!KZ112</f>
        <v/>
      </c>
      <c r="LC21" s="266">
        <f>'Daily Consumption'!LA112</f>
        <v/>
      </c>
      <c r="LD21" s="266">
        <f>'Daily Consumption'!LB112</f>
        <v/>
      </c>
      <c r="LE21" s="266">
        <f>'Daily Consumption'!LC112</f>
        <v/>
      </c>
      <c r="LF21" s="266">
        <f>'Daily Consumption'!LD112</f>
        <v/>
      </c>
      <c r="LG21" s="266">
        <f>'Daily Consumption'!LE112</f>
        <v/>
      </c>
      <c r="LH21" s="266">
        <f>'Daily Consumption'!LF112</f>
        <v/>
      </c>
      <c r="LI21" s="266">
        <f>'Daily Consumption'!LG112</f>
        <v/>
      </c>
      <c r="LJ21" s="266">
        <f>'Daily Consumption'!LH112</f>
        <v/>
      </c>
      <c r="LK21" s="266">
        <f>'Daily Consumption'!LI112</f>
        <v/>
      </c>
      <c r="LL21" s="266">
        <f>'Daily Consumption'!LJ112</f>
        <v/>
      </c>
      <c r="LM21" s="266">
        <f>'Daily Consumption'!LK112</f>
        <v/>
      </c>
      <c r="LN21" s="266">
        <f>'Daily Consumption'!LL112</f>
        <v/>
      </c>
      <c r="LO21" s="266">
        <f>'Daily Consumption'!LM112</f>
        <v/>
      </c>
      <c r="LP21" s="266">
        <f>'Daily Consumption'!LN112</f>
        <v/>
      </c>
      <c r="LQ21" s="266">
        <f>'Daily Consumption'!LO112</f>
        <v/>
      </c>
      <c r="LR21" s="266">
        <f>'Daily Consumption'!LP112</f>
        <v/>
      </c>
      <c r="LS21" s="266">
        <f>'Daily Consumption'!LQ112</f>
        <v/>
      </c>
      <c r="LT21" s="266">
        <f>'Daily Consumption'!LR112</f>
        <v/>
      </c>
      <c r="LU21" s="266">
        <f>'Daily Consumption'!LS112</f>
        <v/>
      </c>
      <c r="LV21" s="266">
        <f>'Daily Consumption'!LT112</f>
        <v/>
      </c>
      <c r="LW21" s="266">
        <f>'Daily Consumption'!LU112</f>
        <v/>
      </c>
      <c r="LX21" s="266">
        <f>'Daily Consumption'!LV112</f>
        <v/>
      </c>
      <c r="LY21" s="266">
        <f>'Daily Consumption'!LW112</f>
        <v/>
      </c>
      <c r="LZ21" s="266">
        <f>'Daily Consumption'!LX112</f>
        <v/>
      </c>
      <c r="MA21" s="266">
        <f>'Daily Consumption'!LY112</f>
        <v/>
      </c>
      <c r="MB21" s="266">
        <f>'Daily Consumption'!LZ112</f>
        <v/>
      </c>
      <c r="MC21" s="266">
        <f>'Daily Consumption'!MA112</f>
        <v/>
      </c>
      <c r="MD21" s="266">
        <f>'Daily Consumption'!MB112</f>
        <v/>
      </c>
      <c r="ME21" s="266">
        <f>'Daily Consumption'!MC112</f>
        <v/>
      </c>
      <c r="MF21" s="266">
        <f>'Daily Consumption'!MD112</f>
        <v/>
      </c>
      <c r="MG21" s="266">
        <f>'Daily Consumption'!ME112</f>
        <v/>
      </c>
      <c r="MH21" s="266">
        <f>'Daily Consumption'!MF112</f>
        <v/>
      </c>
      <c r="MI21" s="266">
        <f>'Daily Consumption'!MG112</f>
        <v/>
      </c>
      <c r="MJ21" s="266">
        <f>'Daily Consumption'!MH112</f>
        <v/>
      </c>
      <c r="MK21" s="266">
        <f>'Daily Consumption'!MI112</f>
        <v/>
      </c>
      <c r="ML21" s="266">
        <f>'Daily Consumption'!MJ112</f>
        <v/>
      </c>
      <c r="MM21" s="266">
        <f>'Daily Consumption'!MK112</f>
        <v/>
      </c>
      <c r="MN21" s="266">
        <f>'Daily Consumption'!ML112</f>
        <v/>
      </c>
      <c r="MO21" s="266">
        <f>'Daily Consumption'!MM112</f>
        <v/>
      </c>
      <c r="MP21" s="266">
        <f>'Daily Consumption'!MN112</f>
        <v/>
      </c>
      <c r="MQ21" s="266">
        <f>'Daily Consumption'!MO112</f>
        <v/>
      </c>
      <c r="MR21" s="266">
        <f>'Daily Consumption'!MP112</f>
        <v/>
      </c>
      <c r="MS21" s="266">
        <f>'Daily Consumption'!MQ112</f>
        <v/>
      </c>
      <c r="MT21" s="266">
        <f>'Daily Consumption'!MR112</f>
        <v/>
      </c>
      <c r="MU21" s="266">
        <f>'Daily Consumption'!MS112</f>
        <v/>
      </c>
      <c r="MV21" s="266">
        <f>'Daily Consumption'!MT112</f>
        <v/>
      </c>
      <c r="MW21" s="266">
        <f>'Daily Consumption'!MU112</f>
        <v/>
      </c>
      <c r="MX21" s="266">
        <f>'Daily Consumption'!MV112</f>
        <v/>
      </c>
      <c r="MY21" s="266">
        <f>'Daily Consumption'!MW112</f>
        <v/>
      </c>
      <c r="MZ21" s="266">
        <f>'Daily Consumption'!MX112</f>
        <v/>
      </c>
      <c r="NA21" s="266">
        <f>'Daily Consumption'!MY112</f>
        <v/>
      </c>
      <c r="NB21" s="266">
        <f>'Daily Consumption'!MZ112</f>
        <v/>
      </c>
      <c r="NC21" s="266">
        <f>'Daily Consumption'!NA112</f>
        <v/>
      </c>
      <c r="ND21" s="266">
        <f>'Daily Consumption'!NB112</f>
        <v/>
      </c>
      <c r="NE21" s="266" t="n"/>
    </row>
    <row r="22" ht="15" customHeight="1" s="166">
      <c r="A22" s="267" t="n"/>
      <c r="B22" s="263" t="inlineStr">
        <is>
          <t>Occupied Rooms</t>
        </is>
      </c>
      <c r="C22" s="245" t="n"/>
      <c r="D22" s="268">
        <f>'Daily Consumption'!B113</f>
        <v/>
      </c>
      <c r="E22" s="268">
        <f>'Daily Consumption'!C113</f>
        <v/>
      </c>
      <c r="F22" s="268">
        <f>'Daily Consumption'!D113</f>
        <v/>
      </c>
      <c r="G22" s="268">
        <f>'Daily Consumption'!E113</f>
        <v/>
      </c>
      <c r="H22" s="268">
        <f>'Daily Consumption'!F113</f>
        <v/>
      </c>
      <c r="I22" s="268">
        <f>'Daily Consumption'!G113</f>
        <v/>
      </c>
      <c r="J22" s="268">
        <f>'Daily Consumption'!H113</f>
        <v/>
      </c>
      <c r="K22" s="268">
        <f>'Daily Consumption'!I113</f>
        <v/>
      </c>
      <c r="L22" s="268">
        <f>'Daily Consumption'!J113</f>
        <v/>
      </c>
      <c r="M22" s="268">
        <f>'Daily Consumption'!K113</f>
        <v/>
      </c>
      <c r="N22" s="268">
        <f>'Daily Consumption'!L113</f>
        <v/>
      </c>
      <c r="O22" s="268">
        <f>'Daily Consumption'!M113</f>
        <v/>
      </c>
      <c r="P22" s="268">
        <f>'Daily Consumption'!N113</f>
        <v/>
      </c>
      <c r="Q22" s="268">
        <f>'Daily Consumption'!O113</f>
        <v/>
      </c>
      <c r="R22" s="268">
        <f>'Daily Consumption'!P113</f>
        <v/>
      </c>
      <c r="S22" s="268">
        <f>'Daily Consumption'!Q113</f>
        <v/>
      </c>
      <c r="T22" s="268">
        <f>'Daily Consumption'!R113</f>
        <v/>
      </c>
      <c r="U22" s="268">
        <f>'Daily Consumption'!S113</f>
        <v/>
      </c>
      <c r="V22" s="268">
        <f>'Daily Consumption'!T113</f>
        <v/>
      </c>
      <c r="W22" s="268">
        <f>'Daily Consumption'!U113</f>
        <v/>
      </c>
      <c r="X22" s="268">
        <f>'Daily Consumption'!V113</f>
        <v/>
      </c>
      <c r="Y22" s="268">
        <f>'Daily Consumption'!W113</f>
        <v/>
      </c>
      <c r="Z22" s="268">
        <f>'Daily Consumption'!X113</f>
        <v/>
      </c>
      <c r="AA22" s="268">
        <f>'Daily Consumption'!Y113</f>
        <v/>
      </c>
      <c r="AB22" s="268">
        <f>'Daily Consumption'!Z113</f>
        <v/>
      </c>
      <c r="AC22" s="268">
        <f>'Daily Consumption'!AA113</f>
        <v/>
      </c>
      <c r="AD22" s="268">
        <f>'Daily Consumption'!AB113</f>
        <v/>
      </c>
      <c r="AE22" s="268">
        <f>'Daily Consumption'!AC113</f>
        <v/>
      </c>
      <c r="AF22" s="268">
        <f>'Daily Consumption'!AD113</f>
        <v/>
      </c>
      <c r="AG22" s="268">
        <f>'Daily Consumption'!AE113</f>
        <v/>
      </c>
      <c r="AH22" s="268">
        <f>'Daily Consumption'!AF113</f>
        <v/>
      </c>
      <c r="AI22" s="268">
        <f>'Daily Consumption'!AG113</f>
        <v/>
      </c>
      <c r="AJ22" s="268">
        <f>'Daily Consumption'!AH113</f>
        <v/>
      </c>
      <c r="AK22" s="268">
        <f>'Daily Consumption'!AI113</f>
        <v/>
      </c>
      <c r="AL22" s="268">
        <f>'Daily Consumption'!AJ113</f>
        <v/>
      </c>
      <c r="AM22" s="268">
        <f>'Daily Consumption'!AK113</f>
        <v/>
      </c>
      <c r="AN22" s="268">
        <f>'Daily Consumption'!AL113</f>
        <v/>
      </c>
      <c r="AO22" s="268">
        <f>'Daily Consumption'!AM113</f>
        <v/>
      </c>
      <c r="AP22" s="268">
        <f>'Daily Consumption'!AN113</f>
        <v/>
      </c>
      <c r="AQ22" s="268">
        <f>'Daily Consumption'!AO113</f>
        <v/>
      </c>
      <c r="AR22" s="268">
        <f>'Daily Consumption'!AP113</f>
        <v/>
      </c>
      <c r="AS22" s="268">
        <f>'Daily Consumption'!AQ113</f>
        <v/>
      </c>
      <c r="AT22" s="268">
        <f>'Daily Consumption'!AR113</f>
        <v/>
      </c>
      <c r="AU22" s="268">
        <f>'Daily Consumption'!AS113</f>
        <v/>
      </c>
      <c r="AV22" s="268">
        <f>'Daily Consumption'!AT113</f>
        <v/>
      </c>
      <c r="AW22" s="268">
        <f>'Daily Consumption'!AU113</f>
        <v/>
      </c>
      <c r="AX22" s="268">
        <f>'Daily Consumption'!AV113</f>
        <v/>
      </c>
      <c r="AY22" s="268">
        <f>'Daily Consumption'!AW113</f>
        <v/>
      </c>
      <c r="AZ22" s="268">
        <f>'Daily Consumption'!AX113</f>
        <v/>
      </c>
      <c r="BA22" s="268">
        <f>'Daily Consumption'!AY113</f>
        <v/>
      </c>
      <c r="BB22" s="268">
        <f>'Daily Consumption'!AZ113</f>
        <v/>
      </c>
      <c r="BC22" s="268">
        <f>'Daily Consumption'!BA113</f>
        <v/>
      </c>
      <c r="BD22" s="268">
        <f>'Daily Consumption'!BB113</f>
        <v/>
      </c>
      <c r="BE22" s="268">
        <f>'Daily Consumption'!BC113</f>
        <v/>
      </c>
      <c r="BF22" s="268">
        <f>'Daily Consumption'!BD113</f>
        <v/>
      </c>
      <c r="BG22" s="268">
        <f>'Daily Consumption'!BE113</f>
        <v/>
      </c>
      <c r="BH22" s="268">
        <f>'Daily Consumption'!BF113</f>
        <v/>
      </c>
      <c r="BI22" s="268">
        <f>'Daily Consumption'!BG113</f>
        <v/>
      </c>
      <c r="BJ22" s="268">
        <f>'Daily Consumption'!BH113</f>
        <v/>
      </c>
      <c r="BK22" s="268">
        <f>'Daily Consumption'!BI113</f>
        <v/>
      </c>
      <c r="BL22" s="268">
        <f>'Daily Consumption'!BJ113</f>
        <v/>
      </c>
      <c r="BM22" s="268">
        <f>'Daily Consumption'!BK113</f>
        <v/>
      </c>
      <c r="BN22" s="268">
        <f>'Daily Consumption'!BL113</f>
        <v/>
      </c>
      <c r="BO22" s="268">
        <f>'Daily Consumption'!BM113</f>
        <v/>
      </c>
      <c r="BP22" s="268">
        <f>'Daily Consumption'!BN113</f>
        <v/>
      </c>
      <c r="BQ22" s="268">
        <f>'Daily Consumption'!BO113</f>
        <v/>
      </c>
      <c r="BR22" s="268">
        <f>'Daily Consumption'!BP113</f>
        <v/>
      </c>
      <c r="BS22" s="268">
        <f>'Daily Consumption'!BQ113</f>
        <v/>
      </c>
      <c r="BT22" s="268">
        <f>'Daily Consumption'!BR113</f>
        <v/>
      </c>
      <c r="BU22" s="268">
        <f>'Daily Consumption'!BS113</f>
        <v/>
      </c>
      <c r="BV22" s="268">
        <f>'Daily Consumption'!BT113</f>
        <v/>
      </c>
      <c r="BW22" s="268">
        <f>'Daily Consumption'!BU113</f>
        <v/>
      </c>
      <c r="BX22" s="268">
        <f>'Daily Consumption'!BV113</f>
        <v/>
      </c>
      <c r="BY22" s="268">
        <f>'Daily Consumption'!BW113</f>
        <v/>
      </c>
      <c r="BZ22" s="268">
        <f>'Daily Consumption'!BX113</f>
        <v/>
      </c>
      <c r="CA22" s="268">
        <f>'Daily Consumption'!BY113</f>
        <v/>
      </c>
      <c r="CB22" s="268">
        <f>'Daily Consumption'!BZ113</f>
        <v/>
      </c>
      <c r="CC22" s="268">
        <f>'Daily Consumption'!CA113</f>
        <v/>
      </c>
      <c r="CD22" s="268">
        <f>'Daily Consumption'!CB113</f>
        <v/>
      </c>
      <c r="CE22" s="268">
        <f>'Daily Consumption'!CC113</f>
        <v/>
      </c>
      <c r="CF22" s="268">
        <f>'Daily Consumption'!CD113</f>
        <v/>
      </c>
      <c r="CG22" s="268">
        <f>'Daily Consumption'!CE113</f>
        <v/>
      </c>
      <c r="CH22" s="268">
        <f>'Daily Consumption'!CF113</f>
        <v/>
      </c>
      <c r="CI22" s="268">
        <f>'Daily Consumption'!CG113</f>
        <v/>
      </c>
      <c r="CJ22" s="268">
        <f>'Daily Consumption'!CH113</f>
        <v/>
      </c>
      <c r="CK22" s="268">
        <f>'Daily Consumption'!CI113</f>
        <v/>
      </c>
      <c r="CL22" s="268">
        <f>'Daily Consumption'!CJ113</f>
        <v/>
      </c>
      <c r="CM22" s="268">
        <f>'Daily Consumption'!CK113</f>
        <v/>
      </c>
      <c r="CN22" s="268">
        <f>'Daily Consumption'!CL113</f>
        <v/>
      </c>
      <c r="CO22" s="268">
        <f>'Daily Consumption'!CM113</f>
        <v/>
      </c>
      <c r="CP22" s="268">
        <f>'Daily Consumption'!CN113</f>
        <v/>
      </c>
      <c r="CQ22" s="268">
        <f>'Daily Consumption'!CO113</f>
        <v/>
      </c>
      <c r="CR22" s="268">
        <f>'Daily Consumption'!CP113</f>
        <v/>
      </c>
      <c r="CS22" s="268">
        <f>'Daily Consumption'!CQ113</f>
        <v/>
      </c>
      <c r="CT22" s="268">
        <f>'Daily Consumption'!CR113</f>
        <v/>
      </c>
      <c r="CU22" s="268">
        <f>'Daily Consumption'!CS113</f>
        <v/>
      </c>
      <c r="CV22" s="268">
        <f>'Daily Consumption'!CT113</f>
        <v/>
      </c>
      <c r="CW22" s="268">
        <f>'Daily Consumption'!CU113</f>
        <v/>
      </c>
      <c r="CX22" s="268">
        <f>'Daily Consumption'!CV113</f>
        <v/>
      </c>
      <c r="CY22" s="268">
        <f>'Daily Consumption'!CW113</f>
        <v/>
      </c>
      <c r="CZ22" s="268">
        <f>'Daily Consumption'!CX113</f>
        <v/>
      </c>
      <c r="DA22" s="268">
        <f>'Daily Consumption'!CY113</f>
        <v/>
      </c>
      <c r="DB22" s="268">
        <f>'Daily Consumption'!CZ113</f>
        <v/>
      </c>
      <c r="DC22" s="268">
        <f>'Daily Consumption'!DA113</f>
        <v/>
      </c>
      <c r="DD22" s="268">
        <f>'Daily Consumption'!DB113</f>
        <v/>
      </c>
      <c r="DE22" s="268">
        <f>'Daily Consumption'!DC113</f>
        <v/>
      </c>
      <c r="DF22" s="268">
        <f>'Daily Consumption'!DD113</f>
        <v/>
      </c>
      <c r="DG22" s="268">
        <f>'Daily Consumption'!DE113</f>
        <v/>
      </c>
      <c r="DH22" s="268">
        <f>'Daily Consumption'!DF113</f>
        <v/>
      </c>
      <c r="DI22" s="268">
        <f>'Daily Consumption'!DG113</f>
        <v/>
      </c>
      <c r="DJ22" s="268">
        <f>'Daily Consumption'!DH113</f>
        <v/>
      </c>
      <c r="DK22" s="268">
        <f>'Daily Consumption'!DI113</f>
        <v/>
      </c>
      <c r="DL22" s="268">
        <f>'Daily Consumption'!DJ113</f>
        <v/>
      </c>
      <c r="DM22" s="268">
        <f>'Daily Consumption'!DK113</f>
        <v/>
      </c>
      <c r="DN22" s="268">
        <f>'Daily Consumption'!DL113</f>
        <v/>
      </c>
      <c r="DO22" s="268">
        <f>'Daily Consumption'!DM113</f>
        <v/>
      </c>
      <c r="DP22" s="268">
        <f>'Daily Consumption'!DN113</f>
        <v/>
      </c>
      <c r="DQ22" s="268">
        <f>'Daily Consumption'!DO113</f>
        <v/>
      </c>
      <c r="DR22" s="268">
        <f>'Daily Consumption'!DP113</f>
        <v/>
      </c>
      <c r="DS22" s="268">
        <f>'Daily Consumption'!DQ113</f>
        <v/>
      </c>
      <c r="DT22" s="268">
        <f>'Daily Consumption'!DR113</f>
        <v/>
      </c>
      <c r="DU22" s="268">
        <f>'Daily Consumption'!DS113</f>
        <v/>
      </c>
      <c r="DV22" s="268">
        <f>'Daily Consumption'!DT113</f>
        <v/>
      </c>
      <c r="DW22" s="268">
        <f>'Daily Consumption'!DU113</f>
        <v/>
      </c>
      <c r="DX22" s="268">
        <f>'Daily Consumption'!DV113</f>
        <v/>
      </c>
      <c r="DY22" s="268">
        <f>'Daily Consumption'!DW113</f>
        <v/>
      </c>
      <c r="DZ22" s="268">
        <f>'Daily Consumption'!DX113</f>
        <v/>
      </c>
      <c r="EA22" s="268">
        <f>'Daily Consumption'!DY113</f>
        <v/>
      </c>
      <c r="EB22" s="268">
        <f>'Daily Consumption'!DZ113</f>
        <v/>
      </c>
      <c r="EC22" s="268">
        <f>'Daily Consumption'!EA113</f>
        <v/>
      </c>
      <c r="ED22" s="268">
        <f>'Daily Consumption'!EB113</f>
        <v/>
      </c>
      <c r="EE22" s="268">
        <f>'Daily Consumption'!EC113</f>
        <v/>
      </c>
      <c r="EF22" s="268">
        <f>'Daily Consumption'!ED113</f>
        <v/>
      </c>
      <c r="EG22" s="268">
        <f>'Daily Consumption'!EE113</f>
        <v/>
      </c>
      <c r="EH22" s="268">
        <f>'Daily Consumption'!EF113</f>
        <v/>
      </c>
      <c r="EI22" s="268">
        <f>'Daily Consumption'!EG113</f>
        <v/>
      </c>
      <c r="EJ22" s="268">
        <f>'Daily Consumption'!EH113</f>
        <v/>
      </c>
      <c r="EK22" s="268">
        <f>'Daily Consumption'!EI113</f>
        <v/>
      </c>
      <c r="EL22" s="268">
        <f>'Daily Consumption'!EJ113</f>
        <v/>
      </c>
      <c r="EM22" s="268">
        <f>'Daily Consumption'!EK113</f>
        <v/>
      </c>
      <c r="EN22" s="268">
        <f>'Daily Consumption'!EL113</f>
        <v/>
      </c>
      <c r="EO22" s="268">
        <f>'Daily Consumption'!EM113</f>
        <v/>
      </c>
      <c r="EP22" s="268">
        <f>'Daily Consumption'!EN113</f>
        <v/>
      </c>
      <c r="EQ22" s="268">
        <f>'Daily Consumption'!EO113</f>
        <v/>
      </c>
      <c r="ER22" s="268">
        <f>'Daily Consumption'!EP113</f>
        <v/>
      </c>
      <c r="ES22" s="268">
        <f>'Daily Consumption'!EQ113</f>
        <v/>
      </c>
      <c r="ET22" s="268">
        <f>'Daily Consumption'!ER113</f>
        <v/>
      </c>
      <c r="EU22" s="268">
        <f>'Daily Consumption'!ES113</f>
        <v/>
      </c>
      <c r="EV22" s="268">
        <f>'Daily Consumption'!ET113</f>
        <v/>
      </c>
      <c r="EW22" s="268">
        <f>'Daily Consumption'!EU113</f>
        <v/>
      </c>
      <c r="EX22" s="268">
        <f>'Daily Consumption'!EV113</f>
        <v/>
      </c>
      <c r="EY22" s="268">
        <f>'Daily Consumption'!EW113</f>
        <v/>
      </c>
      <c r="EZ22" s="268">
        <f>'Daily Consumption'!EX113</f>
        <v/>
      </c>
      <c r="FA22" s="268">
        <f>'Daily Consumption'!EY113</f>
        <v/>
      </c>
      <c r="FB22" s="268">
        <f>'Daily Consumption'!EZ113</f>
        <v/>
      </c>
      <c r="FC22" s="268">
        <f>'Daily Consumption'!FA113</f>
        <v/>
      </c>
      <c r="FD22" s="268">
        <f>'Daily Consumption'!FB113</f>
        <v/>
      </c>
      <c r="FE22" s="268">
        <f>'Daily Consumption'!FC113</f>
        <v/>
      </c>
      <c r="FF22" s="268">
        <f>'Daily Consumption'!FD113</f>
        <v/>
      </c>
      <c r="FG22" s="268">
        <f>'Daily Consumption'!FE113</f>
        <v/>
      </c>
      <c r="FH22" s="268">
        <f>'Daily Consumption'!FF113</f>
        <v/>
      </c>
      <c r="FI22" s="268">
        <f>'Daily Consumption'!FG113</f>
        <v/>
      </c>
      <c r="FJ22" s="268">
        <f>'Daily Consumption'!FH113</f>
        <v/>
      </c>
      <c r="FK22" s="268">
        <f>'Daily Consumption'!FI113</f>
        <v/>
      </c>
      <c r="FL22" s="268">
        <f>'Daily Consumption'!FJ113</f>
        <v/>
      </c>
      <c r="FM22" s="268">
        <f>'Daily Consumption'!FK113</f>
        <v/>
      </c>
      <c r="FN22" s="268">
        <f>'Daily Consumption'!FL113</f>
        <v/>
      </c>
      <c r="FO22" s="268">
        <f>'Daily Consumption'!FM113</f>
        <v/>
      </c>
      <c r="FP22" s="268">
        <f>'Daily Consumption'!FN113</f>
        <v/>
      </c>
      <c r="FQ22" s="268">
        <f>'Daily Consumption'!FO113</f>
        <v/>
      </c>
      <c r="FR22" s="268">
        <f>'Daily Consumption'!FP113</f>
        <v/>
      </c>
      <c r="FS22" s="268">
        <f>'Daily Consumption'!FQ113</f>
        <v/>
      </c>
      <c r="FT22" s="268">
        <f>'Daily Consumption'!FR113</f>
        <v/>
      </c>
      <c r="FU22" s="268">
        <f>'Daily Consumption'!FS113</f>
        <v/>
      </c>
      <c r="FV22" s="268">
        <f>'Daily Consumption'!FT113</f>
        <v/>
      </c>
      <c r="FW22" s="268">
        <f>'Daily Consumption'!FU113</f>
        <v/>
      </c>
      <c r="FX22" s="268">
        <f>'Daily Consumption'!FV113</f>
        <v/>
      </c>
      <c r="FY22" s="268">
        <f>'Daily Consumption'!FW113</f>
        <v/>
      </c>
      <c r="FZ22" s="268">
        <f>'Daily Consumption'!FX113</f>
        <v/>
      </c>
      <c r="GA22" s="268">
        <f>'Daily Consumption'!FY113</f>
        <v/>
      </c>
      <c r="GB22" s="268">
        <f>'Daily Consumption'!FZ113</f>
        <v/>
      </c>
      <c r="GC22" s="268">
        <f>'Daily Consumption'!GA113</f>
        <v/>
      </c>
      <c r="GD22" s="268">
        <f>'Daily Consumption'!GB113</f>
        <v/>
      </c>
      <c r="GE22" s="268">
        <f>'Daily Consumption'!GC113</f>
        <v/>
      </c>
      <c r="GF22" s="268">
        <f>'Daily Consumption'!GD113</f>
        <v/>
      </c>
      <c r="GG22" s="268">
        <f>'Daily Consumption'!GE113</f>
        <v/>
      </c>
      <c r="GH22" s="268">
        <f>'Daily Consumption'!GF113</f>
        <v/>
      </c>
      <c r="GI22" s="268">
        <f>'Daily Consumption'!GG113</f>
        <v/>
      </c>
      <c r="GJ22" s="268">
        <f>'Daily Consumption'!GH113</f>
        <v/>
      </c>
      <c r="GK22" s="268">
        <f>'Daily Consumption'!GI113</f>
        <v/>
      </c>
      <c r="GL22" s="268">
        <f>'Daily Consumption'!GJ113</f>
        <v/>
      </c>
      <c r="GM22" s="268">
        <f>'Daily Consumption'!GK113</f>
        <v/>
      </c>
      <c r="GN22" s="268">
        <f>'Daily Consumption'!GL113</f>
        <v/>
      </c>
      <c r="GO22" s="268">
        <f>'Daily Consumption'!GM113</f>
        <v/>
      </c>
      <c r="GP22" s="268">
        <f>'Daily Consumption'!GN113</f>
        <v/>
      </c>
      <c r="GQ22" s="268">
        <f>'Daily Consumption'!GO113</f>
        <v/>
      </c>
      <c r="GR22" s="268">
        <f>'Daily Consumption'!GP113</f>
        <v/>
      </c>
      <c r="GS22" s="268">
        <f>'Daily Consumption'!GQ113</f>
        <v/>
      </c>
      <c r="GT22" s="268">
        <f>'Daily Consumption'!GR113</f>
        <v/>
      </c>
      <c r="GU22" s="268">
        <f>'Daily Consumption'!GS113</f>
        <v/>
      </c>
      <c r="GV22" s="268">
        <f>'Daily Consumption'!GT113</f>
        <v/>
      </c>
      <c r="GW22" s="268">
        <f>'Daily Consumption'!GU113</f>
        <v/>
      </c>
      <c r="GX22" s="268">
        <f>'Daily Consumption'!GV113</f>
        <v/>
      </c>
      <c r="GY22" s="268">
        <f>'Daily Consumption'!GW113</f>
        <v/>
      </c>
      <c r="GZ22" s="268">
        <f>'Daily Consumption'!GX113</f>
        <v/>
      </c>
      <c r="HA22" s="268">
        <f>'Daily Consumption'!GY113</f>
        <v/>
      </c>
      <c r="HB22" s="268">
        <f>'Daily Consumption'!GZ113</f>
        <v/>
      </c>
      <c r="HC22" s="268">
        <f>'Daily Consumption'!HA113</f>
        <v/>
      </c>
      <c r="HD22" s="268">
        <f>'Daily Consumption'!HB113</f>
        <v/>
      </c>
      <c r="HE22" s="268">
        <f>'Daily Consumption'!HC113</f>
        <v/>
      </c>
      <c r="HF22" s="268">
        <f>'Daily Consumption'!HD113</f>
        <v/>
      </c>
      <c r="HG22" s="268">
        <f>'Daily Consumption'!HE113</f>
        <v/>
      </c>
      <c r="HH22" s="268">
        <f>'Daily Consumption'!HF113</f>
        <v/>
      </c>
      <c r="HI22" s="268">
        <f>'Daily Consumption'!HG113</f>
        <v/>
      </c>
      <c r="HJ22" s="268">
        <f>'Daily Consumption'!HH113</f>
        <v/>
      </c>
      <c r="HK22" s="268">
        <f>'Daily Consumption'!HI113</f>
        <v/>
      </c>
      <c r="HL22" s="268">
        <f>'Daily Consumption'!HJ113</f>
        <v/>
      </c>
      <c r="HM22" s="268">
        <f>'Daily Consumption'!HK113</f>
        <v/>
      </c>
      <c r="HN22" s="268">
        <f>'Daily Consumption'!HL113</f>
        <v/>
      </c>
      <c r="HO22" s="268">
        <f>'Daily Consumption'!HM113</f>
        <v/>
      </c>
      <c r="HP22" s="268">
        <f>'Daily Consumption'!HN113</f>
        <v/>
      </c>
      <c r="HQ22" s="268">
        <f>'Daily Consumption'!HO113</f>
        <v/>
      </c>
      <c r="HR22" s="268">
        <f>'Daily Consumption'!HP113</f>
        <v/>
      </c>
      <c r="HS22" s="268">
        <f>'Daily Consumption'!HQ113</f>
        <v/>
      </c>
      <c r="HT22" s="268">
        <f>'Daily Consumption'!HR113</f>
        <v/>
      </c>
      <c r="HU22" s="268">
        <f>'Daily Consumption'!HS113</f>
        <v/>
      </c>
      <c r="HV22" s="268">
        <f>'Daily Consumption'!HT113</f>
        <v/>
      </c>
      <c r="HW22" s="268">
        <f>'Daily Consumption'!HU113</f>
        <v/>
      </c>
      <c r="HX22" s="268">
        <f>'Daily Consumption'!HV113</f>
        <v/>
      </c>
      <c r="HY22" s="268">
        <f>'Daily Consumption'!HW113</f>
        <v/>
      </c>
      <c r="HZ22" s="268">
        <f>'Daily Consumption'!HX113</f>
        <v/>
      </c>
      <c r="IA22" s="268">
        <f>'Daily Consumption'!HY113</f>
        <v/>
      </c>
      <c r="IB22" s="268">
        <f>'Daily Consumption'!HZ113</f>
        <v/>
      </c>
      <c r="IC22" s="268">
        <f>'Daily Consumption'!IA113</f>
        <v/>
      </c>
      <c r="ID22" s="268">
        <f>'Daily Consumption'!IB113</f>
        <v/>
      </c>
      <c r="IE22" s="268">
        <f>'Daily Consumption'!IC113</f>
        <v/>
      </c>
      <c r="IF22" s="268">
        <f>'Daily Consumption'!ID113</f>
        <v/>
      </c>
      <c r="IG22" s="268">
        <f>'Daily Consumption'!IE113</f>
        <v/>
      </c>
      <c r="IH22" s="268">
        <f>'Daily Consumption'!IF113</f>
        <v/>
      </c>
      <c r="II22" s="268">
        <f>'Daily Consumption'!IG113</f>
        <v/>
      </c>
      <c r="IJ22" s="268">
        <f>'Daily Consumption'!IH113</f>
        <v/>
      </c>
      <c r="IK22" s="268">
        <f>'Daily Consumption'!II113</f>
        <v/>
      </c>
      <c r="IL22" s="268">
        <f>'Daily Consumption'!IJ113</f>
        <v/>
      </c>
      <c r="IM22" s="268">
        <f>'Daily Consumption'!IK113</f>
        <v/>
      </c>
      <c r="IN22" s="268">
        <f>'Daily Consumption'!IL113</f>
        <v/>
      </c>
      <c r="IO22" s="268">
        <f>'Daily Consumption'!IM113</f>
        <v/>
      </c>
      <c r="IP22" s="268">
        <f>'Daily Consumption'!IN113</f>
        <v/>
      </c>
      <c r="IQ22" s="268">
        <f>'Daily Consumption'!IO113</f>
        <v/>
      </c>
      <c r="IR22" s="268">
        <f>'Daily Consumption'!IP113</f>
        <v/>
      </c>
      <c r="IS22" s="268">
        <f>'Daily Consumption'!IQ113</f>
        <v/>
      </c>
      <c r="IT22" s="268">
        <f>'Daily Consumption'!IR113</f>
        <v/>
      </c>
      <c r="IU22" s="268">
        <f>'Daily Consumption'!IS113</f>
        <v/>
      </c>
      <c r="IV22" s="268">
        <f>'Daily Consumption'!IT113</f>
        <v/>
      </c>
      <c r="IW22" s="268">
        <f>'Daily Consumption'!IU113</f>
        <v/>
      </c>
      <c r="IX22" s="268">
        <f>'Daily Consumption'!IV113</f>
        <v/>
      </c>
      <c r="IY22" s="268">
        <f>'Daily Consumption'!IW113</f>
        <v/>
      </c>
      <c r="IZ22" s="268">
        <f>'Daily Consumption'!IX113</f>
        <v/>
      </c>
      <c r="JA22" s="268">
        <f>'Daily Consumption'!IY113</f>
        <v/>
      </c>
      <c r="JB22" s="268">
        <f>'Daily Consumption'!IZ113</f>
        <v/>
      </c>
      <c r="JC22" s="268">
        <f>'Daily Consumption'!JA113</f>
        <v/>
      </c>
      <c r="JD22" s="268">
        <f>'Daily Consumption'!JB113</f>
        <v/>
      </c>
      <c r="JE22" s="268">
        <f>'Daily Consumption'!JC113</f>
        <v/>
      </c>
      <c r="JF22" s="268">
        <f>'Daily Consumption'!JD113</f>
        <v/>
      </c>
      <c r="JG22" s="268">
        <f>'Daily Consumption'!JE113</f>
        <v/>
      </c>
      <c r="JH22" s="268">
        <f>'Daily Consumption'!JF113</f>
        <v/>
      </c>
      <c r="JI22" s="268">
        <f>'Daily Consumption'!JG113</f>
        <v/>
      </c>
      <c r="JJ22" s="268">
        <f>'Daily Consumption'!JH113</f>
        <v/>
      </c>
      <c r="JK22" s="268">
        <f>'Daily Consumption'!JI113</f>
        <v/>
      </c>
      <c r="JL22" s="268">
        <f>'Daily Consumption'!JJ113</f>
        <v/>
      </c>
      <c r="JM22" s="268">
        <f>'Daily Consumption'!JK113</f>
        <v/>
      </c>
      <c r="JN22" s="268">
        <f>'Daily Consumption'!JL113</f>
        <v/>
      </c>
      <c r="JO22" s="268">
        <f>'Daily Consumption'!JM113</f>
        <v/>
      </c>
      <c r="JP22" s="268">
        <f>'Daily Consumption'!JN113</f>
        <v/>
      </c>
      <c r="JQ22" s="268">
        <f>'Daily Consumption'!JO113</f>
        <v/>
      </c>
      <c r="JR22" s="268">
        <f>'Daily Consumption'!JP113</f>
        <v/>
      </c>
      <c r="JS22" s="268">
        <f>'Daily Consumption'!JQ113</f>
        <v/>
      </c>
      <c r="JT22" s="268">
        <f>'Daily Consumption'!JR113</f>
        <v/>
      </c>
      <c r="JU22" s="268">
        <f>'Daily Consumption'!JS113</f>
        <v/>
      </c>
      <c r="JV22" s="268">
        <f>'Daily Consumption'!JT113</f>
        <v/>
      </c>
      <c r="JW22" s="268">
        <f>'Daily Consumption'!JU113</f>
        <v/>
      </c>
      <c r="JX22" s="268">
        <f>'Daily Consumption'!JV113</f>
        <v/>
      </c>
      <c r="JY22" s="268">
        <f>'Daily Consumption'!JW113</f>
        <v/>
      </c>
      <c r="JZ22" s="268">
        <f>'Daily Consumption'!JX113</f>
        <v/>
      </c>
      <c r="KA22" s="268">
        <f>'Daily Consumption'!JY113</f>
        <v/>
      </c>
      <c r="KB22" s="268">
        <f>'Daily Consumption'!JZ113</f>
        <v/>
      </c>
      <c r="KC22" s="268">
        <f>'Daily Consumption'!KA113</f>
        <v/>
      </c>
      <c r="KD22" s="268">
        <f>'Daily Consumption'!KB113</f>
        <v/>
      </c>
      <c r="KE22" s="268">
        <f>'Daily Consumption'!KC113</f>
        <v/>
      </c>
      <c r="KF22" s="268">
        <f>'Daily Consumption'!KD113</f>
        <v/>
      </c>
      <c r="KG22" s="268">
        <f>'Daily Consumption'!KE113</f>
        <v/>
      </c>
      <c r="KH22" s="268">
        <f>'Daily Consumption'!KF113</f>
        <v/>
      </c>
      <c r="KI22" s="268">
        <f>'Daily Consumption'!KG113</f>
        <v/>
      </c>
      <c r="KJ22" s="268">
        <f>'Daily Consumption'!KH113</f>
        <v/>
      </c>
      <c r="KK22" s="268">
        <f>'Daily Consumption'!KI113</f>
        <v/>
      </c>
      <c r="KL22" s="268">
        <f>'Daily Consumption'!KJ113</f>
        <v/>
      </c>
      <c r="KM22" s="268">
        <f>'Daily Consumption'!KK113</f>
        <v/>
      </c>
      <c r="KN22" s="268">
        <f>'Daily Consumption'!KL113</f>
        <v/>
      </c>
      <c r="KO22" s="268">
        <f>'Daily Consumption'!KM113</f>
        <v/>
      </c>
      <c r="KP22" s="268">
        <f>'Daily Consumption'!KN113</f>
        <v/>
      </c>
      <c r="KQ22" s="268">
        <f>'Daily Consumption'!KO113</f>
        <v/>
      </c>
      <c r="KR22" s="268">
        <f>'Daily Consumption'!KP113</f>
        <v/>
      </c>
      <c r="KS22" s="268">
        <f>'Daily Consumption'!KQ113</f>
        <v/>
      </c>
      <c r="KT22" s="268">
        <f>'Daily Consumption'!KR113</f>
        <v/>
      </c>
      <c r="KU22" s="268">
        <f>'Daily Consumption'!KS113</f>
        <v/>
      </c>
      <c r="KV22" s="268">
        <f>'Daily Consumption'!KT113</f>
        <v/>
      </c>
      <c r="KW22" s="268">
        <f>'Daily Consumption'!KU113</f>
        <v/>
      </c>
      <c r="KX22" s="268">
        <f>'Daily Consumption'!KV113</f>
        <v/>
      </c>
      <c r="KY22" s="268">
        <f>'Daily Consumption'!KW113</f>
        <v/>
      </c>
      <c r="KZ22" s="268">
        <f>'Daily Consumption'!KX113</f>
        <v/>
      </c>
      <c r="LA22" s="268">
        <f>'Daily Consumption'!KY113</f>
        <v/>
      </c>
      <c r="LB22" s="268">
        <f>'Daily Consumption'!KZ113</f>
        <v/>
      </c>
      <c r="LC22" s="268">
        <f>'Daily Consumption'!LA113</f>
        <v/>
      </c>
      <c r="LD22" s="268">
        <f>'Daily Consumption'!LB113</f>
        <v/>
      </c>
      <c r="LE22" s="268">
        <f>'Daily Consumption'!LC113</f>
        <v/>
      </c>
      <c r="LF22" s="268">
        <f>'Daily Consumption'!LD113</f>
        <v/>
      </c>
      <c r="LG22" s="268">
        <f>'Daily Consumption'!LE113</f>
        <v/>
      </c>
      <c r="LH22" s="268">
        <f>'Daily Consumption'!LF113</f>
        <v/>
      </c>
      <c r="LI22" s="268">
        <f>'Daily Consumption'!LG113</f>
        <v/>
      </c>
      <c r="LJ22" s="268">
        <f>'Daily Consumption'!LH113</f>
        <v/>
      </c>
      <c r="LK22" s="268">
        <f>'Daily Consumption'!LI113</f>
        <v/>
      </c>
      <c r="LL22" s="268">
        <f>'Daily Consumption'!LJ113</f>
        <v/>
      </c>
      <c r="LM22" s="268">
        <f>'Daily Consumption'!LK113</f>
        <v/>
      </c>
      <c r="LN22" s="268">
        <f>'Daily Consumption'!LL113</f>
        <v/>
      </c>
      <c r="LO22" s="268">
        <f>'Daily Consumption'!LM113</f>
        <v/>
      </c>
      <c r="LP22" s="268">
        <f>'Daily Consumption'!LN113</f>
        <v/>
      </c>
      <c r="LQ22" s="268">
        <f>'Daily Consumption'!LO113</f>
        <v/>
      </c>
      <c r="LR22" s="268">
        <f>'Daily Consumption'!LP113</f>
        <v/>
      </c>
      <c r="LS22" s="268">
        <f>'Daily Consumption'!LQ113</f>
        <v/>
      </c>
      <c r="LT22" s="268">
        <f>'Daily Consumption'!LR113</f>
        <v/>
      </c>
      <c r="LU22" s="268">
        <f>'Daily Consumption'!LS113</f>
        <v/>
      </c>
      <c r="LV22" s="268">
        <f>'Daily Consumption'!LT113</f>
        <v/>
      </c>
      <c r="LW22" s="268">
        <f>'Daily Consumption'!LU113</f>
        <v/>
      </c>
      <c r="LX22" s="268">
        <f>'Daily Consumption'!LV113</f>
        <v/>
      </c>
      <c r="LY22" s="268">
        <f>'Daily Consumption'!LW113</f>
        <v/>
      </c>
      <c r="LZ22" s="268">
        <f>'Daily Consumption'!LX113</f>
        <v/>
      </c>
      <c r="MA22" s="268">
        <f>'Daily Consumption'!LY113</f>
        <v/>
      </c>
      <c r="MB22" s="268">
        <f>'Daily Consumption'!LZ113</f>
        <v/>
      </c>
      <c r="MC22" s="268">
        <f>'Daily Consumption'!MA113</f>
        <v/>
      </c>
      <c r="MD22" s="268">
        <f>'Daily Consumption'!MB113</f>
        <v/>
      </c>
      <c r="ME22" s="268">
        <f>'Daily Consumption'!MC113</f>
        <v/>
      </c>
      <c r="MF22" s="268">
        <f>'Daily Consumption'!MD113</f>
        <v/>
      </c>
      <c r="MG22" s="268">
        <f>'Daily Consumption'!ME113</f>
        <v/>
      </c>
      <c r="MH22" s="268">
        <f>'Daily Consumption'!MF113</f>
        <v/>
      </c>
      <c r="MI22" s="268">
        <f>'Daily Consumption'!MG113</f>
        <v/>
      </c>
      <c r="MJ22" s="268">
        <f>'Daily Consumption'!MH113</f>
        <v/>
      </c>
      <c r="MK22" s="268">
        <f>'Daily Consumption'!MI113</f>
        <v/>
      </c>
      <c r="ML22" s="268">
        <f>'Daily Consumption'!MJ113</f>
        <v/>
      </c>
      <c r="MM22" s="268">
        <f>'Daily Consumption'!MK113</f>
        <v/>
      </c>
      <c r="MN22" s="268">
        <f>'Daily Consumption'!ML113</f>
        <v/>
      </c>
      <c r="MO22" s="268">
        <f>'Daily Consumption'!MM113</f>
        <v/>
      </c>
      <c r="MP22" s="268">
        <f>'Daily Consumption'!MN113</f>
        <v/>
      </c>
      <c r="MQ22" s="268">
        <f>'Daily Consumption'!MO113</f>
        <v/>
      </c>
      <c r="MR22" s="268">
        <f>'Daily Consumption'!MP113</f>
        <v/>
      </c>
      <c r="MS22" s="268">
        <f>'Daily Consumption'!MQ113</f>
        <v/>
      </c>
      <c r="MT22" s="268">
        <f>'Daily Consumption'!MR113</f>
        <v/>
      </c>
      <c r="MU22" s="268">
        <f>'Daily Consumption'!MS113</f>
        <v/>
      </c>
      <c r="MV22" s="268">
        <f>'Daily Consumption'!MT113</f>
        <v/>
      </c>
      <c r="MW22" s="268">
        <f>'Daily Consumption'!MU113</f>
        <v/>
      </c>
      <c r="MX22" s="268">
        <f>'Daily Consumption'!MV113</f>
        <v/>
      </c>
      <c r="MY22" s="268">
        <f>'Daily Consumption'!MW113</f>
        <v/>
      </c>
      <c r="MZ22" s="268">
        <f>'Daily Consumption'!MX113</f>
        <v/>
      </c>
      <c r="NA22" s="268">
        <f>'Daily Consumption'!MY113</f>
        <v/>
      </c>
      <c r="NB22" s="268">
        <f>'Daily Consumption'!MZ113</f>
        <v/>
      </c>
      <c r="NC22" s="268">
        <f>'Daily Consumption'!NA113</f>
        <v/>
      </c>
      <c r="ND22" s="268">
        <f>'Daily Consumption'!NB113</f>
        <v/>
      </c>
      <c r="NE22" s="256" t="n"/>
    </row>
    <row r="23" ht="15" customHeight="1" s="166">
      <c r="A23" s="269" t="n"/>
      <c r="B23" s="270" t="inlineStr">
        <is>
          <t>Hotel Guests</t>
        </is>
      </c>
      <c r="C23" s="271" t="n"/>
      <c r="D23" s="272">
        <f>'Daily Consumption'!B114</f>
        <v/>
      </c>
      <c r="E23" s="272">
        <f>'Daily Consumption'!C114</f>
        <v/>
      </c>
      <c r="F23" s="272">
        <f>'Daily Consumption'!D114</f>
        <v/>
      </c>
      <c r="G23" s="272">
        <f>'Daily Consumption'!E114</f>
        <v/>
      </c>
      <c r="H23" s="272">
        <f>'Daily Consumption'!F114</f>
        <v/>
      </c>
      <c r="I23" s="272">
        <f>'Daily Consumption'!G114</f>
        <v/>
      </c>
      <c r="J23" s="272">
        <f>'Daily Consumption'!H114</f>
        <v/>
      </c>
      <c r="K23" s="272">
        <f>'Daily Consumption'!I114</f>
        <v/>
      </c>
      <c r="L23" s="272">
        <f>'Daily Consumption'!J114</f>
        <v/>
      </c>
      <c r="M23" s="272">
        <f>'Daily Consumption'!K114</f>
        <v/>
      </c>
      <c r="N23" s="272">
        <f>'Daily Consumption'!L114</f>
        <v/>
      </c>
      <c r="O23" s="272">
        <f>'Daily Consumption'!M114</f>
        <v/>
      </c>
      <c r="P23" s="272">
        <f>'Daily Consumption'!N114</f>
        <v/>
      </c>
      <c r="Q23" s="272">
        <f>'Daily Consumption'!O114</f>
        <v/>
      </c>
      <c r="R23" s="272">
        <f>'Daily Consumption'!P114</f>
        <v/>
      </c>
      <c r="S23" s="272">
        <f>'Daily Consumption'!Q114</f>
        <v/>
      </c>
      <c r="T23" s="272">
        <f>'Daily Consumption'!R114</f>
        <v/>
      </c>
      <c r="U23" s="272">
        <f>'Daily Consumption'!S114</f>
        <v/>
      </c>
      <c r="V23" s="272">
        <f>'Daily Consumption'!T114</f>
        <v/>
      </c>
      <c r="W23" s="272">
        <f>'Daily Consumption'!U114</f>
        <v/>
      </c>
      <c r="X23" s="272">
        <f>'Daily Consumption'!V114</f>
        <v/>
      </c>
      <c r="Y23" s="272">
        <f>'Daily Consumption'!W114</f>
        <v/>
      </c>
      <c r="Z23" s="272">
        <f>'Daily Consumption'!X114</f>
        <v/>
      </c>
      <c r="AA23" s="272">
        <f>'Daily Consumption'!Y114</f>
        <v/>
      </c>
      <c r="AB23" s="272">
        <f>'Daily Consumption'!Z114</f>
        <v/>
      </c>
      <c r="AC23" s="272">
        <f>'Daily Consumption'!AA114</f>
        <v/>
      </c>
      <c r="AD23" s="272">
        <f>'Daily Consumption'!AB114</f>
        <v/>
      </c>
      <c r="AE23" s="272">
        <f>'Daily Consumption'!AC114</f>
        <v/>
      </c>
      <c r="AF23" s="272">
        <f>'Daily Consumption'!AD114</f>
        <v/>
      </c>
      <c r="AG23" s="272">
        <f>'Daily Consumption'!AE114</f>
        <v/>
      </c>
      <c r="AH23" s="272">
        <f>'Daily Consumption'!AF114</f>
        <v/>
      </c>
      <c r="AI23" s="272">
        <f>'Daily Consumption'!AG114</f>
        <v/>
      </c>
      <c r="AJ23" s="272">
        <f>'Daily Consumption'!AH114</f>
        <v/>
      </c>
      <c r="AK23" s="272">
        <f>'Daily Consumption'!AI114</f>
        <v/>
      </c>
      <c r="AL23" s="272">
        <f>'Daily Consumption'!AJ114</f>
        <v/>
      </c>
      <c r="AM23" s="272">
        <f>'Daily Consumption'!AK114</f>
        <v/>
      </c>
      <c r="AN23" s="272">
        <f>'Daily Consumption'!AL114</f>
        <v/>
      </c>
      <c r="AO23" s="272">
        <f>'Daily Consumption'!AM114</f>
        <v/>
      </c>
      <c r="AP23" s="272">
        <f>'Daily Consumption'!AN114</f>
        <v/>
      </c>
      <c r="AQ23" s="272">
        <f>'Daily Consumption'!AO114</f>
        <v/>
      </c>
      <c r="AR23" s="272">
        <f>'Daily Consumption'!AP114</f>
        <v/>
      </c>
      <c r="AS23" s="272">
        <f>'Daily Consumption'!AQ114</f>
        <v/>
      </c>
      <c r="AT23" s="272">
        <f>'Daily Consumption'!AR114</f>
        <v/>
      </c>
      <c r="AU23" s="272">
        <f>'Daily Consumption'!AS114</f>
        <v/>
      </c>
      <c r="AV23" s="272">
        <f>'Daily Consumption'!AT114</f>
        <v/>
      </c>
      <c r="AW23" s="272">
        <f>'Daily Consumption'!AU114</f>
        <v/>
      </c>
      <c r="AX23" s="272">
        <f>'Daily Consumption'!AV114</f>
        <v/>
      </c>
      <c r="AY23" s="272">
        <f>'Daily Consumption'!AW114</f>
        <v/>
      </c>
      <c r="AZ23" s="272">
        <f>'Daily Consumption'!AX114</f>
        <v/>
      </c>
      <c r="BA23" s="272">
        <f>'Daily Consumption'!AY114</f>
        <v/>
      </c>
      <c r="BB23" s="272">
        <f>'Daily Consumption'!AZ114</f>
        <v/>
      </c>
      <c r="BC23" s="272">
        <f>'Daily Consumption'!BA114</f>
        <v/>
      </c>
      <c r="BD23" s="272">
        <f>'Daily Consumption'!BB114</f>
        <v/>
      </c>
      <c r="BE23" s="272">
        <f>'Daily Consumption'!BC114</f>
        <v/>
      </c>
      <c r="BF23" s="272">
        <f>'Daily Consumption'!BD114</f>
        <v/>
      </c>
      <c r="BG23" s="272">
        <f>'Daily Consumption'!BE114</f>
        <v/>
      </c>
      <c r="BH23" s="272">
        <f>'Daily Consumption'!BF114</f>
        <v/>
      </c>
      <c r="BI23" s="272">
        <f>'Daily Consumption'!BG114</f>
        <v/>
      </c>
      <c r="BJ23" s="272">
        <f>'Daily Consumption'!BH114</f>
        <v/>
      </c>
      <c r="BK23" s="272">
        <f>'Daily Consumption'!BI114</f>
        <v/>
      </c>
      <c r="BL23" s="272">
        <f>'Daily Consumption'!BJ114</f>
        <v/>
      </c>
      <c r="BM23" s="272">
        <f>'Daily Consumption'!BK114</f>
        <v/>
      </c>
      <c r="BN23" s="272">
        <f>'Daily Consumption'!BL114</f>
        <v/>
      </c>
      <c r="BO23" s="272">
        <f>'Daily Consumption'!BM114</f>
        <v/>
      </c>
      <c r="BP23" s="272">
        <f>'Daily Consumption'!BN114</f>
        <v/>
      </c>
      <c r="BQ23" s="272">
        <f>'Daily Consumption'!BO114</f>
        <v/>
      </c>
      <c r="BR23" s="272">
        <f>'Daily Consumption'!BP114</f>
        <v/>
      </c>
      <c r="BS23" s="272">
        <f>'Daily Consumption'!BQ114</f>
        <v/>
      </c>
      <c r="BT23" s="272">
        <f>'Daily Consumption'!BR114</f>
        <v/>
      </c>
      <c r="BU23" s="272">
        <f>'Daily Consumption'!BS114</f>
        <v/>
      </c>
      <c r="BV23" s="272">
        <f>'Daily Consumption'!BT114</f>
        <v/>
      </c>
      <c r="BW23" s="272">
        <f>'Daily Consumption'!BU114</f>
        <v/>
      </c>
      <c r="BX23" s="272">
        <f>'Daily Consumption'!BV114</f>
        <v/>
      </c>
      <c r="BY23" s="272">
        <f>'Daily Consumption'!BW114</f>
        <v/>
      </c>
      <c r="BZ23" s="272">
        <f>'Daily Consumption'!BX114</f>
        <v/>
      </c>
      <c r="CA23" s="272">
        <f>'Daily Consumption'!BY114</f>
        <v/>
      </c>
      <c r="CB23" s="272">
        <f>'Daily Consumption'!BZ114</f>
        <v/>
      </c>
      <c r="CC23" s="272">
        <f>'Daily Consumption'!CA114</f>
        <v/>
      </c>
      <c r="CD23" s="272">
        <f>'Daily Consumption'!CB114</f>
        <v/>
      </c>
      <c r="CE23" s="272">
        <f>'Daily Consumption'!CC114</f>
        <v/>
      </c>
      <c r="CF23" s="272">
        <f>'Daily Consumption'!CD114</f>
        <v/>
      </c>
      <c r="CG23" s="272">
        <f>'Daily Consumption'!CE114</f>
        <v/>
      </c>
      <c r="CH23" s="272">
        <f>'Daily Consumption'!CF114</f>
        <v/>
      </c>
      <c r="CI23" s="272">
        <f>'Daily Consumption'!CG114</f>
        <v/>
      </c>
      <c r="CJ23" s="272">
        <f>'Daily Consumption'!CH114</f>
        <v/>
      </c>
      <c r="CK23" s="272">
        <f>'Daily Consumption'!CI114</f>
        <v/>
      </c>
      <c r="CL23" s="272">
        <f>'Daily Consumption'!CJ114</f>
        <v/>
      </c>
      <c r="CM23" s="272">
        <f>'Daily Consumption'!CK114</f>
        <v/>
      </c>
      <c r="CN23" s="272">
        <f>'Daily Consumption'!CL114</f>
        <v/>
      </c>
      <c r="CO23" s="272">
        <f>'Daily Consumption'!CM114</f>
        <v/>
      </c>
      <c r="CP23" s="272">
        <f>'Daily Consumption'!CN114</f>
        <v/>
      </c>
      <c r="CQ23" s="272">
        <f>'Daily Consumption'!CO114</f>
        <v/>
      </c>
      <c r="CR23" s="272">
        <f>'Daily Consumption'!CP114</f>
        <v/>
      </c>
      <c r="CS23" s="272">
        <f>'Daily Consumption'!CQ114</f>
        <v/>
      </c>
      <c r="CT23" s="272">
        <f>'Daily Consumption'!CR114</f>
        <v/>
      </c>
      <c r="CU23" s="272">
        <f>'Daily Consumption'!CS114</f>
        <v/>
      </c>
      <c r="CV23" s="272">
        <f>'Daily Consumption'!CT114</f>
        <v/>
      </c>
      <c r="CW23" s="272">
        <f>'Daily Consumption'!CU114</f>
        <v/>
      </c>
      <c r="CX23" s="272">
        <f>'Daily Consumption'!CV114</f>
        <v/>
      </c>
      <c r="CY23" s="272">
        <f>'Daily Consumption'!CW114</f>
        <v/>
      </c>
      <c r="CZ23" s="272">
        <f>'Daily Consumption'!CX114</f>
        <v/>
      </c>
      <c r="DA23" s="272">
        <f>'Daily Consumption'!CY114</f>
        <v/>
      </c>
      <c r="DB23" s="272">
        <f>'Daily Consumption'!CZ114</f>
        <v/>
      </c>
      <c r="DC23" s="272">
        <f>'Daily Consumption'!DA114</f>
        <v/>
      </c>
      <c r="DD23" s="272">
        <f>'Daily Consumption'!DB114</f>
        <v/>
      </c>
      <c r="DE23" s="272">
        <f>'Daily Consumption'!DC114</f>
        <v/>
      </c>
      <c r="DF23" s="272">
        <f>'Daily Consumption'!DD114</f>
        <v/>
      </c>
      <c r="DG23" s="272">
        <f>'Daily Consumption'!DE114</f>
        <v/>
      </c>
      <c r="DH23" s="272">
        <f>'Daily Consumption'!DF114</f>
        <v/>
      </c>
      <c r="DI23" s="272">
        <f>'Daily Consumption'!DG114</f>
        <v/>
      </c>
      <c r="DJ23" s="272">
        <f>'Daily Consumption'!DH114</f>
        <v/>
      </c>
      <c r="DK23" s="272">
        <f>'Daily Consumption'!DI114</f>
        <v/>
      </c>
      <c r="DL23" s="272">
        <f>'Daily Consumption'!DJ114</f>
        <v/>
      </c>
      <c r="DM23" s="272">
        <f>'Daily Consumption'!DK114</f>
        <v/>
      </c>
      <c r="DN23" s="272">
        <f>'Daily Consumption'!DL114</f>
        <v/>
      </c>
      <c r="DO23" s="272">
        <f>'Daily Consumption'!DM114</f>
        <v/>
      </c>
      <c r="DP23" s="272">
        <f>'Daily Consumption'!DN114</f>
        <v/>
      </c>
      <c r="DQ23" s="272">
        <f>'Daily Consumption'!DO114</f>
        <v/>
      </c>
      <c r="DR23" s="272">
        <f>'Daily Consumption'!DP114</f>
        <v/>
      </c>
      <c r="DS23" s="272">
        <f>'Daily Consumption'!DQ114</f>
        <v/>
      </c>
      <c r="DT23" s="272">
        <f>'Daily Consumption'!DR114</f>
        <v/>
      </c>
      <c r="DU23" s="272">
        <f>'Daily Consumption'!DS114</f>
        <v/>
      </c>
      <c r="DV23" s="272">
        <f>'Daily Consumption'!DT114</f>
        <v/>
      </c>
      <c r="DW23" s="272">
        <f>'Daily Consumption'!DU114</f>
        <v/>
      </c>
      <c r="DX23" s="272">
        <f>'Daily Consumption'!DV114</f>
        <v/>
      </c>
      <c r="DY23" s="272">
        <f>'Daily Consumption'!DW114</f>
        <v/>
      </c>
      <c r="DZ23" s="272">
        <f>'Daily Consumption'!DX114</f>
        <v/>
      </c>
      <c r="EA23" s="272">
        <f>'Daily Consumption'!DY114</f>
        <v/>
      </c>
      <c r="EB23" s="272">
        <f>'Daily Consumption'!DZ114</f>
        <v/>
      </c>
      <c r="EC23" s="272">
        <f>'Daily Consumption'!EA114</f>
        <v/>
      </c>
      <c r="ED23" s="272">
        <f>'Daily Consumption'!EB114</f>
        <v/>
      </c>
      <c r="EE23" s="272">
        <f>'Daily Consumption'!EC114</f>
        <v/>
      </c>
      <c r="EF23" s="272">
        <f>'Daily Consumption'!ED114</f>
        <v/>
      </c>
      <c r="EG23" s="272">
        <f>'Daily Consumption'!EE114</f>
        <v/>
      </c>
      <c r="EH23" s="272">
        <f>'Daily Consumption'!EF114</f>
        <v/>
      </c>
      <c r="EI23" s="272">
        <f>'Daily Consumption'!EG114</f>
        <v/>
      </c>
      <c r="EJ23" s="272">
        <f>'Daily Consumption'!EH114</f>
        <v/>
      </c>
      <c r="EK23" s="272">
        <f>'Daily Consumption'!EI114</f>
        <v/>
      </c>
      <c r="EL23" s="272">
        <f>'Daily Consumption'!EJ114</f>
        <v/>
      </c>
      <c r="EM23" s="272">
        <f>'Daily Consumption'!EK114</f>
        <v/>
      </c>
      <c r="EN23" s="272">
        <f>'Daily Consumption'!EL114</f>
        <v/>
      </c>
      <c r="EO23" s="272">
        <f>'Daily Consumption'!EM114</f>
        <v/>
      </c>
      <c r="EP23" s="272">
        <f>'Daily Consumption'!EN114</f>
        <v/>
      </c>
      <c r="EQ23" s="272">
        <f>'Daily Consumption'!EO114</f>
        <v/>
      </c>
      <c r="ER23" s="272">
        <f>'Daily Consumption'!EP114</f>
        <v/>
      </c>
      <c r="ES23" s="272">
        <f>'Daily Consumption'!EQ114</f>
        <v/>
      </c>
      <c r="ET23" s="272">
        <f>'Daily Consumption'!ER114</f>
        <v/>
      </c>
      <c r="EU23" s="272">
        <f>'Daily Consumption'!ES114</f>
        <v/>
      </c>
      <c r="EV23" s="272">
        <f>'Daily Consumption'!ET114</f>
        <v/>
      </c>
      <c r="EW23" s="272">
        <f>'Daily Consumption'!EU114</f>
        <v/>
      </c>
      <c r="EX23" s="272">
        <f>'Daily Consumption'!EV114</f>
        <v/>
      </c>
      <c r="EY23" s="272">
        <f>'Daily Consumption'!EW114</f>
        <v/>
      </c>
      <c r="EZ23" s="272">
        <f>'Daily Consumption'!EX114</f>
        <v/>
      </c>
      <c r="FA23" s="272">
        <f>'Daily Consumption'!EY114</f>
        <v/>
      </c>
      <c r="FB23" s="272">
        <f>'Daily Consumption'!EZ114</f>
        <v/>
      </c>
      <c r="FC23" s="272">
        <f>'Daily Consumption'!FA114</f>
        <v/>
      </c>
      <c r="FD23" s="272">
        <f>'Daily Consumption'!FB114</f>
        <v/>
      </c>
      <c r="FE23" s="272">
        <f>'Daily Consumption'!FC114</f>
        <v/>
      </c>
      <c r="FF23" s="272">
        <f>'Daily Consumption'!FD114</f>
        <v/>
      </c>
      <c r="FG23" s="272">
        <f>'Daily Consumption'!FE114</f>
        <v/>
      </c>
      <c r="FH23" s="272">
        <f>'Daily Consumption'!FF114</f>
        <v/>
      </c>
      <c r="FI23" s="272">
        <f>'Daily Consumption'!FG114</f>
        <v/>
      </c>
      <c r="FJ23" s="272">
        <f>'Daily Consumption'!FH114</f>
        <v/>
      </c>
      <c r="FK23" s="272">
        <f>'Daily Consumption'!FI114</f>
        <v/>
      </c>
      <c r="FL23" s="272">
        <f>'Daily Consumption'!FJ114</f>
        <v/>
      </c>
      <c r="FM23" s="272">
        <f>'Daily Consumption'!FK114</f>
        <v/>
      </c>
      <c r="FN23" s="272">
        <f>'Daily Consumption'!FL114</f>
        <v/>
      </c>
      <c r="FO23" s="272">
        <f>'Daily Consumption'!FM114</f>
        <v/>
      </c>
      <c r="FP23" s="272">
        <f>'Daily Consumption'!FN114</f>
        <v/>
      </c>
      <c r="FQ23" s="272">
        <f>'Daily Consumption'!FO114</f>
        <v/>
      </c>
      <c r="FR23" s="272">
        <f>'Daily Consumption'!FP114</f>
        <v/>
      </c>
      <c r="FS23" s="272">
        <f>'Daily Consumption'!FQ114</f>
        <v/>
      </c>
      <c r="FT23" s="272">
        <f>'Daily Consumption'!FR114</f>
        <v/>
      </c>
      <c r="FU23" s="272">
        <f>'Daily Consumption'!FS114</f>
        <v/>
      </c>
      <c r="FV23" s="272">
        <f>'Daily Consumption'!FT114</f>
        <v/>
      </c>
      <c r="FW23" s="272">
        <f>'Daily Consumption'!FU114</f>
        <v/>
      </c>
      <c r="FX23" s="272">
        <f>'Daily Consumption'!FV114</f>
        <v/>
      </c>
      <c r="FY23" s="272">
        <f>'Daily Consumption'!FW114</f>
        <v/>
      </c>
      <c r="FZ23" s="272">
        <f>'Daily Consumption'!FX114</f>
        <v/>
      </c>
      <c r="GA23" s="272">
        <f>'Daily Consumption'!FY114</f>
        <v/>
      </c>
      <c r="GB23" s="272">
        <f>'Daily Consumption'!FZ114</f>
        <v/>
      </c>
      <c r="GC23" s="272">
        <f>'Daily Consumption'!GA114</f>
        <v/>
      </c>
      <c r="GD23" s="272">
        <f>'Daily Consumption'!GB114</f>
        <v/>
      </c>
      <c r="GE23" s="272">
        <f>'Daily Consumption'!GC114</f>
        <v/>
      </c>
      <c r="GF23" s="272">
        <f>'Daily Consumption'!GD114</f>
        <v/>
      </c>
      <c r="GG23" s="272">
        <f>'Daily Consumption'!GE114</f>
        <v/>
      </c>
      <c r="GH23" s="272">
        <f>'Daily Consumption'!GF114</f>
        <v/>
      </c>
      <c r="GI23" s="272">
        <f>'Daily Consumption'!GG114</f>
        <v/>
      </c>
      <c r="GJ23" s="272">
        <f>'Daily Consumption'!GH114</f>
        <v/>
      </c>
      <c r="GK23" s="272">
        <f>'Daily Consumption'!GI114</f>
        <v/>
      </c>
      <c r="GL23" s="272">
        <f>'Daily Consumption'!GJ114</f>
        <v/>
      </c>
      <c r="GM23" s="272">
        <f>'Daily Consumption'!GK114</f>
        <v/>
      </c>
      <c r="GN23" s="272">
        <f>'Daily Consumption'!GL114</f>
        <v/>
      </c>
      <c r="GO23" s="272">
        <f>'Daily Consumption'!GM114</f>
        <v/>
      </c>
      <c r="GP23" s="272">
        <f>'Daily Consumption'!GN114</f>
        <v/>
      </c>
      <c r="GQ23" s="272">
        <f>'Daily Consumption'!GO114</f>
        <v/>
      </c>
      <c r="GR23" s="272">
        <f>'Daily Consumption'!GP114</f>
        <v/>
      </c>
      <c r="GS23" s="272">
        <f>'Daily Consumption'!GQ114</f>
        <v/>
      </c>
      <c r="GT23" s="272">
        <f>'Daily Consumption'!GR114</f>
        <v/>
      </c>
      <c r="GU23" s="272">
        <f>'Daily Consumption'!GS114</f>
        <v/>
      </c>
      <c r="GV23" s="272">
        <f>'Daily Consumption'!GT114</f>
        <v/>
      </c>
      <c r="GW23" s="272">
        <f>'Daily Consumption'!GU114</f>
        <v/>
      </c>
      <c r="GX23" s="272">
        <f>'Daily Consumption'!GV114</f>
        <v/>
      </c>
      <c r="GY23" s="272">
        <f>'Daily Consumption'!GW114</f>
        <v/>
      </c>
      <c r="GZ23" s="272">
        <f>'Daily Consumption'!GX114</f>
        <v/>
      </c>
      <c r="HA23" s="272">
        <f>'Daily Consumption'!GY114</f>
        <v/>
      </c>
      <c r="HB23" s="272">
        <f>'Daily Consumption'!GZ114</f>
        <v/>
      </c>
      <c r="HC23" s="272">
        <f>'Daily Consumption'!HA114</f>
        <v/>
      </c>
      <c r="HD23" s="272">
        <f>'Daily Consumption'!HB114</f>
        <v/>
      </c>
      <c r="HE23" s="272">
        <f>'Daily Consumption'!HC114</f>
        <v/>
      </c>
      <c r="HF23" s="272">
        <f>'Daily Consumption'!HD114</f>
        <v/>
      </c>
      <c r="HG23" s="272">
        <f>'Daily Consumption'!HE114</f>
        <v/>
      </c>
      <c r="HH23" s="272">
        <f>'Daily Consumption'!HF114</f>
        <v/>
      </c>
      <c r="HI23" s="272">
        <f>'Daily Consumption'!HG114</f>
        <v/>
      </c>
      <c r="HJ23" s="272">
        <f>'Daily Consumption'!HH114</f>
        <v/>
      </c>
      <c r="HK23" s="272">
        <f>'Daily Consumption'!HI114</f>
        <v/>
      </c>
      <c r="HL23" s="272">
        <f>'Daily Consumption'!HJ114</f>
        <v/>
      </c>
      <c r="HM23" s="272">
        <f>'Daily Consumption'!HK114</f>
        <v/>
      </c>
      <c r="HN23" s="272">
        <f>'Daily Consumption'!HL114</f>
        <v/>
      </c>
      <c r="HO23" s="272">
        <f>'Daily Consumption'!HM114</f>
        <v/>
      </c>
      <c r="HP23" s="272">
        <f>'Daily Consumption'!HN114</f>
        <v/>
      </c>
      <c r="HQ23" s="272">
        <f>'Daily Consumption'!HO114</f>
        <v/>
      </c>
      <c r="HR23" s="272">
        <f>'Daily Consumption'!HP114</f>
        <v/>
      </c>
      <c r="HS23" s="272">
        <f>'Daily Consumption'!HQ114</f>
        <v/>
      </c>
      <c r="HT23" s="272">
        <f>'Daily Consumption'!HR114</f>
        <v/>
      </c>
      <c r="HU23" s="272">
        <f>'Daily Consumption'!HS114</f>
        <v/>
      </c>
      <c r="HV23" s="272">
        <f>'Daily Consumption'!HT114</f>
        <v/>
      </c>
      <c r="HW23" s="272">
        <f>'Daily Consumption'!HU114</f>
        <v/>
      </c>
      <c r="HX23" s="272">
        <f>'Daily Consumption'!HV114</f>
        <v/>
      </c>
      <c r="HY23" s="272">
        <f>'Daily Consumption'!HW114</f>
        <v/>
      </c>
      <c r="HZ23" s="272">
        <f>'Daily Consumption'!HX114</f>
        <v/>
      </c>
      <c r="IA23" s="272">
        <f>'Daily Consumption'!HY114</f>
        <v/>
      </c>
      <c r="IB23" s="272">
        <f>'Daily Consumption'!HZ114</f>
        <v/>
      </c>
      <c r="IC23" s="272">
        <f>'Daily Consumption'!IA114</f>
        <v/>
      </c>
      <c r="ID23" s="272">
        <f>'Daily Consumption'!IB114</f>
        <v/>
      </c>
      <c r="IE23" s="272">
        <f>'Daily Consumption'!IC114</f>
        <v/>
      </c>
      <c r="IF23" s="272">
        <f>'Daily Consumption'!ID114</f>
        <v/>
      </c>
      <c r="IG23" s="272">
        <f>'Daily Consumption'!IE114</f>
        <v/>
      </c>
      <c r="IH23" s="272">
        <f>'Daily Consumption'!IF114</f>
        <v/>
      </c>
      <c r="II23" s="272">
        <f>'Daily Consumption'!IG114</f>
        <v/>
      </c>
      <c r="IJ23" s="272">
        <f>'Daily Consumption'!IH114</f>
        <v/>
      </c>
      <c r="IK23" s="272">
        <f>'Daily Consumption'!II114</f>
        <v/>
      </c>
      <c r="IL23" s="272">
        <f>'Daily Consumption'!IJ114</f>
        <v/>
      </c>
      <c r="IM23" s="272">
        <f>'Daily Consumption'!IK114</f>
        <v/>
      </c>
      <c r="IN23" s="272">
        <f>'Daily Consumption'!IL114</f>
        <v/>
      </c>
      <c r="IO23" s="272">
        <f>'Daily Consumption'!IM114</f>
        <v/>
      </c>
      <c r="IP23" s="272">
        <f>'Daily Consumption'!IN114</f>
        <v/>
      </c>
      <c r="IQ23" s="272">
        <f>'Daily Consumption'!IO114</f>
        <v/>
      </c>
      <c r="IR23" s="272">
        <f>'Daily Consumption'!IP114</f>
        <v/>
      </c>
      <c r="IS23" s="272">
        <f>'Daily Consumption'!IQ114</f>
        <v/>
      </c>
      <c r="IT23" s="272">
        <f>'Daily Consumption'!IR114</f>
        <v/>
      </c>
      <c r="IU23" s="272">
        <f>'Daily Consumption'!IS114</f>
        <v/>
      </c>
      <c r="IV23" s="272">
        <f>'Daily Consumption'!IT114</f>
        <v/>
      </c>
      <c r="IW23" s="272">
        <f>'Daily Consumption'!IU114</f>
        <v/>
      </c>
      <c r="IX23" s="272">
        <f>'Daily Consumption'!IV114</f>
        <v/>
      </c>
      <c r="IY23" s="272">
        <f>'Daily Consumption'!IW114</f>
        <v/>
      </c>
      <c r="IZ23" s="272">
        <f>'Daily Consumption'!IX114</f>
        <v/>
      </c>
      <c r="JA23" s="272">
        <f>'Daily Consumption'!IY114</f>
        <v/>
      </c>
      <c r="JB23" s="272">
        <f>'Daily Consumption'!IZ114</f>
        <v/>
      </c>
      <c r="JC23" s="272">
        <f>'Daily Consumption'!JA114</f>
        <v/>
      </c>
      <c r="JD23" s="272">
        <f>'Daily Consumption'!JB114</f>
        <v/>
      </c>
      <c r="JE23" s="272">
        <f>'Daily Consumption'!JC114</f>
        <v/>
      </c>
      <c r="JF23" s="272">
        <f>'Daily Consumption'!JD114</f>
        <v/>
      </c>
      <c r="JG23" s="272">
        <f>'Daily Consumption'!JE114</f>
        <v/>
      </c>
      <c r="JH23" s="272">
        <f>'Daily Consumption'!JF114</f>
        <v/>
      </c>
      <c r="JI23" s="272">
        <f>'Daily Consumption'!JG114</f>
        <v/>
      </c>
      <c r="JJ23" s="272">
        <f>'Daily Consumption'!JH114</f>
        <v/>
      </c>
      <c r="JK23" s="272">
        <f>'Daily Consumption'!JI114</f>
        <v/>
      </c>
      <c r="JL23" s="272">
        <f>'Daily Consumption'!JJ114</f>
        <v/>
      </c>
      <c r="JM23" s="272">
        <f>'Daily Consumption'!JK114</f>
        <v/>
      </c>
      <c r="JN23" s="272">
        <f>'Daily Consumption'!JL114</f>
        <v/>
      </c>
      <c r="JO23" s="272">
        <f>'Daily Consumption'!JM114</f>
        <v/>
      </c>
      <c r="JP23" s="272">
        <f>'Daily Consumption'!JN114</f>
        <v/>
      </c>
      <c r="JQ23" s="272">
        <f>'Daily Consumption'!JO114</f>
        <v/>
      </c>
      <c r="JR23" s="272">
        <f>'Daily Consumption'!JP114</f>
        <v/>
      </c>
      <c r="JS23" s="272">
        <f>'Daily Consumption'!JQ114</f>
        <v/>
      </c>
      <c r="JT23" s="272">
        <f>'Daily Consumption'!JR114</f>
        <v/>
      </c>
      <c r="JU23" s="272">
        <f>'Daily Consumption'!JS114</f>
        <v/>
      </c>
      <c r="JV23" s="272">
        <f>'Daily Consumption'!JT114</f>
        <v/>
      </c>
      <c r="JW23" s="272">
        <f>'Daily Consumption'!JU114</f>
        <v/>
      </c>
      <c r="JX23" s="272">
        <f>'Daily Consumption'!JV114</f>
        <v/>
      </c>
      <c r="JY23" s="272">
        <f>'Daily Consumption'!JW114</f>
        <v/>
      </c>
      <c r="JZ23" s="272">
        <f>'Daily Consumption'!JX114</f>
        <v/>
      </c>
      <c r="KA23" s="272">
        <f>'Daily Consumption'!JY114</f>
        <v/>
      </c>
      <c r="KB23" s="272">
        <f>'Daily Consumption'!JZ114</f>
        <v/>
      </c>
      <c r="KC23" s="272">
        <f>'Daily Consumption'!KA114</f>
        <v/>
      </c>
      <c r="KD23" s="272">
        <f>'Daily Consumption'!KB114</f>
        <v/>
      </c>
      <c r="KE23" s="272">
        <f>'Daily Consumption'!KC114</f>
        <v/>
      </c>
      <c r="KF23" s="272">
        <f>'Daily Consumption'!KD114</f>
        <v/>
      </c>
      <c r="KG23" s="272">
        <f>'Daily Consumption'!KE114</f>
        <v/>
      </c>
      <c r="KH23" s="272">
        <f>'Daily Consumption'!KF114</f>
        <v/>
      </c>
      <c r="KI23" s="272">
        <f>'Daily Consumption'!KG114</f>
        <v/>
      </c>
      <c r="KJ23" s="272">
        <f>'Daily Consumption'!KH114</f>
        <v/>
      </c>
      <c r="KK23" s="272">
        <f>'Daily Consumption'!KI114</f>
        <v/>
      </c>
      <c r="KL23" s="272">
        <f>'Daily Consumption'!KJ114</f>
        <v/>
      </c>
      <c r="KM23" s="272">
        <f>'Daily Consumption'!KK114</f>
        <v/>
      </c>
      <c r="KN23" s="272">
        <f>'Daily Consumption'!KL114</f>
        <v/>
      </c>
      <c r="KO23" s="272">
        <f>'Daily Consumption'!KM114</f>
        <v/>
      </c>
      <c r="KP23" s="272">
        <f>'Daily Consumption'!KN114</f>
        <v/>
      </c>
      <c r="KQ23" s="272">
        <f>'Daily Consumption'!KO114</f>
        <v/>
      </c>
      <c r="KR23" s="272">
        <f>'Daily Consumption'!KP114</f>
        <v/>
      </c>
      <c r="KS23" s="272">
        <f>'Daily Consumption'!KQ114</f>
        <v/>
      </c>
      <c r="KT23" s="272">
        <f>'Daily Consumption'!KR114</f>
        <v/>
      </c>
      <c r="KU23" s="272">
        <f>'Daily Consumption'!KS114</f>
        <v/>
      </c>
      <c r="KV23" s="272">
        <f>'Daily Consumption'!KT114</f>
        <v/>
      </c>
      <c r="KW23" s="272">
        <f>'Daily Consumption'!KU114</f>
        <v/>
      </c>
      <c r="KX23" s="272">
        <f>'Daily Consumption'!KV114</f>
        <v/>
      </c>
      <c r="KY23" s="272">
        <f>'Daily Consumption'!KW114</f>
        <v/>
      </c>
      <c r="KZ23" s="272">
        <f>'Daily Consumption'!KX114</f>
        <v/>
      </c>
      <c r="LA23" s="272">
        <f>'Daily Consumption'!KY114</f>
        <v/>
      </c>
      <c r="LB23" s="272">
        <f>'Daily Consumption'!KZ114</f>
        <v/>
      </c>
      <c r="LC23" s="272">
        <f>'Daily Consumption'!LA114</f>
        <v/>
      </c>
      <c r="LD23" s="272">
        <f>'Daily Consumption'!LB114</f>
        <v/>
      </c>
      <c r="LE23" s="272">
        <f>'Daily Consumption'!LC114</f>
        <v/>
      </c>
      <c r="LF23" s="272">
        <f>'Daily Consumption'!LD114</f>
        <v/>
      </c>
      <c r="LG23" s="272">
        <f>'Daily Consumption'!LE114</f>
        <v/>
      </c>
      <c r="LH23" s="272">
        <f>'Daily Consumption'!LF114</f>
        <v/>
      </c>
      <c r="LI23" s="272">
        <f>'Daily Consumption'!LG114</f>
        <v/>
      </c>
      <c r="LJ23" s="272">
        <f>'Daily Consumption'!LH114</f>
        <v/>
      </c>
      <c r="LK23" s="272">
        <f>'Daily Consumption'!LI114</f>
        <v/>
      </c>
      <c r="LL23" s="272">
        <f>'Daily Consumption'!LJ114</f>
        <v/>
      </c>
      <c r="LM23" s="272">
        <f>'Daily Consumption'!LK114</f>
        <v/>
      </c>
      <c r="LN23" s="272">
        <f>'Daily Consumption'!LL114</f>
        <v/>
      </c>
      <c r="LO23" s="272">
        <f>'Daily Consumption'!LM114</f>
        <v/>
      </c>
      <c r="LP23" s="272">
        <f>'Daily Consumption'!LN114</f>
        <v/>
      </c>
      <c r="LQ23" s="272">
        <f>'Daily Consumption'!LO114</f>
        <v/>
      </c>
      <c r="LR23" s="272">
        <f>'Daily Consumption'!LP114</f>
        <v/>
      </c>
      <c r="LS23" s="272">
        <f>'Daily Consumption'!LQ114</f>
        <v/>
      </c>
      <c r="LT23" s="272">
        <f>'Daily Consumption'!LR114</f>
        <v/>
      </c>
      <c r="LU23" s="272">
        <f>'Daily Consumption'!LS114</f>
        <v/>
      </c>
      <c r="LV23" s="272">
        <f>'Daily Consumption'!LT114</f>
        <v/>
      </c>
      <c r="LW23" s="272">
        <f>'Daily Consumption'!LU114</f>
        <v/>
      </c>
      <c r="LX23" s="272">
        <f>'Daily Consumption'!LV114</f>
        <v/>
      </c>
      <c r="LY23" s="272">
        <f>'Daily Consumption'!LW114</f>
        <v/>
      </c>
      <c r="LZ23" s="272">
        <f>'Daily Consumption'!LX114</f>
        <v/>
      </c>
      <c r="MA23" s="272">
        <f>'Daily Consumption'!LY114</f>
        <v/>
      </c>
      <c r="MB23" s="272">
        <f>'Daily Consumption'!LZ114</f>
        <v/>
      </c>
      <c r="MC23" s="272">
        <f>'Daily Consumption'!MA114</f>
        <v/>
      </c>
      <c r="MD23" s="272">
        <f>'Daily Consumption'!MB114</f>
        <v/>
      </c>
      <c r="ME23" s="272">
        <f>'Daily Consumption'!MC114</f>
        <v/>
      </c>
      <c r="MF23" s="272">
        <f>'Daily Consumption'!MD114</f>
        <v/>
      </c>
      <c r="MG23" s="272">
        <f>'Daily Consumption'!ME114</f>
        <v/>
      </c>
      <c r="MH23" s="272">
        <f>'Daily Consumption'!MF114</f>
        <v/>
      </c>
      <c r="MI23" s="272">
        <f>'Daily Consumption'!MG114</f>
        <v/>
      </c>
      <c r="MJ23" s="272">
        <f>'Daily Consumption'!MH114</f>
        <v/>
      </c>
      <c r="MK23" s="272">
        <f>'Daily Consumption'!MI114</f>
        <v/>
      </c>
      <c r="ML23" s="272">
        <f>'Daily Consumption'!MJ114</f>
        <v/>
      </c>
      <c r="MM23" s="272">
        <f>'Daily Consumption'!MK114</f>
        <v/>
      </c>
      <c r="MN23" s="272">
        <f>'Daily Consumption'!ML114</f>
        <v/>
      </c>
      <c r="MO23" s="272">
        <f>'Daily Consumption'!MM114</f>
        <v/>
      </c>
      <c r="MP23" s="272">
        <f>'Daily Consumption'!MN114</f>
        <v/>
      </c>
      <c r="MQ23" s="272">
        <f>'Daily Consumption'!MO114</f>
        <v/>
      </c>
      <c r="MR23" s="272">
        <f>'Daily Consumption'!MP114</f>
        <v/>
      </c>
      <c r="MS23" s="272">
        <f>'Daily Consumption'!MQ114</f>
        <v/>
      </c>
      <c r="MT23" s="272">
        <f>'Daily Consumption'!MR114</f>
        <v/>
      </c>
      <c r="MU23" s="272">
        <f>'Daily Consumption'!MS114</f>
        <v/>
      </c>
      <c r="MV23" s="272">
        <f>'Daily Consumption'!MT114</f>
        <v/>
      </c>
      <c r="MW23" s="272">
        <f>'Daily Consumption'!MU114</f>
        <v/>
      </c>
      <c r="MX23" s="272">
        <f>'Daily Consumption'!MV114</f>
        <v/>
      </c>
      <c r="MY23" s="272">
        <f>'Daily Consumption'!MW114</f>
        <v/>
      </c>
      <c r="MZ23" s="272">
        <f>'Daily Consumption'!MX114</f>
        <v/>
      </c>
      <c r="NA23" s="272">
        <f>'Daily Consumption'!MY114</f>
        <v/>
      </c>
      <c r="NB23" s="272">
        <f>'Daily Consumption'!MZ114</f>
        <v/>
      </c>
      <c r="NC23" s="272">
        <f>'Daily Consumption'!NA114</f>
        <v/>
      </c>
      <c r="ND23" s="272">
        <f>'Daily Consumption'!NB114</f>
        <v/>
      </c>
      <c r="NE23" s="273" t="n"/>
    </row>
    <row r="24" ht="18.75" customHeight="1" s="166">
      <c r="A24" s="274" t="inlineStr">
        <is>
          <t>ENERGY COST</t>
        </is>
      </c>
      <c r="B24" s="275" t="n"/>
      <c r="C24" s="275" t="n"/>
      <c r="D24" s="275" t="n"/>
      <c r="E24" s="275" t="n"/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5" t="n"/>
      <c r="U24" s="275" t="n"/>
      <c r="V24" s="275" t="n"/>
      <c r="W24" s="275" t="n"/>
      <c r="X24" s="275" t="n"/>
      <c r="Y24" s="275" t="n"/>
      <c r="Z24" s="275" t="n"/>
      <c r="AA24" s="275" t="n"/>
      <c r="AB24" s="275" t="n"/>
      <c r="AC24" s="275" t="n"/>
      <c r="AD24" s="275" t="n"/>
      <c r="AE24" s="275" t="n"/>
      <c r="AF24" s="275" t="n"/>
      <c r="AG24" s="275" t="n"/>
      <c r="AH24" s="275" t="n"/>
      <c r="AI24" s="275" t="n"/>
      <c r="AJ24" s="275" t="n"/>
      <c r="AK24" s="275" t="n"/>
      <c r="AL24" s="275" t="n"/>
      <c r="AM24" s="275" t="n"/>
      <c r="AN24" s="275" t="n"/>
      <c r="AO24" s="275" t="n"/>
      <c r="AP24" s="275" t="n"/>
      <c r="AQ24" s="275" t="n"/>
      <c r="AR24" s="275" t="n"/>
      <c r="AS24" s="275" t="n"/>
      <c r="AT24" s="275" t="n"/>
      <c r="AU24" s="275" t="n"/>
      <c r="AV24" s="275" t="n"/>
      <c r="AW24" s="275" t="n"/>
      <c r="AX24" s="275" t="n"/>
      <c r="AY24" s="275" t="n"/>
      <c r="AZ24" s="275" t="n"/>
      <c r="BA24" s="275" t="n"/>
      <c r="BB24" s="275" t="n"/>
      <c r="BC24" s="275" t="n"/>
      <c r="BD24" s="275" t="n"/>
      <c r="BE24" s="275" t="n"/>
      <c r="BF24" s="275" t="n"/>
      <c r="BG24" s="275" t="n"/>
      <c r="BH24" s="275" t="n"/>
      <c r="BI24" s="275" t="n"/>
      <c r="BJ24" s="275" t="n"/>
      <c r="BK24" s="275" t="n"/>
      <c r="BL24" s="275" t="n"/>
      <c r="BM24" s="275" t="n"/>
      <c r="BN24" s="275" t="n"/>
      <c r="BO24" s="275" t="n"/>
      <c r="BP24" s="275" t="n"/>
      <c r="BQ24" s="275" t="n"/>
      <c r="BR24" s="275" t="n"/>
      <c r="BS24" s="275" t="n"/>
      <c r="BT24" s="275" t="n"/>
      <c r="BU24" s="275" t="n"/>
      <c r="BV24" s="275" t="n"/>
      <c r="BW24" s="275" t="n"/>
      <c r="BX24" s="275" t="n"/>
      <c r="BY24" s="275" t="n"/>
      <c r="BZ24" s="275" t="n"/>
      <c r="CA24" s="275" t="n"/>
      <c r="CB24" s="275" t="n"/>
      <c r="CC24" s="275" t="n"/>
      <c r="CD24" s="275" t="n"/>
      <c r="CE24" s="275" t="n"/>
      <c r="CF24" s="275" t="n"/>
      <c r="CG24" s="275" t="n"/>
      <c r="CH24" s="275" t="n"/>
      <c r="CI24" s="275" t="n"/>
      <c r="CJ24" s="275" t="n"/>
      <c r="CK24" s="275" t="n"/>
      <c r="CL24" s="275" t="n"/>
      <c r="CM24" s="275" t="n"/>
      <c r="CN24" s="275" t="n"/>
      <c r="CO24" s="275" t="n"/>
      <c r="CP24" s="275" t="n"/>
      <c r="CQ24" s="275" t="n"/>
      <c r="CR24" s="275" t="n"/>
      <c r="CS24" s="275" t="n"/>
      <c r="CT24" s="275" t="n"/>
      <c r="CU24" s="275" t="n"/>
      <c r="CV24" s="275" t="n"/>
      <c r="CW24" s="275" t="n"/>
      <c r="CX24" s="275" t="n"/>
      <c r="CY24" s="275" t="n"/>
      <c r="CZ24" s="275" t="n"/>
      <c r="DA24" s="275" t="n"/>
      <c r="DB24" s="275" t="n"/>
      <c r="DC24" s="275" t="n"/>
      <c r="DD24" s="275" t="n"/>
      <c r="DE24" s="275" t="n"/>
      <c r="DF24" s="275" t="n"/>
      <c r="DG24" s="275" t="n"/>
      <c r="DH24" s="275" t="n"/>
      <c r="DI24" s="275" t="n"/>
      <c r="DJ24" s="275" t="n"/>
      <c r="DK24" s="275" t="n"/>
      <c r="DL24" s="275" t="n"/>
      <c r="DM24" s="275" t="n"/>
      <c r="DN24" s="275" t="n"/>
      <c r="DO24" s="275" t="n"/>
      <c r="DP24" s="275" t="n"/>
      <c r="DQ24" s="275" t="n"/>
      <c r="DR24" s="275" t="n"/>
      <c r="DS24" s="275" t="n"/>
      <c r="DT24" s="275" t="n"/>
      <c r="DU24" s="275" t="n"/>
      <c r="DV24" s="275" t="n"/>
      <c r="DW24" s="275" t="n"/>
      <c r="DX24" s="275" t="n"/>
      <c r="DY24" s="275" t="n"/>
      <c r="DZ24" s="275" t="n"/>
      <c r="EA24" s="275" t="n"/>
      <c r="EB24" s="275" t="n"/>
      <c r="EC24" s="275" t="n"/>
      <c r="ED24" s="275" t="n"/>
      <c r="EE24" s="275" t="n"/>
      <c r="EF24" s="275" t="n"/>
      <c r="EG24" s="275" t="n"/>
      <c r="EH24" s="275" t="n"/>
      <c r="EI24" s="275" t="n"/>
      <c r="EJ24" s="275" t="n"/>
      <c r="EK24" s="275" t="n"/>
      <c r="EL24" s="275" t="n"/>
      <c r="EM24" s="275" t="n"/>
      <c r="EN24" s="275" t="n"/>
      <c r="EO24" s="275" t="n"/>
      <c r="EP24" s="275" t="n"/>
      <c r="EQ24" s="275" t="n"/>
      <c r="ER24" s="275" t="n"/>
      <c r="ES24" s="275" t="n"/>
      <c r="ET24" s="275" t="n"/>
      <c r="EU24" s="275" t="n"/>
      <c r="EV24" s="275" t="n"/>
      <c r="EW24" s="275" t="n"/>
      <c r="EX24" s="275" t="n"/>
      <c r="EY24" s="275" t="n"/>
      <c r="EZ24" s="275" t="n"/>
      <c r="FA24" s="275" t="n"/>
      <c r="FB24" s="275" t="n"/>
      <c r="FC24" s="275" t="n"/>
      <c r="FD24" s="275" t="n"/>
      <c r="FE24" s="275" t="n"/>
      <c r="FF24" s="275" t="n"/>
      <c r="FG24" s="275" t="n"/>
      <c r="FH24" s="275" t="n"/>
      <c r="FI24" s="275" t="n"/>
      <c r="FJ24" s="275" t="n"/>
      <c r="FK24" s="275" t="n"/>
      <c r="FL24" s="275" t="n"/>
      <c r="FM24" s="275" t="n"/>
      <c r="FN24" s="275" t="n"/>
      <c r="FO24" s="275" t="n"/>
      <c r="FP24" s="275" t="n"/>
      <c r="FQ24" s="275" t="n"/>
      <c r="FR24" s="275" t="n"/>
      <c r="FS24" s="275" t="n"/>
      <c r="FT24" s="275" t="n"/>
      <c r="FU24" s="275" t="n"/>
      <c r="FV24" s="275" t="n"/>
      <c r="FW24" s="275" t="n"/>
      <c r="FX24" s="275" t="n"/>
      <c r="FY24" s="275" t="n"/>
      <c r="FZ24" s="275" t="n"/>
      <c r="GA24" s="275" t="n"/>
      <c r="GB24" s="275" t="n"/>
      <c r="GC24" s="275" t="n"/>
      <c r="GD24" s="275" t="n"/>
      <c r="GE24" s="275" t="n"/>
      <c r="GF24" s="275" t="n"/>
      <c r="GG24" s="275" t="n"/>
      <c r="GH24" s="275" t="n"/>
      <c r="GI24" s="275" t="n"/>
      <c r="GJ24" s="275" t="n"/>
      <c r="GK24" s="275" t="n"/>
      <c r="GL24" s="275" t="n"/>
      <c r="GM24" s="275" t="n"/>
      <c r="GN24" s="275" t="n"/>
      <c r="GO24" s="275" t="n"/>
      <c r="GP24" s="275" t="n"/>
      <c r="GQ24" s="275" t="n"/>
      <c r="GR24" s="275" t="n"/>
      <c r="GS24" s="275" t="n"/>
      <c r="GT24" s="275" t="n"/>
      <c r="GU24" s="275" t="n"/>
      <c r="GV24" s="275" t="n"/>
      <c r="GW24" s="275" t="n"/>
      <c r="GX24" s="275" t="n"/>
      <c r="GY24" s="275" t="n"/>
      <c r="GZ24" s="275" t="n"/>
      <c r="HA24" s="275" t="n"/>
      <c r="HB24" s="275" t="n"/>
      <c r="HC24" s="275" t="n"/>
      <c r="HD24" s="275" t="n"/>
      <c r="HE24" s="275" t="n"/>
      <c r="HF24" s="275" t="n"/>
      <c r="HG24" s="275" t="n"/>
      <c r="HH24" s="275" t="n"/>
      <c r="HI24" s="275" t="n"/>
      <c r="HJ24" s="275" t="n"/>
      <c r="HK24" s="275" t="n"/>
      <c r="HL24" s="275" t="n"/>
      <c r="HM24" s="275" t="n"/>
      <c r="HN24" s="275" t="n"/>
      <c r="HO24" s="275" t="n"/>
      <c r="HP24" s="275" t="n"/>
      <c r="HQ24" s="275" t="n"/>
      <c r="HR24" s="275" t="n"/>
      <c r="HS24" s="275" t="n"/>
      <c r="HT24" s="275" t="n"/>
      <c r="HU24" s="275" t="n"/>
      <c r="HV24" s="275" t="n"/>
      <c r="HW24" s="275" t="n"/>
      <c r="HX24" s="275" t="n"/>
      <c r="HY24" s="275" t="n"/>
      <c r="HZ24" s="275" t="n"/>
      <c r="IA24" s="275" t="n"/>
      <c r="IB24" s="275" t="n"/>
      <c r="IC24" s="275" t="n"/>
      <c r="ID24" s="275" t="n"/>
      <c r="IE24" s="275" t="n"/>
      <c r="IF24" s="275" t="n"/>
      <c r="IG24" s="275" t="n"/>
      <c r="IH24" s="275" t="n"/>
      <c r="II24" s="275" t="n"/>
      <c r="IJ24" s="275" t="n"/>
      <c r="IK24" s="275" t="n"/>
      <c r="IL24" s="275" t="n"/>
      <c r="IM24" s="275" t="n"/>
      <c r="IN24" s="275" t="n"/>
      <c r="IO24" s="275" t="n"/>
      <c r="IP24" s="275" t="n"/>
      <c r="IQ24" s="275" t="n"/>
      <c r="IR24" s="275" t="n"/>
      <c r="IS24" s="275" t="n"/>
      <c r="IT24" s="275" t="n"/>
      <c r="IU24" s="275" t="n"/>
      <c r="IV24" s="275" t="n"/>
      <c r="IW24" s="275" t="n"/>
      <c r="IX24" s="275" t="n"/>
      <c r="IY24" s="275" t="n"/>
      <c r="IZ24" s="275" t="n"/>
      <c r="JA24" s="275" t="n"/>
      <c r="JB24" s="275" t="n"/>
      <c r="JC24" s="275" t="n"/>
      <c r="JD24" s="275" t="n"/>
      <c r="JE24" s="275" t="n"/>
      <c r="JF24" s="275" t="n"/>
      <c r="JG24" s="275" t="n"/>
      <c r="JH24" s="275" t="n"/>
      <c r="JI24" s="275" t="n"/>
      <c r="JJ24" s="275" t="n"/>
      <c r="JK24" s="275" t="n"/>
      <c r="JL24" s="275" t="n"/>
      <c r="JM24" s="275" t="n"/>
      <c r="JN24" s="275" t="n"/>
      <c r="JO24" s="275" t="n"/>
      <c r="JP24" s="275" t="n"/>
      <c r="JQ24" s="275" t="n"/>
      <c r="JR24" s="275" t="n"/>
      <c r="JS24" s="275" t="n"/>
      <c r="JT24" s="275" t="n"/>
      <c r="JU24" s="275" t="n"/>
      <c r="JV24" s="275" t="n"/>
      <c r="JW24" s="275" t="n"/>
      <c r="JX24" s="275" t="n"/>
      <c r="JY24" s="275" t="n"/>
      <c r="JZ24" s="275" t="n"/>
      <c r="KA24" s="275" t="n"/>
      <c r="KB24" s="275" t="n"/>
      <c r="KC24" s="275" t="n"/>
      <c r="KD24" s="275" t="n"/>
      <c r="KE24" s="275" t="n"/>
      <c r="KF24" s="275" t="n"/>
      <c r="KG24" s="275" t="n"/>
      <c r="KH24" s="275" t="n"/>
      <c r="KI24" s="275" t="n"/>
      <c r="KJ24" s="275" t="n"/>
      <c r="KK24" s="275" t="n"/>
      <c r="KL24" s="275" t="n"/>
      <c r="KM24" s="275" t="n"/>
      <c r="KN24" s="275" t="n"/>
      <c r="KO24" s="275" t="n"/>
      <c r="KP24" s="275" t="n"/>
      <c r="KQ24" s="275" t="n"/>
      <c r="KR24" s="275" t="n"/>
      <c r="KS24" s="275" t="n"/>
      <c r="KT24" s="275" t="n"/>
      <c r="KU24" s="275" t="n"/>
      <c r="KV24" s="275" t="n"/>
      <c r="KW24" s="275" t="n"/>
      <c r="KX24" s="275" t="n"/>
      <c r="KY24" s="275" t="n"/>
      <c r="KZ24" s="275" t="n"/>
      <c r="LA24" s="275" t="n"/>
      <c r="LB24" s="275" t="n"/>
      <c r="LC24" s="275" t="n"/>
      <c r="LD24" s="275" t="n"/>
      <c r="LE24" s="275" t="n"/>
      <c r="LF24" s="275" t="n"/>
      <c r="LG24" s="275" t="n"/>
      <c r="LH24" s="275" t="n"/>
      <c r="LI24" s="275" t="n"/>
      <c r="LJ24" s="275" t="n"/>
      <c r="LK24" s="275" t="n"/>
      <c r="LL24" s="275" t="n"/>
      <c r="LM24" s="275" t="n"/>
      <c r="LN24" s="275" t="n"/>
      <c r="LO24" s="275" t="n"/>
      <c r="LP24" s="275" t="n"/>
      <c r="LQ24" s="275" t="n"/>
      <c r="LR24" s="275" t="n"/>
      <c r="LS24" s="275" t="n"/>
      <c r="LT24" s="275" t="n"/>
      <c r="LU24" s="275" t="n"/>
      <c r="LV24" s="275" t="n"/>
      <c r="LW24" s="275" t="n"/>
      <c r="LX24" s="275" t="n"/>
      <c r="LY24" s="275" t="n"/>
      <c r="LZ24" s="275" t="n"/>
      <c r="MA24" s="275" t="n"/>
      <c r="MB24" s="275" t="n"/>
      <c r="MC24" s="275" t="n"/>
      <c r="MD24" s="275" t="n"/>
      <c r="ME24" s="275" t="n"/>
      <c r="MF24" s="275" t="n"/>
      <c r="MG24" s="275" t="n"/>
      <c r="MH24" s="275" t="n"/>
      <c r="MI24" s="275" t="n"/>
      <c r="MJ24" s="275" t="n"/>
      <c r="MK24" s="275" t="n"/>
      <c r="ML24" s="275" t="n"/>
      <c r="MM24" s="275" t="n"/>
      <c r="MN24" s="275" t="n"/>
      <c r="MO24" s="275" t="n"/>
      <c r="MP24" s="275" t="n"/>
      <c r="MQ24" s="275" t="n"/>
      <c r="MR24" s="275" t="n"/>
      <c r="MS24" s="275" t="n"/>
      <c r="MT24" s="275" t="n"/>
      <c r="MU24" s="275" t="n"/>
      <c r="MV24" s="275" t="n"/>
      <c r="MW24" s="275" t="n"/>
      <c r="MX24" s="275" t="n"/>
      <c r="MY24" s="275" t="n"/>
      <c r="MZ24" s="275" t="n"/>
      <c r="NA24" s="275" t="n"/>
      <c r="NB24" s="275" t="n"/>
      <c r="NC24" s="275" t="n"/>
      <c r="ND24" s="275" t="n"/>
      <c r="NE24" s="276" t="n"/>
    </row>
    <row r="25" ht="15" customHeight="1" s="166">
      <c r="A25" s="277" t="inlineStr">
        <is>
          <t>N</t>
        </is>
      </c>
      <c r="B25" s="278" t="inlineStr">
        <is>
          <t>Electricity</t>
        </is>
      </c>
      <c r="C25" s="278" t="inlineStr">
        <is>
          <t>SAR</t>
        </is>
      </c>
      <c r="D25" s="259" t="n"/>
      <c r="E25" s="259" t="n"/>
      <c r="F25" s="259" t="n"/>
      <c r="G25" s="259" t="n"/>
      <c r="H25" s="259" t="n"/>
      <c r="I25" s="259" t="n"/>
      <c r="J25" s="259" t="n"/>
      <c r="K25" s="259" t="n"/>
      <c r="L25" s="259" t="n"/>
      <c r="M25" s="259" t="n"/>
      <c r="N25" s="259" t="n"/>
      <c r="O25" s="259" t="n"/>
      <c r="P25" s="259" t="n"/>
      <c r="Q25" s="259" t="n"/>
      <c r="R25" s="259" t="n"/>
      <c r="S25" s="259" t="n"/>
      <c r="T25" s="259" t="n"/>
      <c r="U25" s="259" t="n"/>
      <c r="V25" s="259" t="n"/>
      <c r="W25" s="259" t="n"/>
      <c r="X25" s="259" t="n"/>
      <c r="Y25" s="259" t="n"/>
      <c r="Z25" s="259" t="n"/>
      <c r="AA25" s="259" t="n"/>
      <c r="AB25" s="259" t="n"/>
      <c r="AC25" s="259" t="n"/>
      <c r="AD25" s="259" t="n"/>
      <c r="AE25" s="259" t="n"/>
      <c r="AF25" s="259" t="n"/>
      <c r="AG25" s="259" t="n"/>
      <c r="AH25" s="259" t="n"/>
      <c r="AI25" s="259" t="n"/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  <c r="AX25" s="259" t="n"/>
      <c r="AY25" s="259" t="n"/>
      <c r="AZ25" s="259" t="n"/>
      <c r="BA25" s="259" t="n"/>
      <c r="BB25" s="259" t="n"/>
      <c r="BC25" s="259" t="n"/>
      <c r="BD25" s="259" t="n"/>
      <c r="BE25" s="259" t="n"/>
      <c r="BF25" s="259" t="n"/>
      <c r="BG25" s="259" t="n"/>
      <c r="BH25" s="259" t="n"/>
      <c r="BI25" s="259" t="n"/>
      <c r="BJ25" s="259" t="n"/>
      <c r="BK25" s="259" t="n"/>
      <c r="BL25" s="259" t="n"/>
      <c r="BM25" s="259" t="n"/>
      <c r="BN25" s="259" t="n"/>
      <c r="BO25" s="259" t="n"/>
      <c r="BP25" s="259" t="n"/>
      <c r="BQ25" s="259" t="n"/>
      <c r="BR25" s="259" t="n"/>
      <c r="BS25" s="259" t="n"/>
      <c r="BT25" s="259" t="n"/>
      <c r="BU25" s="259" t="n"/>
      <c r="BV25" s="259" t="n"/>
      <c r="BW25" s="259" t="n"/>
      <c r="BX25" s="259" t="n"/>
      <c r="BY25" s="259" t="n"/>
      <c r="BZ25" s="259" t="n"/>
      <c r="CA25" s="259" t="n"/>
      <c r="CB25" s="259" t="n"/>
      <c r="CC25" s="259" t="n"/>
      <c r="CD25" s="259" t="n"/>
      <c r="CE25" s="259" t="n"/>
      <c r="CF25" s="259" t="n"/>
      <c r="CG25" s="259" t="n"/>
      <c r="CH25" s="259" t="n"/>
      <c r="CI25" s="259" t="n"/>
      <c r="CJ25" s="259" t="n"/>
      <c r="CK25" s="259" t="n"/>
      <c r="CL25" s="259" t="n"/>
      <c r="CM25" s="259" t="n"/>
      <c r="CN25" s="259" t="n"/>
      <c r="CO25" s="259" t="n"/>
      <c r="CP25" s="259" t="n"/>
      <c r="CQ25" s="259" t="n"/>
      <c r="CR25" s="259" t="n"/>
      <c r="CS25" s="259" t="n"/>
      <c r="CT25" s="259" t="n"/>
      <c r="CU25" s="259" t="n"/>
      <c r="CV25" s="259" t="n"/>
      <c r="CW25" s="259" t="n"/>
      <c r="CX25" s="259" t="n"/>
      <c r="CY25" s="259" t="n"/>
      <c r="CZ25" s="259" t="n"/>
      <c r="DA25" s="259" t="n"/>
      <c r="DB25" s="259" t="n"/>
      <c r="DC25" s="259" t="n"/>
      <c r="DD25" s="259" t="n"/>
      <c r="DE25" s="259" t="n"/>
      <c r="DF25" s="259" t="n"/>
      <c r="DG25" s="259" t="n"/>
      <c r="DH25" s="259" t="n"/>
      <c r="DI25" s="259" t="n"/>
      <c r="DJ25" s="259" t="n"/>
      <c r="DK25" s="259" t="n"/>
      <c r="DL25" s="259" t="n"/>
      <c r="DM25" s="259" t="n"/>
      <c r="DN25" s="259" t="n"/>
      <c r="DO25" s="259" t="n"/>
      <c r="DP25" s="259" t="n"/>
      <c r="DQ25" s="259" t="n"/>
      <c r="DR25" s="259" t="n"/>
      <c r="DS25" s="259" t="n"/>
      <c r="DT25" s="259" t="n"/>
      <c r="DU25" s="259" t="n"/>
      <c r="DV25" s="259" t="n"/>
      <c r="DW25" s="259" t="n"/>
      <c r="DX25" s="259" t="n"/>
      <c r="DY25" s="259" t="n"/>
      <c r="DZ25" s="259" t="n"/>
      <c r="EA25" s="259" t="n"/>
      <c r="EB25" s="259" t="n"/>
      <c r="EC25" s="259" t="n"/>
      <c r="ED25" s="259" t="n"/>
      <c r="EE25" s="259" t="n"/>
      <c r="EF25" s="259" t="n"/>
      <c r="EG25" s="259" t="n"/>
      <c r="EH25" s="259" t="n"/>
      <c r="EI25" s="259" t="n"/>
      <c r="EJ25" s="259" t="n"/>
      <c r="EK25" s="259" t="n"/>
      <c r="EL25" s="259" t="n"/>
      <c r="EM25" s="259" t="n"/>
      <c r="EN25" s="259" t="n"/>
      <c r="EO25" s="259" t="n"/>
      <c r="EP25" s="259" t="n"/>
      <c r="EQ25" s="259" t="n"/>
      <c r="ER25" s="259" t="n"/>
      <c r="ES25" s="259" t="n"/>
      <c r="ET25" s="259" t="n"/>
      <c r="EU25" s="259" t="n"/>
      <c r="EV25" s="259" t="n"/>
      <c r="EW25" s="259" t="n"/>
      <c r="EX25" s="259" t="n"/>
      <c r="EY25" s="259" t="n"/>
      <c r="EZ25" s="259" t="n"/>
      <c r="FA25" s="259" t="n"/>
      <c r="FB25" s="259" t="n"/>
      <c r="FC25" s="259" t="n"/>
      <c r="FD25" s="259" t="n"/>
      <c r="FE25" s="259" t="n"/>
      <c r="FF25" s="259" t="n"/>
      <c r="FG25" s="259" t="n"/>
      <c r="FH25" s="259" t="n"/>
      <c r="FI25" s="259" t="n"/>
      <c r="FJ25" s="259" t="n"/>
      <c r="FK25" s="259" t="n"/>
      <c r="FL25" s="259" t="n"/>
      <c r="FM25" s="259" t="n"/>
      <c r="FN25" s="259" t="n"/>
      <c r="FO25" s="259" t="n"/>
      <c r="FP25" s="259" t="n"/>
      <c r="FQ25" s="259" t="n"/>
      <c r="FR25" s="259" t="n"/>
      <c r="FS25" s="259" t="n"/>
      <c r="FT25" s="259" t="n"/>
      <c r="FU25" s="259" t="n"/>
      <c r="FV25" s="259" t="n"/>
      <c r="FW25" s="259" t="n"/>
      <c r="FX25" s="259" t="n"/>
      <c r="FY25" s="259" t="n"/>
      <c r="FZ25" s="259" t="n"/>
      <c r="GA25" s="259" t="n"/>
      <c r="GB25" s="259" t="n"/>
      <c r="GC25" s="259" t="n"/>
      <c r="GD25" s="259" t="n"/>
      <c r="GE25" s="259" t="n"/>
      <c r="GF25" s="259" t="n"/>
      <c r="GG25" s="259" t="n"/>
      <c r="GH25" s="259" t="n"/>
      <c r="GI25" s="259" t="n"/>
      <c r="GJ25" s="259" t="n"/>
      <c r="GK25" s="259" t="n"/>
      <c r="GL25" s="259" t="n"/>
      <c r="GM25" s="259" t="n"/>
      <c r="GN25" s="259" t="n"/>
      <c r="GO25" s="259" t="n"/>
      <c r="GP25" s="259" t="n"/>
      <c r="GQ25" s="259" t="n"/>
      <c r="GR25" s="259" t="n"/>
      <c r="GS25" s="259" t="n"/>
      <c r="GT25" s="259" t="n"/>
      <c r="GU25" s="259" t="n"/>
      <c r="GV25" s="259" t="n"/>
      <c r="GW25" s="259" t="n"/>
      <c r="GX25" s="259" t="n"/>
      <c r="GY25" s="259" t="n"/>
      <c r="GZ25" s="259" t="n"/>
      <c r="HA25" s="259" t="n"/>
      <c r="HB25" s="259" t="n"/>
      <c r="HC25" s="259" t="n"/>
      <c r="HD25" s="259" t="n"/>
      <c r="HE25" s="259" t="n"/>
      <c r="HF25" s="259" t="n"/>
      <c r="HG25" s="259" t="n"/>
      <c r="HH25" s="259" t="n"/>
      <c r="HI25" s="259" t="n"/>
      <c r="HJ25" s="259" t="n"/>
      <c r="HK25" s="259" t="n"/>
      <c r="HL25" s="259" t="n"/>
      <c r="HM25" s="259" t="n"/>
      <c r="HN25" s="259" t="n"/>
      <c r="HO25" s="259" t="n"/>
      <c r="HP25" s="259" t="n"/>
      <c r="HQ25" s="259" t="n"/>
      <c r="HR25" s="259" t="n"/>
      <c r="HS25" s="259" t="n"/>
      <c r="HT25" s="259" t="n"/>
      <c r="HU25" s="259" t="n"/>
      <c r="HV25" s="259" t="n"/>
      <c r="HW25" s="259" t="n"/>
      <c r="HX25" s="259" t="n"/>
      <c r="HY25" s="259" t="n"/>
      <c r="HZ25" s="259" t="n"/>
      <c r="IA25" s="259" t="n"/>
      <c r="IB25" s="259" t="n"/>
      <c r="IC25" s="259" t="n"/>
      <c r="ID25" s="259" t="n"/>
      <c r="IE25" s="259" t="n"/>
      <c r="IF25" s="259" t="n"/>
      <c r="IG25" s="259" t="n"/>
      <c r="IH25" s="259" t="n"/>
      <c r="II25" s="259" t="n"/>
      <c r="IJ25" s="259" t="n"/>
      <c r="IK25" s="259" t="n"/>
      <c r="IL25" s="259" t="n"/>
      <c r="IM25" s="259" t="n"/>
      <c r="IN25" s="259" t="n"/>
      <c r="IO25" s="259" t="n"/>
      <c r="IP25" s="259" t="n"/>
      <c r="IQ25" s="259" t="n"/>
      <c r="IR25" s="259" t="n"/>
      <c r="IS25" s="259" t="n"/>
      <c r="IT25" s="259" t="n"/>
      <c r="IU25" s="259" t="n"/>
      <c r="IV25" s="259" t="n"/>
      <c r="IW25" s="259" t="n"/>
      <c r="IX25" s="259" t="n"/>
      <c r="IY25" s="259" t="n"/>
      <c r="IZ25" s="259" t="n"/>
      <c r="JA25" s="259" t="n"/>
      <c r="JB25" s="259" t="n"/>
      <c r="JC25" s="259" t="n"/>
      <c r="JD25" s="259" t="n"/>
      <c r="JE25" s="259" t="n"/>
      <c r="JF25" s="259" t="n"/>
      <c r="JG25" s="259" t="n"/>
      <c r="JH25" s="259" t="n"/>
      <c r="JI25" s="259" t="n"/>
      <c r="JJ25" s="259" t="n"/>
      <c r="JK25" s="259" t="n"/>
      <c r="JL25" s="259" t="n"/>
      <c r="JM25" s="259" t="n"/>
      <c r="JN25" s="259" t="n"/>
      <c r="JO25" s="259" t="n"/>
      <c r="JP25" s="259" t="n"/>
      <c r="JQ25" s="259" t="n"/>
      <c r="JR25" s="259" t="n"/>
      <c r="JS25" s="259" t="n"/>
      <c r="JT25" s="259" t="n"/>
      <c r="JU25" s="259" t="n"/>
      <c r="JV25" s="259" t="n"/>
      <c r="JW25" s="259" t="n"/>
      <c r="JX25" s="259" t="n"/>
      <c r="JY25" s="259" t="n"/>
      <c r="JZ25" s="259" t="n"/>
      <c r="KA25" s="259" t="n"/>
      <c r="KB25" s="259" t="n"/>
      <c r="KC25" s="259" t="n"/>
      <c r="KD25" s="259" t="n"/>
      <c r="KE25" s="259" t="n"/>
      <c r="KF25" s="259" t="n"/>
      <c r="KG25" s="259" t="n"/>
      <c r="KH25" s="259" t="n"/>
      <c r="KI25" s="259" t="n"/>
      <c r="KJ25" s="259" t="n"/>
      <c r="KK25" s="259" t="n"/>
      <c r="KL25" s="259" t="n"/>
      <c r="KM25" s="259" t="n"/>
      <c r="KN25" s="259" t="n"/>
      <c r="KO25" s="259" t="n"/>
      <c r="KP25" s="259" t="n"/>
      <c r="KQ25" s="259" t="n"/>
      <c r="KR25" s="259" t="n"/>
      <c r="KS25" s="259" t="n"/>
      <c r="KT25" s="259" t="n"/>
      <c r="KU25" s="259" t="n"/>
      <c r="KV25" s="259" t="n"/>
      <c r="KW25" s="259" t="n"/>
      <c r="KX25" s="259" t="n"/>
      <c r="KY25" s="259" t="n"/>
      <c r="KZ25" s="259" t="n"/>
      <c r="LA25" s="259" t="n"/>
      <c r="LB25" s="259" t="n"/>
      <c r="LC25" s="259" t="n"/>
      <c r="LD25" s="259" t="n"/>
      <c r="LE25" s="259" t="n"/>
      <c r="LF25" s="259" t="n"/>
      <c r="LG25" s="259" t="n"/>
      <c r="LH25" s="259" t="n"/>
      <c r="LI25" s="259" t="n"/>
      <c r="LJ25" s="259" t="n"/>
      <c r="LK25" s="259" t="n"/>
      <c r="LL25" s="259" t="n"/>
      <c r="LM25" s="259" t="n"/>
      <c r="LN25" s="259" t="n"/>
      <c r="LO25" s="259" t="n"/>
      <c r="LP25" s="259" t="n"/>
      <c r="LQ25" s="259" t="n"/>
      <c r="LR25" s="259" t="n"/>
      <c r="LS25" s="259" t="n"/>
      <c r="LT25" s="259" t="n"/>
      <c r="LU25" s="259" t="n"/>
      <c r="LV25" s="259" t="n"/>
      <c r="LW25" s="259" t="n"/>
      <c r="LX25" s="259" t="n"/>
      <c r="LY25" s="259" t="n"/>
      <c r="LZ25" s="259" t="n"/>
      <c r="MA25" s="259" t="n"/>
      <c r="MB25" s="259" t="n"/>
      <c r="MC25" s="259" t="n"/>
      <c r="MD25" s="259" t="n"/>
      <c r="ME25" s="259" t="n"/>
      <c r="MF25" s="259" t="n"/>
      <c r="MG25" s="259" t="n"/>
      <c r="MH25" s="259" t="n"/>
      <c r="MI25" s="259" t="n"/>
      <c r="MJ25" s="259" t="n"/>
      <c r="MK25" s="259" t="n"/>
      <c r="ML25" s="259" t="n"/>
      <c r="MM25" s="259" t="n"/>
      <c r="MN25" s="259" t="n"/>
      <c r="MO25" s="259" t="n"/>
      <c r="MP25" s="259" t="n"/>
      <c r="MQ25" s="259" t="n"/>
      <c r="MR25" s="259" t="n"/>
      <c r="MS25" s="259" t="n"/>
      <c r="MT25" s="259" t="n"/>
      <c r="MU25" s="259" t="n"/>
      <c r="MV25" s="259" t="n"/>
      <c r="MW25" s="259" t="n"/>
      <c r="MX25" s="259" t="n"/>
      <c r="MY25" s="259" t="n"/>
      <c r="MZ25" s="259" t="n"/>
      <c r="NA25" s="259" t="n"/>
      <c r="NB25" s="259" t="n"/>
      <c r="NC25" s="259" t="n"/>
      <c r="ND25" s="259" t="n"/>
      <c r="NE25" s="279" t="n"/>
    </row>
    <row r="26" ht="15.75" customHeight="1" s="166">
      <c r="A26" s="277" t="inlineStr">
        <is>
          <t>N - 1</t>
        </is>
      </c>
      <c r="B26" s="269" t="n"/>
      <c r="C26" s="269" t="n"/>
      <c r="D26" s="259" t="n"/>
      <c r="E26" s="259" t="n"/>
      <c r="F26" s="259" t="n"/>
      <c r="G26" s="259" t="n"/>
      <c r="H26" s="259" t="n"/>
      <c r="I26" s="259" t="n"/>
      <c r="J26" s="259" t="n"/>
      <c r="K26" s="259" t="n"/>
      <c r="L26" s="259" t="n"/>
      <c r="M26" s="259" t="n"/>
      <c r="N26" s="259" t="n"/>
      <c r="O26" s="259" t="n"/>
      <c r="P26" s="259" t="n"/>
      <c r="Q26" s="259" t="n"/>
      <c r="R26" s="259" t="n"/>
      <c r="S26" s="259" t="n"/>
      <c r="T26" s="259" t="n"/>
      <c r="U26" s="259" t="n"/>
      <c r="V26" s="259" t="n"/>
      <c r="W26" s="259" t="n"/>
      <c r="X26" s="259" t="n"/>
      <c r="Y26" s="259" t="n"/>
      <c r="Z26" s="259" t="n"/>
      <c r="AA26" s="259" t="n"/>
      <c r="AB26" s="259" t="n"/>
      <c r="AC26" s="259" t="n"/>
      <c r="AD26" s="259" t="n"/>
      <c r="AE26" s="259" t="n"/>
      <c r="AF26" s="259" t="n"/>
      <c r="AG26" s="259" t="n"/>
      <c r="AH26" s="259" t="n"/>
      <c r="AI26" s="259" t="n"/>
      <c r="AJ26" s="259" t="n"/>
      <c r="AK26" s="259" t="n"/>
      <c r="AL26" s="259" t="n"/>
      <c r="AM26" s="259" t="n"/>
      <c r="AN26" s="259" t="n"/>
      <c r="AO26" s="259" t="n"/>
      <c r="AP26" s="259" t="n"/>
      <c r="AQ26" s="259" t="n"/>
      <c r="AR26" s="259" t="n"/>
      <c r="AS26" s="259" t="n"/>
      <c r="AT26" s="259" t="n"/>
      <c r="AU26" s="259" t="n"/>
      <c r="AV26" s="259" t="n"/>
      <c r="AW26" s="259" t="n"/>
      <c r="AX26" s="259" t="n"/>
      <c r="AY26" s="259" t="n"/>
      <c r="AZ26" s="259" t="n"/>
      <c r="BA26" s="259" t="n"/>
      <c r="BB26" s="259" t="n"/>
      <c r="BC26" s="259" t="n"/>
      <c r="BD26" s="259" t="n"/>
      <c r="BE26" s="259" t="n"/>
      <c r="BF26" s="259" t="n"/>
      <c r="BG26" s="259" t="n"/>
      <c r="BH26" s="259" t="n"/>
      <c r="BI26" s="259" t="n"/>
      <c r="BJ26" s="259" t="n"/>
      <c r="BK26" s="259" t="n"/>
      <c r="BL26" s="259" t="n"/>
      <c r="BM26" s="259" t="n"/>
      <c r="BN26" s="259" t="n"/>
      <c r="BO26" s="259" t="n"/>
      <c r="BP26" s="259" t="n"/>
      <c r="BQ26" s="259" t="n"/>
      <c r="BR26" s="259" t="n"/>
      <c r="BS26" s="259" t="n"/>
      <c r="BT26" s="259" t="n"/>
      <c r="BU26" s="259" t="n"/>
      <c r="BV26" s="259" t="n"/>
      <c r="BW26" s="259" t="n"/>
      <c r="BX26" s="259" t="n"/>
      <c r="BY26" s="259" t="n"/>
      <c r="BZ26" s="259" t="n"/>
      <c r="CA26" s="259" t="n"/>
      <c r="CB26" s="259" t="n"/>
      <c r="CC26" s="259" t="n"/>
      <c r="CD26" s="259" t="n"/>
      <c r="CE26" s="259" t="n"/>
      <c r="CF26" s="259" t="n"/>
      <c r="CG26" s="259" t="n"/>
      <c r="CH26" s="259" t="n"/>
      <c r="CI26" s="259" t="n"/>
      <c r="CJ26" s="259" t="n"/>
      <c r="CK26" s="259" t="n"/>
      <c r="CL26" s="259" t="n"/>
      <c r="CM26" s="259" t="n"/>
      <c r="CN26" s="259" t="n"/>
      <c r="CO26" s="259" t="n"/>
      <c r="CP26" s="259" t="n"/>
      <c r="CQ26" s="259" t="n"/>
      <c r="CR26" s="259" t="n"/>
      <c r="CS26" s="259" t="n"/>
      <c r="CT26" s="259" t="n"/>
      <c r="CU26" s="259" t="n"/>
      <c r="CV26" s="259" t="n"/>
      <c r="CW26" s="259" t="n"/>
      <c r="CX26" s="259" t="n"/>
      <c r="CY26" s="259" t="n"/>
      <c r="CZ26" s="259" t="n"/>
      <c r="DA26" s="259" t="n"/>
      <c r="DB26" s="259" t="n"/>
      <c r="DC26" s="259" t="n"/>
      <c r="DD26" s="259" t="n"/>
      <c r="DE26" s="259" t="n"/>
      <c r="DF26" s="259" t="n"/>
      <c r="DG26" s="259" t="n"/>
      <c r="DH26" s="259" t="n"/>
      <c r="DI26" s="259" t="n"/>
      <c r="DJ26" s="259" t="n"/>
      <c r="DK26" s="259" t="n"/>
      <c r="DL26" s="259" t="n"/>
      <c r="DM26" s="259" t="n"/>
      <c r="DN26" s="259" t="n"/>
      <c r="DO26" s="259" t="n"/>
      <c r="DP26" s="259" t="n"/>
      <c r="DQ26" s="259" t="n"/>
      <c r="DR26" s="259" t="n"/>
      <c r="DS26" s="259" t="n"/>
      <c r="DT26" s="259" t="n"/>
      <c r="DU26" s="259" t="n"/>
      <c r="DV26" s="259" t="n"/>
      <c r="DW26" s="259" t="n"/>
      <c r="DX26" s="259" t="n"/>
      <c r="DY26" s="259" t="n"/>
      <c r="DZ26" s="259" t="n"/>
      <c r="EA26" s="259" t="n"/>
      <c r="EB26" s="259" t="n"/>
      <c r="EC26" s="259" t="n"/>
      <c r="ED26" s="259" t="n"/>
      <c r="EE26" s="259" t="n"/>
      <c r="EF26" s="259" t="n"/>
      <c r="EG26" s="259" t="n"/>
      <c r="EH26" s="259" t="n"/>
      <c r="EI26" s="259" t="n"/>
      <c r="EJ26" s="259" t="n"/>
      <c r="EK26" s="259" t="n"/>
      <c r="EL26" s="259" t="n"/>
      <c r="EM26" s="259" t="n"/>
      <c r="EN26" s="259" t="n"/>
      <c r="EO26" s="259" t="n"/>
      <c r="EP26" s="259" t="n"/>
      <c r="EQ26" s="259" t="n"/>
      <c r="ER26" s="259" t="n"/>
      <c r="ES26" s="259" t="n"/>
      <c r="ET26" s="259" t="n"/>
      <c r="EU26" s="259" t="n"/>
      <c r="EV26" s="259" t="n"/>
      <c r="EW26" s="259" t="n"/>
      <c r="EX26" s="259" t="n"/>
      <c r="EY26" s="259" t="n"/>
      <c r="EZ26" s="259" t="n"/>
      <c r="FA26" s="259" t="n"/>
      <c r="FB26" s="259" t="n"/>
      <c r="FC26" s="259" t="n"/>
      <c r="FD26" s="259" t="n"/>
      <c r="FE26" s="259" t="n"/>
      <c r="FF26" s="259" t="n"/>
      <c r="FG26" s="259" t="n"/>
      <c r="FH26" s="259" t="n"/>
      <c r="FI26" s="259" t="n"/>
      <c r="FJ26" s="259" t="n"/>
      <c r="FK26" s="259" t="n"/>
      <c r="FL26" s="259" t="n"/>
      <c r="FM26" s="259" t="n"/>
      <c r="FN26" s="259" t="n"/>
      <c r="FO26" s="259" t="n"/>
      <c r="FP26" s="259" t="n"/>
      <c r="FQ26" s="259" t="n"/>
      <c r="FR26" s="259" t="n"/>
      <c r="FS26" s="259" t="n"/>
      <c r="FT26" s="259" t="n"/>
      <c r="FU26" s="259" t="n"/>
      <c r="FV26" s="259" t="n"/>
      <c r="FW26" s="259" t="n"/>
      <c r="FX26" s="259" t="n"/>
      <c r="FY26" s="259" t="n"/>
      <c r="FZ26" s="259" t="n"/>
      <c r="GA26" s="259" t="n"/>
      <c r="GB26" s="259" t="n"/>
      <c r="GC26" s="259" t="n"/>
      <c r="GD26" s="259" t="n"/>
      <c r="GE26" s="259" t="n"/>
      <c r="GF26" s="259" t="n"/>
      <c r="GG26" s="259" t="n"/>
      <c r="GH26" s="259" t="n"/>
      <c r="GI26" s="259" t="n"/>
      <c r="GJ26" s="259" t="n"/>
      <c r="GK26" s="259" t="n"/>
      <c r="GL26" s="259" t="n"/>
      <c r="GM26" s="259" t="n"/>
      <c r="GN26" s="259" t="n"/>
      <c r="GO26" s="259" t="n"/>
      <c r="GP26" s="259" t="n"/>
      <c r="GQ26" s="259" t="n"/>
      <c r="GR26" s="259" t="n"/>
      <c r="GS26" s="259" t="n"/>
      <c r="GT26" s="259" t="n"/>
      <c r="GU26" s="259" t="n"/>
      <c r="GV26" s="259" t="n"/>
      <c r="GW26" s="259" t="n"/>
      <c r="GX26" s="259" t="n"/>
      <c r="GY26" s="259" t="n"/>
      <c r="GZ26" s="259" t="n"/>
      <c r="HA26" s="259" t="n"/>
      <c r="HB26" s="259" t="n"/>
      <c r="HC26" s="259" t="n"/>
      <c r="HD26" s="259" t="n"/>
      <c r="HE26" s="259" t="n"/>
      <c r="HF26" s="259" t="n"/>
      <c r="HG26" s="259" t="n"/>
      <c r="HH26" s="259" t="n"/>
      <c r="HI26" s="259" t="n"/>
      <c r="HJ26" s="259" t="n"/>
      <c r="HK26" s="259" t="n"/>
      <c r="HL26" s="259" t="n"/>
      <c r="HM26" s="259" t="n"/>
      <c r="HN26" s="259" t="n"/>
      <c r="HO26" s="259" t="n"/>
      <c r="HP26" s="259" t="n"/>
      <c r="HQ26" s="259" t="n"/>
      <c r="HR26" s="259" t="n"/>
      <c r="HS26" s="259" t="n"/>
      <c r="HT26" s="259" t="n"/>
      <c r="HU26" s="259" t="n"/>
      <c r="HV26" s="259" t="n"/>
      <c r="HW26" s="259" t="n"/>
      <c r="HX26" s="259" t="n"/>
      <c r="HY26" s="259" t="n"/>
      <c r="HZ26" s="259" t="n"/>
      <c r="IA26" s="259" t="n"/>
      <c r="IB26" s="259" t="n"/>
      <c r="IC26" s="259" t="n"/>
      <c r="ID26" s="259" t="n"/>
      <c r="IE26" s="259" t="n"/>
      <c r="IF26" s="259" t="n"/>
      <c r="IG26" s="259" t="n"/>
      <c r="IH26" s="259" t="n"/>
      <c r="II26" s="259" t="n"/>
      <c r="IJ26" s="259" t="n"/>
      <c r="IK26" s="259" t="n"/>
      <c r="IL26" s="259" t="n"/>
      <c r="IM26" s="259" t="n"/>
      <c r="IN26" s="259" t="n"/>
      <c r="IO26" s="259" t="n"/>
      <c r="IP26" s="259" t="n"/>
      <c r="IQ26" s="259" t="n"/>
      <c r="IR26" s="259" t="n"/>
      <c r="IS26" s="259" t="n"/>
      <c r="IT26" s="259" t="n"/>
      <c r="IU26" s="259" t="n"/>
      <c r="IV26" s="259" t="n"/>
      <c r="IW26" s="259" t="n"/>
      <c r="IX26" s="259" t="n"/>
      <c r="IY26" s="259" t="n"/>
      <c r="IZ26" s="259" t="n"/>
      <c r="JA26" s="259" t="n"/>
      <c r="JB26" s="259" t="n"/>
      <c r="JC26" s="259" t="n"/>
      <c r="JD26" s="259" t="n"/>
      <c r="JE26" s="259" t="n"/>
      <c r="JF26" s="259" t="n"/>
      <c r="JG26" s="259" t="n"/>
      <c r="JH26" s="259" t="n"/>
      <c r="JI26" s="259" t="n"/>
      <c r="JJ26" s="259" t="n"/>
      <c r="JK26" s="259" t="n"/>
      <c r="JL26" s="259" t="n"/>
      <c r="JM26" s="259" t="n"/>
      <c r="JN26" s="259" t="n"/>
      <c r="JO26" s="259" t="n"/>
      <c r="JP26" s="259" t="n"/>
      <c r="JQ26" s="259" t="n"/>
      <c r="JR26" s="259" t="n"/>
      <c r="JS26" s="259" t="n"/>
      <c r="JT26" s="259" t="n"/>
      <c r="JU26" s="259" t="n"/>
      <c r="JV26" s="259" t="n"/>
      <c r="JW26" s="259" t="n"/>
      <c r="JX26" s="259" t="n"/>
      <c r="JY26" s="259" t="n"/>
      <c r="JZ26" s="259" t="n"/>
      <c r="KA26" s="259" t="n"/>
      <c r="KB26" s="259" t="n"/>
      <c r="KC26" s="259" t="n"/>
      <c r="KD26" s="259" t="n"/>
      <c r="KE26" s="259" t="n"/>
      <c r="KF26" s="259" t="n"/>
      <c r="KG26" s="259" t="n"/>
      <c r="KH26" s="259" t="n"/>
      <c r="KI26" s="259" t="n"/>
      <c r="KJ26" s="259" t="n"/>
      <c r="KK26" s="259" t="n"/>
      <c r="KL26" s="259" t="n"/>
      <c r="KM26" s="259" t="n"/>
      <c r="KN26" s="259" t="n"/>
      <c r="KO26" s="259" t="n"/>
      <c r="KP26" s="259" t="n"/>
      <c r="KQ26" s="259" t="n"/>
      <c r="KR26" s="259" t="n"/>
      <c r="KS26" s="259" t="n"/>
      <c r="KT26" s="259" t="n"/>
      <c r="KU26" s="259" t="n"/>
      <c r="KV26" s="259" t="n"/>
      <c r="KW26" s="259" t="n"/>
      <c r="KX26" s="259" t="n"/>
      <c r="KY26" s="259" t="n"/>
      <c r="KZ26" s="259" t="n"/>
      <c r="LA26" s="259" t="n"/>
      <c r="LB26" s="259" t="n"/>
      <c r="LC26" s="259" t="n"/>
      <c r="LD26" s="259" t="n"/>
      <c r="LE26" s="259" t="n"/>
      <c r="LF26" s="259" t="n"/>
      <c r="LG26" s="259" t="n"/>
      <c r="LH26" s="259" t="n"/>
      <c r="LI26" s="259" t="n"/>
      <c r="LJ26" s="259" t="n"/>
      <c r="LK26" s="259" t="n"/>
      <c r="LL26" s="259" t="n"/>
      <c r="LM26" s="259" t="n"/>
      <c r="LN26" s="259" t="n"/>
      <c r="LO26" s="259" t="n"/>
      <c r="LP26" s="259" t="n"/>
      <c r="LQ26" s="259" t="n"/>
      <c r="LR26" s="259" t="n"/>
      <c r="LS26" s="259" t="n"/>
      <c r="LT26" s="259" t="n"/>
      <c r="LU26" s="259" t="n"/>
      <c r="LV26" s="259" t="n"/>
      <c r="LW26" s="259" t="n"/>
      <c r="LX26" s="259" t="n"/>
      <c r="LY26" s="259" t="n"/>
      <c r="LZ26" s="259" t="n"/>
      <c r="MA26" s="259" t="n"/>
      <c r="MB26" s="259" t="n"/>
      <c r="MC26" s="259" t="n"/>
      <c r="MD26" s="259" t="n"/>
      <c r="ME26" s="259" t="n"/>
      <c r="MF26" s="259" t="n"/>
      <c r="MG26" s="259" t="n"/>
      <c r="MH26" s="259" t="n"/>
      <c r="MI26" s="259" t="n"/>
      <c r="MJ26" s="259" t="n"/>
      <c r="MK26" s="259" t="n"/>
      <c r="ML26" s="259" t="n"/>
      <c r="MM26" s="259" t="n"/>
      <c r="MN26" s="259" t="n"/>
      <c r="MO26" s="259" t="n"/>
      <c r="MP26" s="259" t="n"/>
      <c r="MQ26" s="259" t="n"/>
      <c r="MR26" s="259" t="n"/>
      <c r="MS26" s="259" t="n"/>
      <c r="MT26" s="259" t="n"/>
      <c r="MU26" s="259" t="n"/>
      <c r="MV26" s="259" t="n"/>
      <c r="MW26" s="259" t="n"/>
      <c r="MX26" s="259" t="n"/>
      <c r="MY26" s="259" t="n"/>
      <c r="MZ26" s="259" t="n"/>
      <c r="NA26" s="259" t="n"/>
      <c r="NB26" s="259" t="n"/>
      <c r="NC26" s="259" t="n"/>
      <c r="ND26" s="259" t="n"/>
      <c r="NE26" s="279" t="n"/>
    </row>
    <row r="27" ht="15" customHeight="1" s="166">
      <c r="A27" s="277" t="inlineStr">
        <is>
          <t>N</t>
        </is>
      </c>
      <c r="B27" s="278" t="inlineStr">
        <is>
          <t>Water</t>
        </is>
      </c>
      <c r="C27" s="278" t="inlineStr">
        <is>
          <t>SAR</t>
        </is>
      </c>
      <c r="D27" s="259" t="n"/>
      <c r="E27" s="259" t="n"/>
      <c r="F27" s="259" t="n"/>
      <c r="G27" s="259" t="n"/>
      <c r="H27" s="259" t="n"/>
      <c r="I27" s="259" t="n"/>
      <c r="J27" s="259" t="n"/>
      <c r="K27" s="259" t="n"/>
      <c r="L27" s="259" t="n"/>
      <c r="M27" s="259" t="n"/>
      <c r="N27" s="259" t="n"/>
      <c r="O27" s="259" t="n"/>
      <c r="P27" s="259" t="n"/>
      <c r="Q27" s="259" t="n"/>
      <c r="R27" s="259" t="n"/>
      <c r="S27" s="259" t="n"/>
      <c r="T27" s="259" t="n"/>
      <c r="U27" s="259" t="n"/>
      <c r="V27" s="259" t="n"/>
      <c r="W27" s="259" t="n"/>
      <c r="X27" s="259" t="n"/>
      <c r="Y27" s="259" t="n"/>
      <c r="Z27" s="259" t="n"/>
      <c r="AA27" s="259" t="n"/>
      <c r="AB27" s="259" t="n"/>
      <c r="AC27" s="259" t="n"/>
      <c r="AD27" s="259" t="n"/>
      <c r="AE27" s="259" t="n"/>
      <c r="AF27" s="259" t="n"/>
      <c r="AG27" s="259" t="n"/>
      <c r="AH27" s="259" t="n"/>
      <c r="AI27" s="259" t="n"/>
      <c r="AJ27" s="259" t="n"/>
      <c r="AK27" s="259" t="n"/>
      <c r="AL27" s="259" t="n"/>
      <c r="AM27" s="259" t="n"/>
      <c r="AN27" s="259" t="n"/>
      <c r="AO27" s="259" t="n"/>
      <c r="AP27" s="259" t="n"/>
      <c r="AQ27" s="259" t="n"/>
      <c r="AR27" s="259" t="n"/>
      <c r="AS27" s="259" t="n"/>
      <c r="AT27" s="259" t="n"/>
      <c r="AU27" s="259" t="n"/>
      <c r="AV27" s="259" t="n"/>
      <c r="AW27" s="259" t="n"/>
      <c r="AX27" s="259" t="n"/>
      <c r="AY27" s="259" t="n"/>
      <c r="AZ27" s="259" t="n"/>
      <c r="BA27" s="259" t="n"/>
      <c r="BB27" s="259" t="n"/>
      <c r="BC27" s="259" t="n"/>
      <c r="BD27" s="259" t="n"/>
      <c r="BE27" s="259" t="n"/>
      <c r="BF27" s="259" t="n"/>
      <c r="BG27" s="259" t="n"/>
      <c r="BH27" s="259" t="n"/>
      <c r="BI27" s="259" t="n"/>
      <c r="BJ27" s="259" t="n"/>
      <c r="BK27" s="259" t="n"/>
      <c r="BL27" s="259" t="n"/>
      <c r="BM27" s="259" t="n"/>
      <c r="BN27" s="259" t="n"/>
      <c r="BO27" s="259" t="n"/>
      <c r="BP27" s="259" t="n"/>
      <c r="BQ27" s="259" t="n"/>
      <c r="BR27" s="259" t="n"/>
      <c r="BS27" s="259" t="n"/>
      <c r="BT27" s="259" t="n"/>
      <c r="BU27" s="259" t="n"/>
      <c r="BV27" s="259" t="n"/>
      <c r="BW27" s="259" t="n"/>
      <c r="BX27" s="259" t="n"/>
      <c r="BY27" s="259" t="n"/>
      <c r="BZ27" s="259" t="n"/>
      <c r="CA27" s="259" t="n"/>
      <c r="CB27" s="259" t="n"/>
      <c r="CC27" s="259" t="n"/>
      <c r="CD27" s="259" t="n"/>
      <c r="CE27" s="259" t="n"/>
      <c r="CF27" s="259" t="n"/>
      <c r="CG27" s="259" t="n"/>
      <c r="CH27" s="259" t="n"/>
      <c r="CI27" s="259" t="n"/>
      <c r="CJ27" s="259" t="n"/>
      <c r="CK27" s="259" t="n"/>
      <c r="CL27" s="259" t="n"/>
      <c r="CM27" s="259" t="n"/>
      <c r="CN27" s="259" t="n"/>
      <c r="CO27" s="259" t="n"/>
      <c r="CP27" s="259" t="n"/>
      <c r="CQ27" s="259" t="n"/>
      <c r="CR27" s="259" t="n"/>
      <c r="CS27" s="259" t="n"/>
      <c r="CT27" s="259" t="n"/>
      <c r="CU27" s="259" t="n"/>
      <c r="CV27" s="259" t="n"/>
      <c r="CW27" s="259" t="n"/>
      <c r="CX27" s="259" t="n"/>
      <c r="CY27" s="259" t="n"/>
      <c r="CZ27" s="259" t="n"/>
      <c r="DA27" s="259" t="n"/>
      <c r="DB27" s="259" t="n"/>
      <c r="DC27" s="259" t="n"/>
      <c r="DD27" s="259" t="n"/>
      <c r="DE27" s="259" t="n"/>
      <c r="DF27" s="259" t="n"/>
      <c r="DG27" s="259" t="n"/>
      <c r="DH27" s="259" t="n"/>
      <c r="DI27" s="259" t="n"/>
      <c r="DJ27" s="259" t="n"/>
      <c r="DK27" s="259" t="n"/>
      <c r="DL27" s="259" t="n"/>
      <c r="DM27" s="259" t="n"/>
      <c r="DN27" s="259" t="n"/>
      <c r="DO27" s="259" t="n"/>
      <c r="DP27" s="259" t="n"/>
      <c r="DQ27" s="259" t="n"/>
      <c r="DR27" s="259" t="n"/>
      <c r="DS27" s="259" t="n"/>
      <c r="DT27" s="259" t="n"/>
      <c r="DU27" s="259" t="n"/>
      <c r="DV27" s="259" t="n"/>
      <c r="DW27" s="259" t="n"/>
      <c r="DX27" s="259" t="n"/>
      <c r="DY27" s="259" t="n"/>
      <c r="DZ27" s="259" t="n"/>
      <c r="EA27" s="259" t="n"/>
      <c r="EB27" s="259" t="n"/>
      <c r="EC27" s="259" t="n"/>
      <c r="ED27" s="259" t="n"/>
      <c r="EE27" s="259" t="n"/>
      <c r="EF27" s="259" t="n"/>
      <c r="EG27" s="259" t="n"/>
      <c r="EH27" s="259" t="n"/>
      <c r="EI27" s="259" t="n"/>
      <c r="EJ27" s="259" t="n"/>
      <c r="EK27" s="259" t="n"/>
      <c r="EL27" s="259" t="n"/>
      <c r="EM27" s="259" t="n"/>
      <c r="EN27" s="259" t="n"/>
      <c r="EO27" s="259" t="n"/>
      <c r="EP27" s="259" t="n"/>
      <c r="EQ27" s="259" t="n"/>
      <c r="ER27" s="259" t="n"/>
      <c r="ES27" s="259" t="n"/>
      <c r="ET27" s="259" t="n"/>
      <c r="EU27" s="259" t="n"/>
      <c r="EV27" s="259" t="n"/>
      <c r="EW27" s="259" t="n"/>
      <c r="EX27" s="259" t="n"/>
      <c r="EY27" s="259" t="n"/>
      <c r="EZ27" s="259" t="n"/>
      <c r="FA27" s="259" t="n"/>
      <c r="FB27" s="259" t="n"/>
      <c r="FC27" s="259" t="n"/>
      <c r="FD27" s="259" t="n"/>
      <c r="FE27" s="259" t="n"/>
      <c r="FF27" s="259" t="n"/>
      <c r="FG27" s="259" t="n"/>
      <c r="FH27" s="259" t="n"/>
      <c r="FI27" s="259" t="n"/>
      <c r="FJ27" s="259" t="n"/>
      <c r="FK27" s="259" t="n"/>
      <c r="FL27" s="259" t="n"/>
      <c r="FM27" s="259" t="n"/>
      <c r="FN27" s="259" t="n"/>
      <c r="FO27" s="259" t="n"/>
      <c r="FP27" s="259" t="n"/>
      <c r="FQ27" s="259" t="n"/>
      <c r="FR27" s="259" t="n"/>
      <c r="FS27" s="259" t="n"/>
      <c r="FT27" s="259" t="n"/>
      <c r="FU27" s="259" t="n"/>
      <c r="FV27" s="259" t="n"/>
      <c r="FW27" s="259" t="n"/>
      <c r="FX27" s="259" t="n"/>
      <c r="FY27" s="259" t="n"/>
      <c r="FZ27" s="259" t="n"/>
      <c r="GA27" s="259" t="n"/>
      <c r="GB27" s="259" t="n"/>
      <c r="GC27" s="259" t="n"/>
      <c r="GD27" s="259" t="n"/>
      <c r="GE27" s="259" t="n"/>
      <c r="GF27" s="259" t="n"/>
      <c r="GG27" s="259" t="n"/>
      <c r="GH27" s="259" t="n"/>
      <c r="GI27" s="259" t="n"/>
      <c r="GJ27" s="259" t="n"/>
      <c r="GK27" s="259" t="n"/>
      <c r="GL27" s="259" t="n"/>
      <c r="GM27" s="259" t="n"/>
      <c r="GN27" s="259" t="n"/>
      <c r="GO27" s="259" t="n"/>
      <c r="GP27" s="259" t="n"/>
      <c r="GQ27" s="259" t="n"/>
      <c r="GR27" s="259" t="n"/>
      <c r="GS27" s="259" t="n"/>
      <c r="GT27" s="259" t="n"/>
      <c r="GU27" s="259" t="n"/>
      <c r="GV27" s="259" t="n"/>
      <c r="GW27" s="259" t="n"/>
      <c r="GX27" s="259" t="n"/>
      <c r="GY27" s="259" t="n"/>
      <c r="GZ27" s="259" t="n"/>
      <c r="HA27" s="259" t="n"/>
      <c r="HB27" s="259" t="n"/>
      <c r="HC27" s="259" t="n"/>
      <c r="HD27" s="259" t="n"/>
      <c r="HE27" s="259" t="n"/>
      <c r="HF27" s="259" t="n"/>
      <c r="HG27" s="259" t="n"/>
      <c r="HH27" s="259" t="n"/>
      <c r="HI27" s="259" t="n"/>
      <c r="HJ27" s="259" t="n"/>
      <c r="HK27" s="259" t="n"/>
      <c r="HL27" s="259" t="n"/>
      <c r="HM27" s="259" t="n"/>
      <c r="HN27" s="259" t="n"/>
      <c r="HO27" s="259" t="n"/>
      <c r="HP27" s="259" t="n"/>
      <c r="HQ27" s="259" t="n"/>
      <c r="HR27" s="259" t="n"/>
      <c r="HS27" s="259" t="n"/>
      <c r="HT27" s="259" t="n"/>
      <c r="HU27" s="259" t="n"/>
      <c r="HV27" s="259" t="n"/>
      <c r="HW27" s="259" t="n"/>
      <c r="HX27" s="259" t="n"/>
      <c r="HY27" s="259" t="n"/>
      <c r="HZ27" s="259" t="n"/>
      <c r="IA27" s="259" t="n"/>
      <c r="IB27" s="259" t="n"/>
      <c r="IC27" s="259" t="n"/>
      <c r="ID27" s="259" t="n"/>
      <c r="IE27" s="259" t="n"/>
      <c r="IF27" s="259" t="n"/>
      <c r="IG27" s="259" t="n"/>
      <c r="IH27" s="259" t="n"/>
      <c r="II27" s="259" t="n"/>
      <c r="IJ27" s="259" t="n"/>
      <c r="IK27" s="259" t="n"/>
      <c r="IL27" s="259" t="n"/>
      <c r="IM27" s="259" t="n"/>
      <c r="IN27" s="259" t="n"/>
      <c r="IO27" s="259" t="n"/>
      <c r="IP27" s="259" t="n"/>
      <c r="IQ27" s="259" t="n"/>
      <c r="IR27" s="259" t="n"/>
      <c r="IS27" s="259" t="n"/>
      <c r="IT27" s="259" t="n"/>
      <c r="IU27" s="259" t="n"/>
      <c r="IV27" s="259" t="n"/>
      <c r="IW27" s="259" t="n"/>
      <c r="IX27" s="259" t="n"/>
      <c r="IY27" s="259" t="n"/>
      <c r="IZ27" s="259" t="n"/>
      <c r="JA27" s="259" t="n"/>
      <c r="JB27" s="259" t="n"/>
      <c r="JC27" s="259" t="n"/>
      <c r="JD27" s="259" t="n"/>
      <c r="JE27" s="259" t="n"/>
      <c r="JF27" s="259" t="n"/>
      <c r="JG27" s="259" t="n"/>
      <c r="JH27" s="259" t="n"/>
      <c r="JI27" s="259" t="n"/>
      <c r="JJ27" s="259" t="n"/>
      <c r="JK27" s="259" t="n"/>
      <c r="JL27" s="259" t="n"/>
      <c r="JM27" s="259" t="n"/>
      <c r="JN27" s="259" t="n"/>
      <c r="JO27" s="259" t="n"/>
      <c r="JP27" s="259" t="n"/>
      <c r="JQ27" s="259" t="n"/>
      <c r="JR27" s="259" t="n"/>
      <c r="JS27" s="259" t="n"/>
      <c r="JT27" s="259" t="n"/>
      <c r="JU27" s="259" t="n"/>
      <c r="JV27" s="259" t="n"/>
      <c r="JW27" s="259" t="n"/>
      <c r="JX27" s="259" t="n"/>
      <c r="JY27" s="259" t="n"/>
      <c r="JZ27" s="259" t="n"/>
      <c r="KA27" s="259" t="n"/>
      <c r="KB27" s="259" t="n"/>
      <c r="KC27" s="259" t="n"/>
      <c r="KD27" s="259" t="n"/>
      <c r="KE27" s="259" t="n"/>
      <c r="KF27" s="259" t="n"/>
      <c r="KG27" s="259" t="n"/>
      <c r="KH27" s="259" t="n"/>
      <c r="KI27" s="259" t="n"/>
      <c r="KJ27" s="259" t="n"/>
      <c r="KK27" s="259" t="n"/>
      <c r="KL27" s="259" t="n"/>
      <c r="KM27" s="259" t="n"/>
      <c r="KN27" s="259" t="n"/>
      <c r="KO27" s="259" t="n"/>
      <c r="KP27" s="259" t="n"/>
      <c r="KQ27" s="259" t="n"/>
      <c r="KR27" s="259" t="n"/>
      <c r="KS27" s="259" t="n"/>
      <c r="KT27" s="259" t="n"/>
      <c r="KU27" s="259" t="n"/>
      <c r="KV27" s="259" t="n"/>
      <c r="KW27" s="259" t="n"/>
      <c r="KX27" s="259" t="n"/>
      <c r="KY27" s="259" t="n"/>
      <c r="KZ27" s="259" t="n"/>
      <c r="LA27" s="259" t="n"/>
      <c r="LB27" s="259" t="n"/>
      <c r="LC27" s="259" t="n"/>
      <c r="LD27" s="259" t="n"/>
      <c r="LE27" s="259" t="n"/>
      <c r="LF27" s="259" t="n"/>
      <c r="LG27" s="259" t="n"/>
      <c r="LH27" s="259" t="n"/>
      <c r="LI27" s="259" t="n"/>
      <c r="LJ27" s="259" t="n"/>
      <c r="LK27" s="259" t="n"/>
      <c r="LL27" s="259" t="n"/>
      <c r="LM27" s="259" t="n"/>
      <c r="LN27" s="259" t="n"/>
      <c r="LO27" s="259" t="n"/>
      <c r="LP27" s="259" t="n"/>
      <c r="LQ27" s="259" t="n"/>
      <c r="LR27" s="259" t="n"/>
      <c r="LS27" s="259" t="n"/>
      <c r="LT27" s="259" t="n"/>
      <c r="LU27" s="259" t="n"/>
      <c r="LV27" s="259" t="n"/>
      <c r="LW27" s="259" t="n"/>
      <c r="LX27" s="259" t="n"/>
      <c r="LY27" s="259" t="n"/>
      <c r="LZ27" s="259" t="n"/>
      <c r="MA27" s="259" t="n"/>
      <c r="MB27" s="259" t="n"/>
      <c r="MC27" s="259" t="n"/>
      <c r="MD27" s="259" t="n"/>
      <c r="ME27" s="259" t="n"/>
      <c r="MF27" s="259" t="n"/>
      <c r="MG27" s="259" t="n"/>
      <c r="MH27" s="259" t="n"/>
      <c r="MI27" s="259" t="n"/>
      <c r="MJ27" s="259" t="n"/>
      <c r="MK27" s="259" t="n"/>
      <c r="ML27" s="259" t="n"/>
      <c r="MM27" s="259" t="n"/>
      <c r="MN27" s="259" t="n"/>
      <c r="MO27" s="259" t="n"/>
      <c r="MP27" s="259" t="n"/>
      <c r="MQ27" s="259" t="n"/>
      <c r="MR27" s="259" t="n"/>
      <c r="MS27" s="259" t="n"/>
      <c r="MT27" s="259" t="n"/>
      <c r="MU27" s="259" t="n"/>
      <c r="MV27" s="259" t="n"/>
      <c r="MW27" s="259" t="n"/>
      <c r="MX27" s="259" t="n"/>
      <c r="MY27" s="259" t="n"/>
      <c r="MZ27" s="259" t="n"/>
      <c r="NA27" s="259" t="n"/>
      <c r="NB27" s="259" t="n"/>
      <c r="NC27" s="259" t="n"/>
      <c r="ND27" s="259" t="n"/>
      <c r="NE27" s="279" t="n"/>
    </row>
    <row r="28" ht="15.75" customHeight="1" s="166">
      <c r="A28" s="277" t="inlineStr">
        <is>
          <t>N - 1</t>
        </is>
      </c>
      <c r="B28" s="269" t="n"/>
      <c r="C28" s="269" t="n"/>
      <c r="D28" s="259" t="n"/>
      <c r="E28" s="259" t="n"/>
      <c r="F28" s="259" t="n"/>
      <c r="G28" s="259" t="n"/>
      <c r="H28" s="259" t="n"/>
      <c r="I28" s="259" t="n"/>
      <c r="J28" s="259" t="n"/>
      <c r="K28" s="259" t="n"/>
      <c r="L28" s="259" t="n"/>
      <c r="M28" s="259" t="n"/>
      <c r="N28" s="259" t="n"/>
      <c r="O28" s="259" t="n"/>
      <c r="P28" s="259" t="n"/>
      <c r="Q28" s="259" t="n"/>
      <c r="R28" s="259" t="n"/>
      <c r="S28" s="259" t="n"/>
      <c r="T28" s="259" t="n"/>
      <c r="U28" s="259" t="n"/>
      <c r="V28" s="259" t="n"/>
      <c r="W28" s="259" t="n"/>
      <c r="X28" s="259" t="n"/>
      <c r="Y28" s="259" t="n"/>
      <c r="Z28" s="259" t="n"/>
      <c r="AA28" s="259" t="n"/>
      <c r="AB28" s="259" t="n"/>
      <c r="AC28" s="259" t="n"/>
      <c r="AD28" s="259" t="n"/>
      <c r="AE28" s="259" t="n"/>
      <c r="AF28" s="259" t="n"/>
      <c r="AG28" s="259" t="n"/>
      <c r="AH28" s="259" t="n"/>
      <c r="AI28" s="259" t="n"/>
      <c r="AJ28" s="259" t="n"/>
      <c r="AK28" s="259" t="n"/>
      <c r="AL28" s="259" t="n"/>
      <c r="AM28" s="259" t="n"/>
      <c r="AN28" s="259" t="n"/>
      <c r="AO28" s="259" t="n"/>
      <c r="AP28" s="259" t="n"/>
      <c r="AQ28" s="259" t="n"/>
      <c r="AR28" s="259" t="n"/>
      <c r="AS28" s="259" t="n"/>
      <c r="AT28" s="259" t="n"/>
      <c r="AU28" s="259" t="n"/>
      <c r="AV28" s="259" t="n"/>
      <c r="AW28" s="259" t="n"/>
      <c r="AX28" s="259" t="n"/>
      <c r="AY28" s="259" t="n"/>
      <c r="AZ28" s="259" t="n"/>
      <c r="BA28" s="259" t="n"/>
      <c r="BB28" s="259" t="n"/>
      <c r="BC28" s="259" t="n"/>
      <c r="BD28" s="259" t="n"/>
      <c r="BE28" s="259" t="n"/>
      <c r="BF28" s="259" t="n"/>
      <c r="BG28" s="259" t="n"/>
      <c r="BH28" s="259" t="n"/>
      <c r="BI28" s="259" t="n"/>
      <c r="BJ28" s="259" t="n"/>
      <c r="BK28" s="259" t="n"/>
      <c r="BL28" s="259" t="n"/>
      <c r="BM28" s="259" t="n"/>
      <c r="BN28" s="259" t="n"/>
      <c r="BO28" s="259" t="n"/>
      <c r="BP28" s="259" t="n"/>
      <c r="BQ28" s="259" t="n"/>
      <c r="BR28" s="259" t="n"/>
      <c r="BS28" s="259" t="n"/>
      <c r="BT28" s="259" t="n"/>
      <c r="BU28" s="259" t="n"/>
      <c r="BV28" s="259" t="n"/>
      <c r="BW28" s="259" t="n"/>
      <c r="BX28" s="259" t="n"/>
      <c r="BY28" s="259" t="n"/>
      <c r="BZ28" s="259" t="n"/>
      <c r="CA28" s="259" t="n"/>
      <c r="CB28" s="259" t="n"/>
      <c r="CC28" s="259" t="n"/>
      <c r="CD28" s="259" t="n"/>
      <c r="CE28" s="259" t="n"/>
      <c r="CF28" s="259" t="n"/>
      <c r="CG28" s="259" t="n"/>
      <c r="CH28" s="259" t="n"/>
      <c r="CI28" s="259" t="n"/>
      <c r="CJ28" s="259" t="n"/>
      <c r="CK28" s="259" t="n"/>
      <c r="CL28" s="259" t="n"/>
      <c r="CM28" s="259" t="n"/>
      <c r="CN28" s="259" t="n"/>
      <c r="CO28" s="259" t="n"/>
      <c r="CP28" s="259" t="n"/>
      <c r="CQ28" s="259" t="n"/>
      <c r="CR28" s="259" t="n"/>
      <c r="CS28" s="259" t="n"/>
      <c r="CT28" s="259" t="n"/>
      <c r="CU28" s="259" t="n"/>
      <c r="CV28" s="259" t="n"/>
      <c r="CW28" s="259" t="n"/>
      <c r="CX28" s="259" t="n"/>
      <c r="CY28" s="259" t="n"/>
      <c r="CZ28" s="259" t="n"/>
      <c r="DA28" s="259" t="n"/>
      <c r="DB28" s="259" t="n"/>
      <c r="DC28" s="259" t="n"/>
      <c r="DD28" s="259" t="n"/>
      <c r="DE28" s="259" t="n"/>
      <c r="DF28" s="259" t="n"/>
      <c r="DG28" s="259" t="n"/>
      <c r="DH28" s="259" t="n"/>
      <c r="DI28" s="259" t="n"/>
      <c r="DJ28" s="259" t="n"/>
      <c r="DK28" s="259" t="n"/>
      <c r="DL28" s="259" t="n"/>
      <c r="DM28" s="259" t="n"/>
      <c r="DN28" s="259" t="n"/>
      <c r="DO28" s="259" t="n"/>
      <c r="DP28" s="259" t="n"/>
      <c r="DQ28" s="259" t="n"/>
      <c r="DR28" s="259" t="n"/>
      <c r="DS28" s="259" t="n"/>
      <c r="DT28" s="259" t="n"/>
      <c r="DU28" s="259" t="n"/>
      <c r="DV28" s="259" t="n"/>
      <c r="DW28" s="259" t="n"/>
      <c r="DX28" s="259" t="n"/>
      <c r="DY28" s="259" t="n"/>
      <c r="DZ28" s="259" t="n"/>
      <c r="EA28" s="259" t="n"/>
      <c r="EB28" s="259" t="n"/>
      <c r="EC28" s="259" t="n"/>
      <c r="ED28" s="259" t="n"/>
      <c r="EE28" s="259" t="n"/>
      <c r="EF28" s="259" t="n"/>
      <c r="EG28" s="259" t="n"/>
      <c r="EH28" s="259" t="n"/>
      <c r="EI28" s="259" t="n"/>
      <c r="EJ28" s="259" t="n"/>
      <c r="EK28" s="259" t="n"/>
      <c r="EL28" s="259" t="n"/>
      <c r="EM28" s="259" t="n"/>
      <c r="EN28" s="259" t="n"/>
      <c r="EO28" s="259" t="n"/>
      <c r="EP28" s="259" t="n"/>
      <c r="EQ28" s="259" t="n"/>
      <c r="ER28" s="259" t="n"/>
      <c r="ES28" s="259" t="n"/>
      <c r="ET28" s="259" t="n"/>
      <c r="EU28" s="259" t="n"/>
      <c r="EV28" s="259" t="n"/>
      <c r="EW28" s="259" t="n"/>
      <c r="EX28" s="259" t="n"/>
      <c r="EY28" s="259" t="n"/>
      <c r="EZ28" s="259" t="n"/>
      <c r="FA28" s="259" t="n"/>
      <c r="FB28" s="259" t="n"/>
      <c r="FC28" s="259" t="n"/>
      <c r="FD28" s="259" t="n"/>
      <c r="FE28" s="259" t="n"/>
      <c r="FF28" s="259" t="n"/>
      <c r="FG28" s="259" t="n"/>
      <c r="FH28" s="259" t="n"/>
      <c r="FI28" s="259" t="n"/>
      <c r="FJ28" s="259" t="n"/>
      <c r="FK28" s="259" t="n"/>
      <c r="FL28" s="259" t="n"/>
      <c r="FM28" s="259" t="n"/>
      <c r="FN28" s="259" t="n"/>
      <c r="FO28" s="259" t="n"/>
      <c r="FP28" s="259" t="n"/>
      <c r="FQ28" s="259" t="n"/>
      <c r="FR28" s="259" t="n"/>
      <c r="FS28" s="259" t="n"/>
      <c r="FT28" s="259" t="n"/>
      <c r="FU28" s="259" t="n"/>
      <c r="FV28" s="259" t="n"/>
      <c r="FW28" s="259" t="n"/>
      <c r="FX28" s="259" t="n"/>
      <c r="FY28" s="259" t="n"/>
      <c r="FZ28" s="259" t="n"/>
      <c r="GA28" s="259" t="n"/>
      <c r="GB28" s="259" t="n"/>
      <c r="GC28" s="259" t="n"/>
      <c r="GD28" s="259" t="n"/>
      <c r="GE28" s="259" t="n"/>
      <c r="GF28" s="259" t="n"/>
      <c r="GG28" s="259" t="n"/>
      <c r="GH28" s="259" t="n"/>
      <c r="GI28" s="259" t="n"/>
      <c r="GJ28" s="259" t="n"/>
      <c r="GK28" s="259" t="n"/>
      <c r="GL28" s="259" t="n"/>
      <c r="GM28" s="259" t="n"/>
      <c r="GN28" s="259" t="n"/>
      <c r="GO28" s="259" t="n"/>
      <c r="GP28" s="259" t="n"/>
      <c r="GQ28" s="259" t="n"/>
      <c r="GR28" s="259" t="n"/>
      <c r="GS28" s="259" t="n"/>
      <c r="GT28" s="259" t="n"/>
      <c r="GU28" s="259" t="n"/>
      <c r="GV28" s="259" t="n"/>
      <c r="GW28" s="259" t="n"/>
      <c r="GX28" s="259" t="n"/>
      <c r="GY28" s="259" t="n"/>
      <c r="GZ28" s="259" t="n"/>
      <c r="HA28" s="259" t="n"/>
      <c r="HB28" s="259" t="n"/>
      <c r="HC28" s="259" t="n"/>
      <c r="HD28" s="259" t="n"/>
      <c r="HE28" s="259" t="n"/>
      <c r="HF28" s="259" t="n"/>
      <c r="HG28" s="259" t="n"/>
      <c r="HH28" s="259" t="n"/>
      <c r="HI28" s="259" t="n"/>
      <c r="HJ28" s="259" t="n"/>
      <c r="HK28" s="259" t="n"/>
      <c r="HL28" s="259" t="n"/>
      <c r="HM28" s="259" t="n"/>
      <c r="HN28" s="259" t="n"/>
      <c r="HO28" s="259" t="n"/>
      <c r="HP28" s="259" t="n"/>
      <c r="HQ28" s="259" t="n"/>
      <c r="HR28" s="259" t="n"/>
      <c r="HS28" s="259" t="n"/>
      <c r="HT28" s="259" t="n"/>
      <c r="HU28" s="259" t="n"/>
      <c r="HV28" s="259" t="n"/>
      <c r="HW28" s="259" t="n"/>
      <c r="HX28" s="259" t="n"/>
      <c r="HY28" s="259" t="n"/>
      <c r="HZ28" s="259" t="n"/>
      <c r="IA28" s="259" t="n"/>
      <c r="IB28" s="259" t="n"/>
      <c r="IC28" s="259" t="n"/>
      <c r="ID28" s="259" t="n"/>
      <c r="IE28" s="259" t="n"/>
      <c r="IF28" s="259" t="n"/>
      <c r="IG28" s="259" t="n"/>
      <c r="IH28" s="259" t="n"/>
      <c r="II28" s="259" t="n"/>
      <c r="IJ28" s="259" t="n"/>
      <c r="IK28" s="259" t="n"/>
      <c r="IL28" s="259" t="n"/>
      <c r="IM28" s="259" t="n"/>
      <c r="IN28" s="259" t="n"/>
      <c r="IO28" s="259" t="n"/>
      <c r="IP28" s="259" t="n"/>
      <c r="IQ28" s="259" t="n"/>
      <c r="IR28" s="259" t="n"/>
      <c r="IS28" s="259" t="n"/>
      <c r="IT28" s="259" t="n"/>
      <c r="IU28" s="259" t="n"/>
      <c r="IV28" s="259" t="n"/>
      <c r="IW28" s="259" t="n"/>
      <c r="IX28" s="259" t="n"/>
      <c r="IY28" s="259" t="n"/>
      <c r="IZ28" s="259" t="n"/>
      <c r="JA28" s="259" t="n"/>
      <c r="JB28" s="259" t="n"/>
      <c r="JC28" s="259" t="n"/>
      <c r="JD28" s="259" t="n"/>
      <c r="JE28" s="259" t="n"/>
      <c r="JF28" s="259" t="n"/>
      <c r="JG28" s="259" t="n"/>
      <c r="JH28" s="259" t="n"/>
      <c r="JI28" s="259" t="n"/>
      <c r="JJ28" s="259" t="n"/>
      <c r="JK28" s="259" t="n"/>
      <c r="JL28" s="259" t="n"/>
      <c r="JM28" s="259" t="n"/>
      <c r="JN28" s="259" t="n"/>
      <c r="JO28" s="259" t="n"/>
      <c r="JP28" s="259" t="n"/>
      <c r="JQ28" s="259" t="n"/>
      <c r="JR28" s="259" t="n"/>
      <c r="JS28" s="259" t="n"/>
      <c r="JT28" s="259" t="n"/>
      <c r="JU28" s="259" t="n"/>
      <c r="JV28" s="259" t="n"/>
      <c r="JW28" s="259" t="n"/>
      <c r="JX28" s="259" t="n"/>
      <c r="JY28" s="259" t="n"/>
      <c r="JZ28" s="259" t="n"/>
      <c r="KA28" s="259" t="n"/>
      <c r="KB28" s="259" t="n"/>
      <c r="KC28" s="259" t="n"/>
      <c r="KD28" s="259" t="n"/>
      <c r="KE28" s="259" t="n"/>
      <c r="KF28" s="259" t="n"/>
      <c r="KG28" s="259" t="n"/>
      <c r="KH28" s="259" t="n"/>
      <c r="KI28" s="259" t="n"/>
      <c r="KJ28" s="259" t="n"/>
      <c r="KK28" s="259" t="n"/>
      <c r="KL28" s="259" t="n"/>
      <c r="KM28" s="259" t="n"/>
      <c r="KN28" s="259" t="n"/>
      <c r="KO28" s="259" t="n"/>
      <c r="KP28" s="259" t="n"/>
      <c r="KQ28" s="259" t="n"/>
      <c r="KR28" s="259" t="n"/>
      <c r="KS28" s="259" t="n"/>
      <c r="KT28" s="259" t="n"/>
      <c r="KU28" s="259" t="n"/>
      <c r="KV28" s="259" t="n"/>
      <c r="KW28" s="259" t="n"/>
      <c r="KX28" s="259" t="n"/>
      <c r="KY28" s="259" t="n"/>
      <c r="KZ28" s="259" t="n"/>
      <c r="LA28" s="259" t="n"/>
      <c r="LB28" s="259" t="n"/>
      <c r="LC28" s="259" t="n"/>
      <c r="LD28" s="259" t="n"/>
      <c r="LE28" s="259" t="n"/>
      <c r="LF28" s="259" t="n"/>
      <c r="LG28" s="259" t="n"/>
      <c r="LH28" s="259" t="n"/>
      <c r="LI28" s="259" t="n"/>
      <c r="LJ28" s="259" t="n"/>
      <c r="LK28" s="259" t="n"/>
      <c r="LL28" s="259" t="n"/>
      <c r="LM28" s="259" t="n"/>
      <c r="LN28" s="259" t="n"/>
      <c r="LO28" s="259" t="n"/>
      <c r="LP28" s="259" t="n"/>
      <c r="LQ28" s="259" t="n"/>
      <c r="LR28" s="259" t="n"/>
      <c r="LS28" s="259" t="n"/>
      <c r="LT28" s="259" t="n"/>
      <c r="LU28" s="259" t="n"/>
      <c r="LV28" s="259" t="n"/>
      <c r="LW28" s="259" t="n"/>
      <c r="LX28" s="259" t="n"/>
      <c r="LY28" s="259" t="n"/>
      <c r="LZ28" s="259" t="n"/>
      <c r="MA28" s="259" t="n"/>
      <c r="MB28" s="259" t="n"/>
      <c r="MC28" s="259" t="n"/>
      <c r="MD28" s="259" t="n"/>
      <c r="ME28" s="259" t="n"/>
      <c r="MF28" s="259" t="n"/>
      <c r="MG28" s="259" t="n"/>
      <c r="MH28" s="259" t="n"/>
      <c r="MI28" s="259" t="n"/>
      <c r="MJ28" s="259" t="n"/>
      <c r="MK28" s="259" t="n"/>
      <c r="ML28" s="259" t="n"/>
      <c r="MM28" s="259" t="n"/>
      <c r="MN28" s="259" t="n"/>
      <c r="MO28" s="259" t="n"/>
      <c r="MP28" s="259" t="n"/>
      <c r="MQ28" s="259" t="n"/>
      <c r="MR28" s="259" t="n"/>
      <c r="MS28" s="259" t="n"/>
      <c r="MT28" s="259" t="n"/>
      <c r="MU28" s="259" t="n"/>
      <c r="MV28" s="259" t="n"/>
      <c r="MW28" s="259" t="n"/>
      <c r="MX28" s="259" t="n"/>
      <c r="MY28" s="259" t="n"/>
      <c r="MZ28" s="259" t="n"/>
      <c r="NA28" s="259" t="n"/>
      <c r="NB28" s="259" t="n"/>
      <c r="NC28" s="259" t="n"/>
      <c r="ND28" s="259" t="n"/>
      <c r="NE28" s="279" t="n"/>
    </row>
    <row r="29" ht="15" customHeight="1" s="166">
      <c r="A29" s="277" t="inlineStr">
        <is>
          <t>N</t>
        </is>
      </c>
      <c r="B29" s="278" t="inlineStr">
        <is>
          <t>Gas</t>
        </is>
      </c>
      <c r="C29" s="278" t="inlineStr">
        <is>
          <t>SAR</t>
        </is>
      </c>
      <c r="D29" s="259" t="n"/>
      <c r="E29" s="259" t="n"/>
      <c r="F29" s="259" t="n"/>
      <c r="G29" s="259" t="n"/>
      <c r="H29" s="259" t="n"/>
      <c r="I29" s="259" t="n"/>
      <c r="J29" s="259" t="n"/>
      <c r="K29" s="259" t="n"/>
      <c r="L29" s="259" t="n"/>
      <c r="M29" s="259" t="n"/>
      <c r="N29" s="259" t="n"/>
      <c r="O29" s="259" t="n"/>
      <c r="P29" s="259" t="n"/>
      <c r="Q29" s="259" t="n"/>
      <c r="R29" s="259" t="n"/>
      <c r="S29" s="259" t="n"/>
      <c r="T29" s="259" t="n"/>
      <c r="U29" s="259" t="n"/>
      <c r="V29" s="259" t="n"/>
      <c r="W29" s="259" t="n"/>
      <c r="X29" s="259" t="n"/>
      <c r="Y29" s="259" t="n"/>
      <c r="Z29" s="259" t="n"/>
      <c r="AA29" s="259" t="n"/>
      <c r="AB29" s="259" t="n"/>
      <c r="AC29" s="259" t="n"/>
      <c r="AD29" s="259" t="n"/>
      <c r="AE29" s="259" t="n"/>
      <c r="AF29" s="259" t="n"/>
      <c r="AG29" s="259" t="n"/>
      <c r="AH29" s="259" t="n"/>
      <c r="AI29" s="259" t="n"/>
      <c r="AJ29" s="259" t="n"/>
      <c r="AK29" s="259" t="n"/>
      <c r="AL29" s="259" t="n"/>
      <c r="AM29" s="259" t="n"/>
      <c r="AN29" s="259" t="n"/>
      <c r="AO29" s="259" t="n"/>
      <c r="AP29" s="259" t="n"/>
      <c r="AQ29" s="259" t="n"/>
      <c r="AR29" s="259" t="n"/>
      <c r="AS29" s="259" t="n"/>
      <c r="AT29" s="259" t="n"/>
      <c r="AU29" s="259" t="n"/>
      <c r="AV29" s="259" t="n"/>
      <c r="AW29" s="259" t="n"/>
      <c r="AX29" s="259" t="n"/>
      <c r="AY29" s="259" t="n"/>
      <c r="AZ29" s="259" t="n"/>
      <c r="BA29" s="259" t="n"/>
      <c r="BB29" s="259" t="n"/>
      <c r="BC29" s="259" t="n"/>
      <c r="BD29" s="259" t="n"/>
      <c r="BE29" s="259" t="n"/>
      <c r="BF29" s="259" t="n"/>
      <c r="BG29" s="259" t="n"/>
      <c r="BH29" s="259" t="n"/>
      <c r="BI29" s="259" t="n"/>
      <c r="BJ29" s="259" t="n"/>
      <c r="BK29" s="259" t="n"/>
      <c r="BL29" s="259" t="n"/>
      <c r="BM29" s="259" t="n"/>
      <c r="BN29" s="259" t="n"/>
      <c r="BO29" s="259" t="n"/>
      <c r="BP29" s="259" t="n"/>
      <c r="BQ29" s="259" t="n"/>
      <c r="BR29" s="259" t="n"/>
      <c r="BS29" s="259" t="n"/>
      <c r="BT29" s="259" t="n"/>
      <c r="BU29" s="259" t="n"/>
      <c r="BV29" s="259" t="n"/>
      <c r="BW29" s="259" t="n"/>
      <c r="BX29" s="259" t="n"/>
      <c r="BY29" s="259" t="n"/>
      <c r="BZ29" s="259" t="n"/>
      <c r="CA29" s="259" t="n"/>
      <c r="CB29" s="259" t="n"/>
      <c r="CC29" s="259" t="n"/>
      <c r="CD29" s="259" t="n"/>
      <c r="CE29" s="259" t="n"/>
      <c r="CF29" s="259" t="n"/>
      <c r="CG29" s="259" t="n"/>
      <c r="CH29" s="259" t="n"/>
      <c r="CI29" s="259" t="n"/>
      <c r="CJ29" s="259" t="n"/>
      <c r="CK29" s="259" t="n"/>
      <c r="CL29" s="259" t="n"/>
      <c r="CM29" s="259" t="n"/>
      <c r="CN29" s="259" t="n"/>
      <c r="CO29" s="259" t="n"/>
      <c r="CP29" s="259" t="n"/>
      <c r="CQ29" s="259" t="n"/>
      <c r="CR29" s="259" t="n"/>
      <c r="CS29" s="259" t="n"/>
      <c r="CT29" s="259" t="n"/>
      <c r="CU29" s="259" t="n"/>
      <c r="CV29" s="259" t="n"/>
      <c r="CW29" s="259" t="n"/>
      <c r="CX29" s="259" t="n"/>
      <c r="CY29" s="259" t="n"/>
      <c r="CZ29" s="259" t="n"/>
      <c r="DA29" s="259" t="n"/>
      <c r="DB29" s="259" t="n"/>
      <c r="DC29" s="259" t="n"/>
      <c r="DD29" s="259" t="n"/>
      <c r="DE29" s="259" t="n"/>
      <c r="DF29" s="259" t="n"/>
      <c r="DG29" s="259" t="n"/>
      <c r="DH29" s="259" t="n"/>
      <c r="DI29" s="259" t="n"/>
      <c r="DJ29" s="259" t="n"/>
      <c r="DK29" s="259" t="n"/>
      <c r="DL29" s="259" t="n"/>
      <c r="DM29" s="259" t="n"/>
      <c r="DN29" s="259" t="n"/>
      <c r="DO29" s="259" t="n"/>
      <c r="DP29" s="259" t="n"/>
      <c r="DQ29" s="259" t="n"/>
      <c r="DR29" s="259" t="n"/>
      <c r="DS29" s="259" t="n"/>
      <c r="DT29" s="259" t="n"/>
      <c r="DU29" s="259" t="n"/>
      <c r="DV29" s="259" t="n"/>
      <c r="DW29" s="259" t="n"/>
      <c r="DX29" s="259" t="n"/>
      <c r="DY29" s="259" t="n"/>
      <c r="DZ29" s="259" t="n"/>
      <c r="EA29" s="259" t="n"/>
      <c r="EB29" s="259" t="n"/>
      <c r="EC29" s="259" t="n"/>
      <c r="ED29" s="259" t="n"/>
      <c r="EE29" s="259" t="n"/>
      <c r="EF29" s="259" t="n"/>
      <c r="EG29" s="259" t="n"/>
      <c r="EH29" s="259" t="n"/>
      <c r="EI29" s="259" t="n"/>
      <c r="EJ29" s="259" t="n"/>
      <c r="EK29" s="259" t="n"/>
      <c r="EL29" s="259" t="n"/>
      <c r="EM29" s="259" t="n"/>
      <c r="EN29" s="259" t="n"/>
      <c r="EO29" s="259" t="n"/>
      <c r="EP29" s="259" t="n"/>
      <c r="EQ29" s="259" t="n"/>
      <c r="ER29" s="259" t="n"/>
      <c r="ES29" s="259" t="n"/>
      <c r="ET29" s="259" t="n"/>
      <c r="EU29" s="259" t="n"/>
      <c r="EV29" s="259" t="n"/>
      <c r="EW29" s="259" t="n"/>
      <c r="EX29" s="259" t="n"/>
      <c r="EY29" s="259" t="n"/>
      <c r="EZ29" s="259" t="n"/>
      <c r="FA29" s="259" t="n"/>
      <c r="FB29" s="259" t="n"/>
      <c r="FC29" s="259" t="n"/>
      <c r="FD29" s="259" t="n"/>
      <c r="FE29" s="259" t="n"/>
      <c r="FF29" s="259" t="n"/>
      <c r="FG29" s="259" t="n"/>
      <c r="FH29" s="259" t="n"/>
      <c r="FI29" s="259" t="n"/>
      <c r="FJ29" s="259" t="n"/>
      <c r="FK29" s="259" t="n"/>
      <c r="FL29" s="259" t="n"/>
      <c r="FM29" s="259" t="n"/>
      <c r="FN29" s="259" t="n"/>
      <c r="FO29" s="259" t="n"/>
      <c r="FP29" s="259" t="n"/>
      <c r="FQ29" s="259" t="n"/>
      <c r="FR29" s="259" t="n"/>
      <c r="FS29" s="259" t="n"/>
      <c r="FT29" s="259" t="n"/>
      <c r="FU29" s="259" t="n"/>
      <c r="FV29" s="259" t="n"/>
      <c r="FW29" s="259" t="n"/>
      <c r="FX29" s="259" t="n"/>
      <c r="FY29" s="259" t="n"/>
      <c r="FZ29" s="259" t="n"/>
      <c r="GA29" s="259" t="n"/>
      <c r="GB29" s="259" t="n"/>
      <c r="GC29" s="259" t="n"/>
      <c r="GD29" s="259" t="n"/>
      <c r="GE29" s="259" t="n"/>
      <c r="GF29" s="259" t="n"/>
      <c r="GG29" s="259" t="n"/>
      <c r="GH29" s="259" t="n"/>
      <c r="GI29" s="259" t="n"/>
      <c r="GJ29" s="259" t="n"/>
      <c r="GK29" s="259" t="n"/>
      <c r="GL29" s="259" t="n"/>
      <c r="GM29" s="259" t="n"/>
      <c r="GN29" s="259" t="n"/>
      <c r="GO29" s="259" t="n"/>
      <c r="GP29" s="259" t="n"/>
      <c r="GQ29" s="259" t="n"/>
      <c r="GR29" s="259" t="n"/>
      <c r="GS29" s="259" t="n"/>
      <c r="GT29" s="259" t="n"/>
      <c r="GU29" s="259" t="n"/>
      <c r="GV29" s="259" t="n"/>
      <c r="GW29" s="259" t="n"/>
      <c r="GX29" s="259" t="n"/>
      <c r="GY29" s="259" t="n"/>
      <c r="GZ29" s="259" t="n"/>
      <c r="HA29" s="259" t="n"/>
      <c r="HB29" s="259" t="n"/>
      <c r="HC29" s="259" t="n"/>
      <c r="HD29" s="259" t="n"/>
      <c r="HE29" s="259" t="n"/>
      <c r="HF29" s="259" t="n"/>
      <c r="HG29" s="259" t="n"/>
      <c r="HH29" s="259" t="n"/>
      <c r="HI29" s="259" t="n"/>
      <c r="HJ29" s="259" t="n"/>
      <c r="HK29" s="259" t="n"/>
      <c r="HL29" s="259" t="n"/>
      <c r="HM29" s="259" t="n"/>
      <c r="HN29" s="259" t="n"/>
      <c r="HO29" s="259" t="n"/>
      <c r="HP29" s="259" t="n"/>
      <c r="HQ29" s="259" t="n"/>
      <c r="HR29" s="259" t="n"/>
      <c r="HS29" s="259" t="n"/>
      <c r="HT29" s="259" t="n"/>
      <c r="HU29" s="259" t="n"/>
      <c r="HV29" s="259" t="n"/>
      <c r="HW29" s="259" t="n"/>
      <c r="HX29" s="259" t="n"/>
      <c r="HY29" s="259" t="n"/>
      <c r="HZ29" s="259" t="n"/>
      <c r="IA29" s="259" t="n"/>
      <c r="IB29" s="259" t="n"/>
      <c r="IC29" s="259" t="n"/>
      <c r="ID29" s="259" t="n"/>
      <c r="IE29" s="259" t="n"/>
      <c r="IF29" s="259" t="n"/>
      <c r="IG29" s="259" t="n"/>
      <c r="IH29" s="259" t="n"/>
      <c r="II29" s="259" t="n"/>
      <c r="IJ29" s="259" t="n"/>
      <c r="IK29" s="259" t="n"/>
      <c r="IL29" s="259" t="n"/>
      <c r="IM29" s="259" t="n"/>
      <c r="IN29" s="259" t="n"/>
      <c r="IO29" s="259" t="n"/>
      <c r="IP29" s="259" t="n"/>
      <c r="IQ29" s="259" t="n"/>
      <c r="IR29" s="259" t="n"/>
      <c r="IS29" s="259" t="n"/>
      <c r="IT29" s="259" t="n"/>
      <c r="IU29" s="259" t="n"/>
      <c r="IV29" s="259" t="n"/>
      <c r="IW29" s="259" t="n"/>
      <c r="IX29" s="259" t="n"/>
      <c r="IY29" s="259" t="n"/>
      <c r="IZ29" s="259" t="n"/>
      <c r="JA29" s="259" t="n"/>
      <c r="JB29" s="259" t="n"/>
      <c r="JC29" s="259" t="n"/>
      <c r="JD29" s="259" t="n"/>
      <c r="JE29" s="259" t="n"/>
      <c r="JF29" s="259" t="n"/>
      <c r="JG29" s="259" t="n"/>
      <c r="JH29" s="259" t="n"/>
      <c r="JI29" s="259" t="n"/>
      <c r="JJ29" s="259" t="n"/>
      <c r="JK29" s="259" t="n"/>
      <c r="JL29" s="259" t="n"/>
      <c r="JM29" s="259" t="n"/>
      <c r="JN29" s="259" t="n"/>
      <c r="JO29" s="259" t="n"/>
      <c r="JP29" s="259" t="n"/>
      <c r="JQ29" s="259" t="n"/>
      <c r="JR29" s="259" t="n"/>
      <c r="JS29" s="259" t="n"/>
      <c r="JT29" s="259" t="n"/>
      <c r="JU29" s="259" t="n"/>
      <c r="JV29" s="259" t="n"/>
      <c r="JW29" s="259" t="n"/>
      <c r="JX29" s="259" t="n"/>
      <c r="JY29" s="259" t="n"/>
      <c r="JZ29" s="259" t="n"/>
      <c r="KA29" s="259" t="n"/>
      <c r="KB29" s="259" t="n"/>
      <c r="KC29" s="259" t="n"/>
      <c r="KD29" s="259" t="n"/>
      <c r="KE29" s="259" t="n"/>
      <c r="KF29" s="259" t="n"/>
      <c r="KG29" s="259" t="n"/>
      <c r="KH29" s="259" t="n"/>
      <c r="KI29" s="259" t="n"/>
      <c r="KJ29" s="259" t="n"/>
      <c r="KK29" s="259" t="n"/>
      <c r="KL29" s="259" t="n"/>
      <c r="KM29" s="259" t="n"/>
      <c r="KN29" s="259" t="n"/>
      <c r="KO29" s="259" t="n"/>
      <c r="KP29" s="259" t="n"/>
      <c r="KQ29" s="259" t="n"/>
      <c r="KR29" s="259" t="n"/>
      <c r="KS29" s="259" t="n"/>
      <c r="KT29" s="259" t="n"/>
      <c r="KU29" s="259" t="n"/>
      <c r="KV29" s="259" t="n"/>
      <c r="KW29" s="259" t="n"/>
      <c r="KX29" s="259" t="n"/>
      <c r="KY29" s="259" t="n"/>
      <c r="KZ29" s="259" t="n"/>
      <c r="LA29" s="259" t="n"/>
      <c r="LB29" s="259" t="n"/>
      <c r="LC29" s="259" t="n"/>
      <c r="LD29" s="259" t="n"/>
      <c r="LE29" s="259" t="n"/>
      <c r="LF29" s="259" t="n"/>
      <c r="LG29" s="259" t="n"/>
      <c r="LH29" s="259" t="n"/>
      <c r="LI29" s="259" t="n"/>
      <c r="LJ29" s="259" t="n"/>
      <c r="LK29" s="259" t="n"/>
      <c r="LL29" s="259" t="n"/>
      <c r="LM29" s="259" t="n"/>
      <c r="LN29" s="259" t="n"/>
      <c r="LO29" s="259" t="n"/>
      <c r="LP29" s="259" t="n"/>
      <c r="LQ29" s="259" t="n"/>
      <c r="LR29" s="259" t="n"/>
      <c r="LS29" s="259" t="n"/>
      <c r="LT29" s="259" t="n"/>
      <c r="LU29" s="259" t="n"/>
      <c r="LV29" s="259" t="n"/>
      <c r="LW29" s="259" t="n"/>
      <c r="LX29" s="259" t="n"/>
      <c r="LY29" s="259" t="n"/>
      <c r="LZ29" s="259" t="n"/>
      <c r="MA29" s="259" t="n"/>
      <c r="MB29" s="259" t="n"/>
      <c r="MC29" s="259" t="n"/>
      <c r="MD29" s="259" t="n"/>
      <c r="ME29" s="259" t="n"/>
      <c r="MF29" s="259" t="n"/>
      <c r="MG29" s="259" t="n"/>
      <c r="MH29" s="259" t="n"/>
      <c r="MI29" s="259" t="n"/>
      <c r="MJ29" s="259" t="n"/>
      <c r="MK29" s="259" t="n"/>
      <c r="ML29" s="259" t="n"/>
      <c r="MM29" s="259" t="n"/>
      <c r="MN29" s="259" t="n"/>
      <c r="MO29" s="259" t="n"/>
      <c r="MP29" s="259" t="n"/>
      <c r="MQ29" s="259" t="n"/>
      <c r="MR29" s="259" t="n"/>
      <c r="MS29" s="259" t="n"/>
      <c r="MT29" s="259" t="n"/>
      <c r="MU29" s="259" t="n"/>
      <c r="MV29" s="259" t="n"/>
      <c r="MW29" s="259" t="n"/>
      <c r="MX29" s="259" t="n"/>
      <c r="MY29" s="259" t="n"/>
      <c r="MZ29" s="259" t="n"/>
      <c r="NA29" s="259" t="n"/>
      <c r="NB29" s="259" t="n"/>
      <c r="NC29" s="259" t="n"/>
      <c r="ND29" s="259" t="n"/>
      <c r="NE29" s="279" t="n"/>
    </row>
    <row r="30" ht="15.75" customHeight="1" s="166">
      <c r="A30" s="277" t="inlineStr">
        <is>
          <t>N - 1</t>
        </is>
      </c>
      <c r="B30" s="269" t="n"/>
      <c r="C30" s="269" t="n"/>
      <c r="D30" s="259" t="n"/>
      <c r="E30" s="259" t="n"/>
      <c r="F30" s="259" t="n"/>
      <c r="G30" s="259" t="n"/>
      <c r="H30" s="259" t="n"/>
      <c r="I30" s="259" t="n"/>
      <c r="J30" s="259" t="n"/>
      <c r="K30" s="259" t="n"/>
      <c r="L30" s="259" t="n"/>
      <c r="M30" s="259" t="n"/>
      <c r="N30" s="259" t="n"/>
      <c r="O30" s="259" t="n"/>
      <c r="P30" s="259" t="n"/>
      <c r="Q30" s="259" t="n"/>
      <c r="R30" s="259" t="n"/>
      <c r="S30" s="259" t="n"/>
      <c r="T30" s="259" t="n"/>
      <c r="U30" s="259" t="n"/>
      <c r="V30" s="259" t="n"/>
      <c r="W30" s="259" t="n"/>
      <c r="X30" s="259" t="n"/>
      <c r="Y30" s="259" t="n"/>
      <c r="Z30" s="259" t="n"/>
      <c r="AA30" s="259" t="n"/>
      <c r="AB30" s="259" t="n"/>
      <c r="AC30" s="259" t="n"/>
      <c r="AD30" s="259" t="n"/>
      <c r="AE30" s="259" t="n"/>
      <c r="AF30" s="259" t="n"/>
      <c r="AG30" s="259" t="n"/>
      <c r="AH30" s="259" t="n"/>
      <c r="AI30" s="259" t="n"/>
      <c r="AJ30" s="259" t="n"/>
      <c r="AK30" s="259" t="n"/>
      <c r="AL30" s="259" t="n"/>
      <c r="AM30" s="259" t="n"/>
      <c r="AN30" s="259" t="n"/>
      <c r="AO30" s="259" t="n"/>
      <c r="AP30" s="259" t="n"/>
      <c r="AQ30" s="259" t="n"/>
      <c r="AR30" s="259" t="n"/>
      <c r="AS30" s="259" t="n"/>
      <c r="AT30" s="259" t="n"/>
      <c r="AU30" s="259" t="n"/>
      <c r="AV30" s="259" t="n"/>
      <c r="AW30" s="259" t="n"/>
      <c r="AX30" s="259" t="n"/>
      <c r="AY30" s="259" t="n"/>
      <c r="AZ30" s="259" t="n"/>
      <c r="BA30" s="259" t="n"/>
      <c r="BB30" s="259" t="n"/>
      <c r="BC30" s="259" t="n"/>
      <c r="BD30" s="259" t="n"/>
      <c r="BE30" s="259" t="n"/>
      <c r="BF30" s="259" t="n"/>
      <c r="BG30" s="259" t="n"/>
      <c r="BH30" s="259" t="n"/>
      <c r="BI30" s="259" t="n"/>
      <c r="BJ30" s="259" t="n"/>
      <c r="BK30" s="259" t="n"/>
      <c r="BL30" s="259" t="n"/>
      <c r="BM30" s="259" t="n"/>
      <c r="BN30" s="259" t="n"/>
      <c r="BO30" s="259" t="n"/>
      <c r="BP30" s="259" t="n"/>
      <c r="BQ30" s="259" t="n"/>
      <c r="BR30" s="259" t="n"/>
      <c r="BS30" s="259" t="n"/>
      <c r="BT30" s="259" t="n"/>
      <c r="BU30" s="259" t="n"/>
      <c r="BV30" s="259" t="n"/>
      <c r="BW30" s="259" t="n"/>
      <c r="BX30" s="259" t="n"/>
      <c r="BY30" s="259" t="n"/>
      <c r="BZ30" s="259" t="n"/>
      <c r="CA30" s="259" t="n"/>
      <c r="CB30" s="259" t="n"/>
      <c r="CC30" s="259" t="n"/>
      <c r="CD30" s="259" t="n"/>
      <c r="CE30" s="259" t="n"/>
      <c r="CF30" s="259" t="n"/>
      <c r="CG30" s="259" t="n"/>
      <c r="CH30" s="259" t="n"/>
      <c r="CI30" s="259" t="n"/>
      <c r="CJ30" s="259" t="n"/>
      <c r="CK30" s="259" t="n"/>
      <c r="CL30" s="259" t="n"/>
      <c r="CM30" s="259" t="n"/>
      <c r="CN30" s="259" t="n"/>
      <c r="CO30" s="259" t="n"/>
      <c r="CP30" s="259" t="n"/>
      <c r="CQ30" s="259" t="n"/>
      <c r="CR30" s="259" t="n"/>
      <c r="CS30" s="259" t="n"/>
      <c r="CT30" s="259" t="n"/>
      <c r="CU30" s="259" t="n"/>
      <c r="CV30" s="259" t="n"/>
      <c r="CW30" s="259" t="n"/>
      <c r="CX30" s="259" t="n"/>
      <c r="CY30" s="259" t="n"/>
      <c r="CZ30" s="259" t="n"/>
      <c r="DA30" s="259" t="n"/>
      <c r="DB30" s="259" t="n"/>
      <c r="DC30" s="259" t="n"/>
      <c r="DD30" s="259" t="n"/>
      <c r="DE30" s="259" t="n"/>
      <c r="DF30" s="259" t="n"/>
      <c r="DG30" s="259" t="n"/>
      <c r="DH30" s="259" t="n"/>
      <c r="DI30" s="259" t="n"/>
      <c r="DJ30" s="259" t="n"/>
      <c r="DK30" s="259" t="n"/>
      <c r="DL30" s="259" t="n"/>
      <c r="DM30" s="259" t="n"/>
      <c r="DN30" s="259" t="n"/>
      <c r="DO30" s="259" t="n"/>
      <c r="DP30" s="259" t="n"/>
      <c r="DQ30" s="259" t="n"/>
      <c r="DR30" s="259" t="n"/>
      <c r="DS30" s="259" t="n"/>
      <c r="DT30" s="259" t="n"/>
      <c r="DU30" s="259" t="n"/>
      <c r="DV30" s="259" t="n"/>
      <c r="DW30" s="259" t="n"/>
      <c r="DX30" s="259" t="n"/>
      <c r="DY30" s="259" t="n"/>
      <c r="DZ30" s="259" t="n"/>
      <c r="EA30" s="259" t="n"/>
      <c r="EB30" s="259" t="n"/>
      <c r="EC30" s="259" t="n"/>
      <c r="ED30" s="259" t="n"/>
      <c r="EE30" s="259" t="n"/>
      <c r="EF30" s="259" t="n"/>
      <c r="EG30" s="259" t="n"/>
      <c r="EH30" s="259" t="n"/>
      <c r="EI30" s="259" t="n"/>
      <c r="EJ30" s="259" t="n"/>
      <c r="EK30" s="259" t="n"/>
      <c r="EL30" s="259" t="n"/>
      <c r="EM30" s="259" t="n"/>
      <c r="EN30" s="259" t="n"/>
      <c r="EO30" s="259" t="n"/>
      <c r="EP30" s="259" t="n"/>
      <c r="EQ30" s="259" t="n"/>
      <c r="ER30" s="259" t="n"/>
      <c r="ES30" s="259" t="n"/>
      <c r="ET30" s="259" t="n"/>
      <c r="EU30" s="259" t="n"/>
      <c r="EV30" s="259" t="n"/>
      <c r="EW30" s="259" t="n"/>
      <c r="EX30" s="259" t="n"/>
      <c r="EY30" s="259" t="n"/>
      <c r="EZ30" s="259" t="n"/>
      <c r="FA30" s="259" t="n"/>
      <c r="FB30" s="259" t="n"/>
      <c r="FC30" s="259" t="n"/>
      <c r="FD30" s="259" t="n"/>
      <c r="FE30" s="259" t="n"/>
      <c r="FF30" s="259" t="n"/>
      <c r="FG30" s="259" t="n"/>
      <c r="FH30" s="259" t="n"/>
      <c r="FI30" s="259" t="n"/>
      <c r="FJ30" s="259" t="n"/>
      <c r="FK30" s="259" t="n"/>
      <c r="FL30" s="259" t="n"/>
      <c r="FM30" s="259" t="n"/>
      <c r="FN30" s="259" t="n"/>
      <c r="FO30" s="259" t="n"/>
      <c r="FP30" s="259" t="n"/>
      <c r="FQ30" s="259" t="n"/>
      <c r="FR30" s="259" t="n"/>
      <c r="FS30" s="259" t="n"/>
      <c r="FT30" s="259" t="n"/>
      <c r="FU30" s="259" t="n"/>
      <c r="FV30" s="259" t="n"/>
      <c r="FW30" s="259" t="n"/>
      <c r="FX30" s="259" t="n"/>
      <c r="FY30" s="259" t="n"/>
      <c r="FZ30" s="259" t="n"/>
      <c r="GA30" s="259" t="n"/>
      <c r="GB30" s="259" t="n"/>
      <c r="GC30" s="259" t="n"/>
      <c r="GD30" s="259" t="n"/>
      <c r="GE30" s="259" t="n"/>
      <c r="GF30" s="259" t="n"/>
      <c r="GG30" s="259" t="n"/>
      <c r="GH30" s="259" t="n"/>
      <c r="GI30" s="259" t="n"/>
      <c r="GJ30" s="259" t="n"/>
      <c r="GK30" s="259" t="n"/>
      <c r="GL30" s="259" t="n"/>
      <c r="GM30" s="259" t="n"/>
      <c r="GN30" s="259" t="n"/>
      <c r="GO30" s="259" t="n"/>
      <c r="GP30" s="259" t="n"/>
      <c r="GQ30" s="259" t="n"/>
      <c r="GR30" s="259" t="n"/>
      <c r="GS30" s="259" t="n"/>
      <c r="GT30" s="259" t="n"/>
      <c r="GU30" s="259" t="n"/>
      <c r="GV30" s="259" t="n"/>
      <c r="GW30" s="259" t="n"/>
      <c r="GX30" s="259" t="n"/>
      <c r="GY30" s="259" t="n"/>
      <c r="GZ30" s="259" t="n"/>
      <c r="HA30" s="259" t="n"/>
      <c r="HB30" s="259" t="n"/>
      <c r="HC30" s="259" t="n"/>
      <c r="HD30" s="259" t="n"/>
      <c r="HE30" s="259" t="n"/>
      <c r="HF30" s="259" t="n"/>
      <c r="HG30" s="259" t="n"/>
      <c r="HH30" s="259" t="n"/>
      <c r="HI30" s="259" t="n"/>
      <c r="HJ30" s="259" t="n"/>
      <c r="HK30" s="259" t="n"/>
      <c r="HL30" s="259" t="n"/>
      <c r="HM30" s="259" t="n"/>
      <c r="HN30" s="259" t="n"/>
      <c r="HO30" s="259" t="n"/>
      <c r="HP30" s="259" t="n"/>
      <c r="HQ30" s="259" t="n"/>
      <c r="HR30" s="259" t="n"/>
      <c r="HS30" s="259" t="n"/>
      <c r="HT30" s="259" t="n"/>
      <c r="HU30" s="259" t="n"/>
      <c r="HV30" s="259" t="n"/>
      <c r="HW30" s="259" t="n"/>
      <c r="HX30" s="259" t="n"/>
      <c r="HY30" s="259" t="n"/>
      <c r="HZ30" s="259" t="n"/>
      <c r="IA30" s="259" t="n"/>
      <c r="IB30" s="259" t="n"/>
      <c r="IC30" s="259" t="n"/>
      <c r="ID30" s="259" t="n"/>
      <c r="IE30" s="259" t="n"/>
      <c r="IF30" s="259" t="n"/>
      <c r="IG30" s="259" t="n"/>
      <c r="IH30" s="259" t="n"/>
      <c r="II30" s="259" t="n"/>
      <c r="IJ30" s="259" t="n"/>
      <c r="IK30" s="259" t="n"/>
      <c r="IL30" s="259" t="n"/>
      <c r="IM30" s="259" t="n"/>
      <c r="IN30" s="259" t="n"/>
      <c r="IO30" s="259" t="n"/>
      <c r="IP30" s="259" t="n"/>
      <c r="IQ30" s="259" t="n"/>
      <c r="IR30" s="259" t="n"/>
      <c r="IS30" s="259" t="n"/>
      <c r="IT30" s="259" t="n"/>
      <c r="IU30" s="259" t="n"/>
      <c r="IV30" s="259" t="n"/>
      <c r="IW30" s="259" t="n"/>
      <c r="IX30" s="259" t="n"/>
      <c r="IY30" s="259" t="n"/>
      <c r="IZ30" s="259" t="n"/>
      <c r="JA30" s="259" t="n"/>
      <c r="JB30" s="259" t="n"/>
      <c r="JC30" s="259" t="n"/>
      <c r="JD30" s="259" t="n"/>
      <c r="JE30" s="259" t="n"/>
      <c r="JF30" s="259" t="n"/>
      <c r="JG30" s="259" t="n"/>
      <c r="JH30" s="259" t="n"/>
      <c r="JI30" s="259" t="n"/>
      <c r="JJ30" s="259" t="n"/>
      <c r="JK30" s="259" t="n"/>
      <c r="JL30" s="259" t="n"/>
      <c r="JM30" s="259" t="n"/>
      <c r="JN30" s="259" t="n"/>
      <c r="JO30" s="259" t="n"/>
      <c r="JP30" s="259" t="n"/>
      <c r="JQ30" s="259" t="n"/>
      <c r="JR30" s="259" t="n"/>
      <c r="JS30" s="259" t="n"/>
      <c r="JT30" s="259" t="n"/>
      <c r="JU30" s="259" t="n"/>
      <c r="JV30" s="259" t="n"/>
      <c r="JW30" s="259" t="n"/>
      <c r="JX30" s="259" t="n"/>
      <c r="JY30" s="259" t="n"/>
      <c r="JZ30" s="259" t="n"/>
      <c r="KA30" s="259" t="n"/>
      <c r="KB30" s="259" t="n"/>
      <c r="KC30" s="259" t="n"/>
      <c r="KD30" s="259" t="n"/>
      <c r="KE30" s="259" t="n"/>
      <c r="KF30" s="259" t="n"/>
      <c r="KG30" s="259" t="n"/>
      <c r="KH30" s="259" t="n"/>
      <c r="KI30" s="259" t="n"/>
      <c r="KJ30" s="259" t="n"/>
      <c r="KK30" s="259" t="n"/>
      <c r="KL30" s="259" t="n"/>
      <c r="KM30" s="259" t="n"/>
      <c r="KN30" s="259" t="n"/>
      <c r="KO30" s="259" t="n"/>
      <c r="KP30" s="259" t="n"/>
      <c r="KQ30" s="259" t="n"/>
      <c r="KR30" s="259" t="n"/>
      <c r="KS30" s="259" t="n"/>
      <c r="KT30" s="259" t="n"/>
      <c r="KU30" s="259" t="n"/>
      <c r="KV30" s="259" t="n"/>
      <c r="KW30" s="259" t="n"/>
      <c r="KX30" s="259" t="n"/>
      <c r="KY30" s="259" t="n"/>
      <c r="KZ30" s="259" t="n"/>
      <c r="LA30" s="259" t="n"/>
      <c r="LB30" s="259" t="n"/>
      <c r="LC30" s="259" t="n"/>
      <c r="LD30" s="259" t="n"/>
      <c r="LE30" s="259" t="n"/>
      <c r="LF30" s="259" t="n"/>
      <c r="LG30" s="259" t="n"/>
      <c r="LH30" s="259" t="n"/>
      <c r="LI30" s="259" t="n"/>
      <c r="LJ30" s="259" t="n"/>
      <c r="LK30" s="259" t="n"/>
      <c r="LL30" s="259" t="n"/>
      <c r="LM30" s="259" t="n"/>
      <c r="LN30" s="259" t="n"/>
      <c r="LO30" s="259" t="n"/>
      <c r="LP30" s="259" t="n"/>
      <c r="LQ30" s="259" t="n"/>
      <c r="LR30" s="259" t="n"/>
      <c r="LS30" s="259" t="n"/>
      <c r="LT30" s="259" t="n"/>
      <c r="LU30" s="259" t="n"/>
      <c r="LV30" s="259" t="n"/>
      <c r="LW30" s="259" t="n"/>
      <c r="LX30" s="259" t="n"/>
      <c r="LY30" s="259" t="n"/>
      <c r="LZ30" s="259" t="n"/>
      <c r="MA30" s="259" t="n"/>
      <c r="MB30" s="259" t="n"/>
      <c r="MC30" s="259" t="n"/>
      <c r="MD30" s="259" t="n"/>
      <c r="ME30" s="259" t="n"/>
      <c r="MF30" s="259" t="n"/>
      <c r="MG30" s="259" t="n"/>
      <c r="MH30" s="259" t="n"/>
      <c r="MI30" s="259" t="n"/>
      <c r="MJ30" s="259" t="n"/>
      <c r="MK30" s="259" t="n"/>
      <c r="ML30" s="259" t="n"/>
      <c r="MM30" s="259" t="n"/>
      <c r="MN30" s="259" t="n"/>
      <c r="MO30" s="259" t="n"/>
      <c r="MP30" s="259" t="n"/>
      <c r="MQ30" s="259" t="n"/>
      <c r="MR30" s="259" t="n"/>
      <c r="MS30" s="259" t="n"/>
      <c r="MT30" s="259" t="n"/>
      <c r="MU30" s="259" t="n"/>
      <c r="MV30" s="259" t="n"/>
      <c r="MW30" s="259" t="n"/>
      <c r="MX30" s="259" t="n"/>
      <c r="MY30" s="259" t="n"/>
      <c r="MZ30" s="259" t="n"/>
      <c r="NA30" s="259" t="n"/>
      <c r="NB30" s="259" t="n"/>
      <c r="NC30" s="259" t="n"/>
      <c r="ND30" s="259" t="n"/>
      <c r="NE30" s="279" t="n"/>
    </row>
    <row r="31" ht="15" customHeight="1" s="166">
      <c r="A31" s="277" t="inlineStr">
        <is>
          <t>N</t>
        </is>
      </c>
      <c r="B31" s="280" t="inlineStr">
        <is>
          <t>Total Energy Cost</t>
        </is>
      </c>
      <c r="C31" s="278" t="inlineStr">
        <is>
          <t>SAR</t>
        </is>
      </c>
      <c r="D31" s="281" t="n"/>
      <c r="E31" s="281" t="n"/>
      <c r="F31" s="281" t="n"/>
      <c r="G31" s="281" t="n"/>
      <c r="H31" s="281" t="n"/>
      <c r="I31" s="281" t="n"/>
      <c r="J31" s="281" t="n"/>
      <c r="K31" s="281" t="n"/>
      <c r="L31" s="281" t="n"/>
      <c r="M31" s="281" t="n"/>
      <c r="N31" s="281" t="n"/>
      <c r="O31" s="281" t="n"/>
      <c r="P31" s="281" t="n"/>
      <c r="Q31" s="281" t="n"/>
      <c r="R31" s="281" t="n"/>
      <c r="S31" s="281" t="n"/>
      <c r="T31" s="281" t="n"/>
      <c r="U31" s="281" t="n"/>
      <c r="V31" s="281" t="n"/>
      <c r="W31" s="281" t="n"/>
      <c r="X31" s="281" t="n"/>
      <c r="Y31" s="281" t="n"/>
      <c r="Z31" s="281" t="n"/>
      <c r="AA31" s="281" t="n"/>
      <c r="AB31" s="281" t="n"/>
      <c r="AC31" s="281" t="n"/>
      <c r="AD31" s="281" t="n"/>
      <c r="AE31" s="281" t="n"/>
      <c r="AF31" s="281" t="n"/>
      <c r="AG31" s="281" t="n"/>
      <c r="AH31" s="281" t="n"/>
      <c r="AI31" s="281" t="n"/>
      <c r="AJ31" s="281" t="n"/>
      <c r="AK31" s="281" t="n"/>
      <c r="AL31" s="281" t="n"/>
      <c r="AM31" s="281" t="n"/>
      <c r="AN31" s="281" t="n"/>
      <c r="AO31" s="281" t="n"/>
      <c r="AP31" s="281" t="n"/>
      <c r="AQ31" s="281" t="n"/>
      <c r="AR31" s="281" t="n"/>
      <c r="AS31" s="281" t="n"/>
      <c r="AT31" s="281" t="n"/>
      <c r="AU31" s="281" t="n"/>
      <c r="AV31" s="281" t="n"/>
      <c r="AW31" s="281" t="n"/>
      <c r="AX31" s="281" t="n"/>
      <c r="AY31" s="281" t="n"/>
      <c r="AZ31" s="281" t="n"/>
      <c r="BA31" s="281" t="n"/>
      <c r="BB31" s="281" t="n"/>
      <c r="BC31" s="281" t="n"/>
      <c r="BD31" s="281" t="n"/>
      <c r="BE31" s="281" t="n"/>
      <c r="BF31" s="281" t="n"/>
      <c r="BG31" s="281" t="n"/>
      <c r="BH31" s="281" t="n"/>
      <c r="BI31" s="281" t="n"/>
      <c r="BJ31" s="281" t="n"/>
      <c r="BK31" s="281" t="n"/>
      <c r="BL31" s="281" t="n"/>
      <c r="BM31" s="281" t="n"/>
      <c r="BN31" s="281" t="n"/>
      <c r="BO31" s="281" t="n"/>
      <c r="BP31" s="281" t="n"/>
      <c r="BQ31" s="281" t="n"/>
      <c r="BR31" s="281" t="n"/>
      <c r="BS31" s="281" t="n"/>
      <c r="BT31" s="281" t="n"/>
      <c r="BU31" s="281" t="n"/>
      <c r="BV31" s="281" t="n"/>
      <c r="BW31" s="281" t="n"/>
      <c r="BX31" s="281" t="n"/>
      <c r="BY31" s="281" t="n"/>
      <c r="BZ31" s="281" t="n"/>
      <c r="CA31" s="281" t="n"/>
      <c r="CB31" s="281" t="n"/>
      <c r="CC31" s="281" t="n"/>
      <c r="CD31" s="281" t="n"/>
      <c r="CE31" s="281" t="n"/>
      <c r="CF31" s="281" t="n"/>
      <c r="CG31" s="281" t="n"/>
      <c r="CH31" s="281" t="n"/>
      <c r="CI31" s="281" t="n"/>
      <c r="CJ31" s="281" t="n"/>
      <c r="CK31" s="281" t="n"/>
      <c r="CL31" s="281" t="n"/>
      <c r="CM31" s="281" t="n"/>
      <c r="CN31" s="281" t="n"/>
      <c r="CO31" s="281" t="n"/>
      <c r="CP31" s="281" t="n"/>
      <c r="CQ31" s="281" t="n"/>
      <c r="CR31" s="281" t="n"/>
      <c r="CS31" s="281" t="n"/>
      <c r="CT31" s="281" t="n"/>
      <c r="CU31" s="281" t="n"/>
      <c r="CV31" s="281" t="n"/>
      <c r="CW31" s="281" t="n"/>
      <c r="CX31" s="281" t="n"/>
      <c r="CY31" s="281" t="n"/>
      <c r="CZ31" s="281" t="n"/>
      <c r="DA31" s="281" t="n"/>
      <c r="DB31" s="281" t="n"/>
      <c r="DC31" s="281" t="n"/>
      <c r="DD31" s="281" t="n"/>
      <c r="DE31" s="281" t="n"/>
      <c r="DF31" s="281" t="n"/>
      <c r="DG31" s="281" t="n"/>
      <c r="DH31" s="281" t="n"/>
      <c r="DI31" s="281" t="n"/>
      <c r="DJ31" s="281" t="n"/>
      <c r="DK31" s="281" t="n"/>
      <c r="DL31" s="281" t="n"/>
      <c r="DM31" s="281" t="n"/>
      <c r="DN31" s="281" t="n"/>
      <c r="DO31" s="281" t="n"/>
      <c r="DP31" s="281" t="n"/>
      <c r="DQ31" s="281" t="n"/>
      <c r="DR31" s="281" t="n"/>
      <c r="DS31" s="281" t="n"/>
      <c r="DT31" s="281" t="n"/>
      <c r="DU31" s="281" t="n"/>
      <c r="DV31" s="281" t="n"/>
      <c r="DW31" s="281" t="n"/>
      <c r="DX31" s="281" t="n"/>
      <c r="DY31" s="281" t="n"/>
      <c r="DZ31" s="281" t="n"/>
      <c r="EA31" s="281" t="n"/>
      <c r="EB31" s="281" t="n"/>
      <c r="EC31" s="281" t="n"/>
      <c r="ED31" s="281" t="n"/>
      <c r="EE31" s="281" t="n"/>
      <c r="EF31" s="281" t="n"/>
      <c r="EG31" s="281" t="n"/>
      <c r="EH31" s="281" t="n"/>
      <c r="EI31" s="281" t="n"/>
      <c r="EJ31" s="281" t="n"/>
      <c r="EK31" s="281" t="n"/>
      <c r="EL31" s="281" t="n"/>
      <c r="EM31" s="281" t="n"/>
      <c r="EN31" s="281" t="n"/>
      <c r="EO31" s="281" t="n"/>
      <c r="EP31" s="281" t="n"/>
      <c r="EQ31" s="281" t="n"/>
      <c r="ER31" s="281" t="n"/>
      <c r="ES31" s="281" t="n"/>
      <c r="ET31" s="281" t="n"/>
      <c r="EU31" s="281" t="n"/>
      <c r="EV31" s="281" t="n"/>
      <c r="EW31" s="281" t="n"/>
      <c r="EX31" s="281" t="n"/>
      <c r="EY31" s="281" t="n"/>
      <c r="EZ31" s="281" t="n"/>
      <c r="FA31" s="281" t="n"/>
      <c r="FB31" s="281" t="n"/>
      <c r="FC31" s="281" t="n"/>
      <c r="FD31" s="281" t="n"/>
      <c r="FE31" s="281" t="n"/>
      <c r="FF31" s="281" t="n"/>
      <c r="FG31" s="281" t="n"/>
      <c r="FH31" s="281" t="n"/>
      <c r="FI31" s="281" t="n"/>
      <c r="FJ31" s="281" t="n"/>
      <c r="FK31" s="281" t="n"/>
      <c r="FL31" s="281" t="n"/>
      <c r="FM31" s="281" t="n"/>
      <c r="FN31" s="281" t="n"/>
      <c r="FO31" s="281" t="n"/>
      <c r="FP31" s="281" t="n"/>
      <c r="FQ31" s="281" t="n"/>
      <c r="FR31" s="281" t="n"/>
      <c r="FS31" s="281" t="n"/>
      <c r="FT31" s="281" t="n"/>
      <c r="FU31" s="281" t="n"/>
      <c r="FV31" s="281" t="n"/>
      <c r="FW31" s="281" t="n"/>
      <c r="FX31" s="281" t="n"/>
      <c r="FY31" s="281" t="n"/>
      <c r="FZ31" s="281" t="n"/>
      <c r="GA31" s="281" t="n"/>
      <c r="GB31" s="281" t="n"/>
      <c r="GC31" s="281" t="n"/>
      <c r="GD31" s="281" t="n"/>
      <c r="GE31" s="281" t="n"/>
      <c r="GF31" s="281" t="n"/>
      <c r="GG31" s="281" t="n"/>
      <c r="GH31" s="281" t="n"/>
      <c r="GI31" s="281" t="n"/>
      <c r="GJ31" s="281" t="n"/>
      <c r="GK31" s="281" t="n"/>
      <c r="GL31" s="281" t="n"/>
      <c r="GM31" s="281" t="n"/>
      <c r="GN31" s="281" t="n"/>
      <c r="GO31" s="281" t="n"/>
      <c r="GP31" s="281" t="n"/>
      <c r="GQ31" s="281" t="n"/>
      <c r="GR31" s="281" t="n"/>
      <c r="GS31" s="281" t="n"/>
      <c r="GT31" s="281" t="n"/>
      <c r="GU31" s="281" t="n"/>
      <c r="GV31" s="281" t="n"/>
      <c r="GW31" s="281" t="n"/>
      <c r="GX31" s="281" t="n"/>
      <c r="GY31" s="281" t="n"/>
      <c r="GZ31" s="281" t="n"/>
      <c r="HA31" s="281" t="n"/>
      <c r="HB31" s="281" t="n"/>
      <c r="HC31" s="281" t="n"/>
      <c r="HD31" s="281" t="n"/>
      <c r="HE31" s="281" t="n"/>
      <c r="HF31" s="281" t="n"/>
      <c r="HG31" s="281" t="n"/>
      <c r="HH31" s="281" t="n"/>
      <c r="HI31" s="281" t="n"/>
      <c r="HJ31" s="281" t="n"/>
      <c r="HK31" s="281" t="n"/>
      <c r="HL31" s="281" t="n"/>
      <c r="HM31" s="281" t="n"/>
      <c r="HN31" s="281" t="n"/>
      <c r="HO31" s="281" t="n"/>
      <c r="HP31" s="281" t="n"/>
      <c r="HQ31" s="281" t="n"/>
      <c r="HR31" s="281" t="n"/>
      <c r="HS31" s="281" t="n"/>
      <c r="HT31" s="281" t="n"/>
      <c r="HU31" s="281" t="n"/>
      <c r="HV31" s="281" t="n"/>
      <c r="HW31" s="281" t="n"/>
      <c r="HX31" s="281" t="n"/>
      <c r="HY31" s="281" t="n"/>
      <c r="HZ31" s="281" t="n"/>
      <c r="IA31" s="281" t="n"/>
      <c r="IB31" s="281" t="n"/>
      <c r="IC31" s="281" t="n"/>
      <c r="ID31" s="281" t="n"/>
      <c r="IE31" s="281" t="n"/>
      <c r="IF31" s="281" t="n"/>
      <c r="IG31" s="281" t="n"/>
      <c r="IH31" s="281" t="n"/>
      <c r="II31" s="281" t="n"/>
      <c r="IJ31" s="281" t="n"/>
      <c r="IK31" s="281" t="n"/>
      <c r="IL31" s="281" t="n"/>
      <c r="IM31" s="281" t="n"/>
      <c r="IN31" s="281" t="n"/>
      <c r="IO31" s="281" t="n"/>
      <c r="IP31" s="281" t="n"/>
      <c r="IQ31" s="281" t="n"/>
      <c r="IR31" s="281" t="n"/>
      <c r="IS31" s="281" t="n"/>
      <c r="IT31" s="281" t="n"/>
      <c r="IU31" s="281" t="n"/>
      <c r="IV31" s="281" t="n"/>
      <c r="IW31" s="281" t="n"/>
      <c r="IX31" s="281" t="n"/>
      <c r="IY31" s="281" t="n"/>
      <c r="IZ31" s="281" t="n"/>
      <c r="JA31" s="281" t="n"/>
      <c r="JB31" s="281" t="n"/>
      <c r="JC31" s="281" t="n"/>
      <c r="JD31" s="281" t="n"/>
      <c r="JE31" s="281" t="n"/>
      <c r="JF31" s="281" t="n"/>
      <c r="JG31" s="281" t="n"/>
      <c r="JH31" s="281" t="n"/>
      <c r="JI31" s="281" t="n"/>
      <c r="JJ31" s="281" t="n"/>
      <c r="JK31" s="281" t="n"/>
      <c r="JL31" s="281" t="n"/>
      <c r="JM31" s="281" t="n"/>
      <c r="JN31" s="281" t="n"/>
      <c r="JO31" s="281" t="n"/>
      <c r="JP31" s="281" t="n"/>
      <c r="JQ31" s="281" t="n"/>
      <c r="JR31" s="281" t="n"/>
      <c r="JS31" s="281" t="n"/>
      <c r="JT31" s="281" t="n"/>
      <c r="JU31" s="281" t="n"/>
      <c r="JV31" s="281" t="n"/>
      <c r="JW31" s="281" t="n"/>
      <c r="JX31" s="281" t="n"/>
      <c r="JY31" s="281" t="n"/>
      <c r="JZ31" s="281" t="n"/>
      <c r="KA31" s="281" t="n"/>
      <c r="KB31" s="281" t="n"/>
      <c r="KC31" s="281" t="n"/>
      <c r="KD31" s="281" t="n"/>
      <c r="KE31" s="281" t="n"/>
      <c r="KF31" s="281" t="n"/>
      <c r="KG31" s="281" t="n"/>
      <c r="KH31" s="281" t="n"/>
      <c r="KI31" s="281" t="n"/>
      <c r="KJ31" s="281" t="n"/>
      <c r="KK31" s="281" t="n"/>
      <c r="KL31" s="281" t="n"/>
      <c r="KM31" s="281" t="n"/>
      <c r="KN31" s="281" t="n"/>
      <c r="KO31" s="281" t="n"/>
      <c r="KP31" s="281" t="n"/>
      <c r="KQ31" s="281" t="n"/>
      <c r="KR31" s="281" t="n"/>
      <c r="KS31" s="281" t="n"/>
      <c r="KT31" s="281" t="n"/>
      <c r="KU31" s="281" t="n"/>
      <c r="KV31" s="281" t="n"/>
      <c r="KW31" s="281" t="n"/>
      <c r="KX31" s="281" t="n"/>
      <c r="KY31" s="281" t="n"/>
      <c r="KZ31" s="281" t="n"/>
      <c r="LA31" s="281" t="n"/>
      <c r="LB31" s="281" t="n"/>
      <c r="LC31" s="281" t="n"/>
      <c r="LD31" s="281" t="n"/>
      <c r="LE31" s="281" t="n"/>
      <c r="LF31" s="281" t="n"/>
      <c r="LG31" s="281" t="n"/>
      <c r="LH31" s="281" t="n"/>
      <c r="LI31" s="281" t="n"/>
      <c r="LJ31" s="281" t="n"/>
      <c r="LK31" s="281" t="n"/>
      <c r="LL31" s="281" t="n"/>
      <c r="LM31" s="281" t="n"/>
      <c r="LN31" s="281" t="n"/>
      <c r="LO31" s="281" t="n"/>
      <c r="LP31" s="281" t="n"/>
      <c r="LQ31" s="281" t="n"/>
      <c r="LR31" s="281" t="n"/>
      <c r="LS31" s="281" t="n"/>
      <c r="LT31" s="281" t="n"/>
      <c r="LU31" s="281" t="n"/>
      <c r="LV31" s="281" t="n"/>
      <c r="LW31" s="281" t="n"/>
      <c r="LX31" s="281" t="n"/>
      <c r="LY31" s="281" t="n"/>
      <c r="LZ31" s="281" t="n"/>
      <c r="MA31" s="281" t="n"/>
      <c r="MB31" s="281" t="n"/>
      <c r="MC31" s="281" t="n"/>
      <c r="MD31" s="281" t="n"/>
      <c r="ME31" s="281" t="n"/>
      <c r="MF31" s="281" t="n"/>
      <c r="MG31" s="281" t="n"/>
      <c r="MH31" s="281" t="n"/>
      <c r="MI31" s="281" t="n"/>
      <c r="MJ31" s="281" t="n"/>
      <c r="MK31" s="281" t="n"/>
      <c r="ML31" s="281" t="n"/>
      <c r="MM31" s="281" t="n"/>
      <c r="MN31" s="281" t="n"/>
      <c r="MO31" s="281" t="n"/>
      <c r="MP31" s="281" t="n"/>
      <c r="MQ31" s="281" t="n"/>
      <c r="MR31" s="281" t="n"/>
      <c r="MS31" s="281" t="n"/>
      <c r="MT31" s="281" t="n"/>
      <c r="MU31" s="281" t="n"/>
      <c r="MV31" s="281" t="n"/>
      <c r="MW31" s="281" t="n"/>
      <c r="MX31" s="281" t="n"/>
      <c r="MY31" s="281" t="n"/>
      <c r="MZ31" s="281" t="n"/>
      <c r="NA31" s="281" t="n"/>
      <c r="NB31" s="281" t="n"/>
      <c r="NC31" s="281" t="n"/>
      <c r="ND31" s="281" t="n"/>
      <c r="NE31" s="282" t="n"/>
    </row>
    <row r="32" ht="15.75" customHeight="1" s="166">
      <c r="A32" s="277" t="inlineStr">
        <is>
          <t>N - 1</t>
        </is>
      </c>
      <c r="B32" s="269" t="n"/>
      <c r="C32" s="269" t="n"/>
      <c r="D32" s="259" t="n"/>
      <c r="E32" s="259" t="n"/>
      <c r="F32" s="259" t="n"/>
      <c r="G32" s="259" t="n"/>
      <c r="H32" s="259" t="n"/>
      <c r="I32" s="259" t="n"/>
      <c r="J32" s="259" t="n"/>
      <c r="K32" s="259" t="n"/>
      <c r="L32" s="259" t="n"/>
      <c r="M32" s="259" t="n"/>
      <c r="N32" s="259" t="n"/>
      <c r="O32" s="259" t="n"/>
      <c r="P32" s="259" t="n"/>
      <c r="Q32" s="259" t="n"/>
      <c r="R32" s="259" t="n"/>
      <c r="S32" s="259" t="n"/>
      <c r="T32" s="259" t="n"/>
      <c r="U32" s="259" t="n"/>
      <c r="V32" s="259" t="n"/>
      <c r="W32" s="259" t="n"/>
      <c r="X32" s="259" t="n"/>
      <c r="Y32" s="259" t="n"/>
      <c r="Z32" s="259" t="n"/>
      <c r="AA32" s="259" t="n"/>
      <c r="AB32" s="259" t="n"/>
      <c r="AC32" s="259" t="n"/>
      <c r="AD32" s="259" t="n"/>
      <c r="AE32" s="259" t="n"/>
      <c r="AF32" s="259" t="n"/>
      <c r="AG32" s="259" t="n"/>
      <c r="AH32" s="259" t="n"/>
      <c r="AI32" s="259" t="n"/>
      <c r="AJ32" s="259" t="n"/>
      <c r="AK32" s="259" t="n"/>
      <c r="AL32" s="259" t="n"/>
      <c r="AM32" s="259" t="n"/>
      <c r="AN32" s="259" t="n"/>
      <c r="AO32" s="259" t="n"/>
      <c r="AP32" s="259" t="n"/>
      <c r="AQ32" s="259" t="n"/>
      <c r="AR32" s="259" t="n"/>
      <c r="AS32" s="259" t="n"/>
      <c r="AT32" s="259" t="n"/>
      <c r="AU32" s="259" t="n"/>
      <c r="AV32" s="259" t="n"/>
      <c r="AW32" s="259" t="n"/>
      <c r="AX32" s="259" t="n"/>
      <c r="AY32" s="259" t="n"/>
      <c r="AZ32" s="259" t="n"/>
      <c r="BA32" s="259" t="n"/>
      <c r="BB32" s="259" t="n"/>
      <c r="BC32" s="259" t="n"/>
      <c r="BD32" s="259" t="n"/>
      <c r="BE32" s="259" t="n"/>
      <c r="BF32" s="259" t="n"/>
      <c r="BG32" s="259" t="n"/>
      <c r="BH32" s="259" t="n"/>
      <c r="BI32" s="259" t="n"/>
      <c r="BJ32" s="259" t="n"/>
      <c r="BK32" s="259" t="n"/>
      <c r="BL32" s="259" t="n"/>
      <c r="BM32" s="259" t="n"/>
      <c r="BN32" s="259" t="n"/>
      <c r="BO32" s="259" t="n"/>
      <c r="BP32" s="259" t="n"/>
      <c r="BQ32" s="259" t="n"/>
      <c r="BR32" s="259" t="n"/>
      <c r="BS32" s="259" t="n"/>
      <c r="BT32" s="259" t="n"/>
      <c r="BU32" s="259" t="n"/>
      <c r="BV32" s="259" t="n"/>
      <c r="BW32" s="259" t="n"/>
      <c r="BX32" s="259" t="n"/>
      <c r="BY32" s="259" t="n"/>
      <c r="BZ32" s="259" t="n"/>
      <c r="CA32" s="259" t="n"/>
      <c r="CB32" s="259" t="n"/>
      <c r="CC32" s="259" t="n"/>
      <c r="CD32" s="259" t="n"/>
      <c r="CE32" s="259" t="n"/>
      <c r="CF32" s="259" t="n"/>
      <c r="CG32" s="259" t="n"/>
      <c r="CH32" s="259" t="n"/>
      <c r="CI32" s="259" t="n"/>
      <c r="CJ32" s="259" t="n"/>
      <c r="CK32" s="259" t="n"/>
      <c r="CL32" s="259" t="n"/>
      <c r="CM32" s="259" t="n"/>
      <c r="CN32" s="259" t="n"/>
      <c r="CO32" s="259" t="n"/>
      <c r="CP32" s="259" t="n"/>
      <c r="CQ32" s="259" t="n"/>
      <c r="CR32" s="259" t="n"/>
      <c r="CS32" s="259" t="n"/>
      <c r="CT32" s="259" t="n"/>
      <c r="CU32" s="259" t="n"/>
      <c r="CV32" s="259" t="n"/>
      <c r="CW32" s="259" t="n"/>
      <c r="CX32" s="259" t="n"/>
      <c r="CY32" s="259" t="n"/>
      <c r="CZ32" s="259" t="n"/>
      <c r="DA32" s="259" t="n"/>
      <c r="DB32" s="259" t="n"/>
      <c r="DC32" s="259" t="n"/>
      <c r="DD32" s="259" t="n"/>
      <c r="DE32" s="259" t="n"/>
      <c r="DF32" s="259" t="n"/>
      <c r="DG32" s="259" t="n"/>
      <c r="DH32" s="259" t="n"/>
      <c r="DI32" s="259" t="n"/>
      <c r="DJ32" s="259" t="n"/>
      <c r="DK32" s="259" t="n"/>
      <c r="DL32" s="259" t="n"/>
      <c r="DM32" s="259" t="n"/>
      <c r="DN32" s="259" t="n"/>
      <c r="DO32" s="259" t="n"/>
      <c r="DP32" s="259" t="n"/>
      <c r="DQ32" s="259" t="n"/>
      <c r="DR32" s="259" t="n"/>
      <c r="DS32" s="259" t="n"/>
      <c r="DT32" s="259" t="n"/>
      <c r="DU32" s="259" t="n"/>
      <c r="DV32" s="259" t="n"/>
      <c r="DW32" s="259" t="n"/>
      <c r="DX32" s="259" t="n"/>
      <c r="DY32" s="259" t="n"/>
      <c r="DZ32" s="259" t="n"/>
      <c r="EA32" s="259" t="n"/>
      <c r="EB32" s="259" t="n"/>
      <c r="EC32" s="259" t="n"/>
      <c r="ED32" s="259" t="n"/>
      <c r="EE32" s="259" t="n"/>
      <c r="EF32" s="259" t="n"/>
      <c r="EG32" s="259" t="n"/>
      <c r="EH32" s="259" t="n"/>
      <c r="EI32" s="259" t="n"/>
      <c r="EJ32" s="259" t="n"/>
      <c r="EK32" s="259" t="n"/>
      <c r="EL32" s="259" t="n"/>
      <c r="EM32" s="259" t="n"/>
      <c r="EN32" s="259" t="n"/>
      <c r="EO32" s="259" t="n"/>
      <c r="EP32" s="259" t="n"/>
      <c r="EQ32" s="259" t="n"/>
      <c r="ER32" s="259" t="n"/>
      <c r="ES32" s="259" t="n"/>
      <c r="ET32" s="259" t="n"/>
      <c r="EU32" s="259" t="n"/>
      <c r="EV32" s="259" t="n"/>
      <c r="EW32" s="259" t="n"/>
      <c r="EX32" s="259" t="n"/>
      <c r="EY32" s="259" t="n"/>
      <c r="EZ32" s="259" t="n"/>
      <c r="FA32" s="259" t="n"/>
      <c r="FB32" s="259" t="n"/>
      <c r="FC32" s="259" t="n"/>
      <c r="FD32" s="259" t="n"/>
      <c r="FE32" s="259" t="n"/>
      <c r="FF32" s="259" t="n"/>
      <c r="FG32" s="259" t="n"/>
      <c r="FH32" s="259" t="n"/>
      <c r="FI32" s="259" t="n"/>
      <c r="FJ32" s="259" t="n"/>
      <c r="FK32" s="259" t="n"/>
      <c r="FL32" s="259" t="n"/>
      <c r="FM32" s="259" t="n"/>
      <c r="FN32" s="259" t="n"/>
      <c r="FO32" s="259" t="n"/>
      <c r="FP32" s="259" t="n"/>
      <c r="FQ32" s="259" t="n"/>
      <c r="FR32" s="259" t="n"/>
      <c r="FS32" s="259" t="n"/>
      <c r="FT32" s="259" t="n"/>
      <c r="FU32" s="259" t="n"/>
      <c r="FV32" s="259" t="n"/>
      <c r="FW32" s="259" t="n"/>
      <c r="FX32" s="259" t="n"/>
      <c r="FY32" s="259" t="n"/>
      <c r="FZ32" s="259" t="n"/>
      <c r="GA32" s="259" t="n"/>
      <c r="GB32" s="259" t="n"/>
      <c r="GC32" s="259" t="n"/>
      <c r="GD32" s="259" t="n"/>
      <c r="GE32" s="259" t="n"/>
      <c r="GF32" s="259" t="n"/>
      <c r="GG32" s="259" t="n"/>
      <c r="GH32" s="259" t="n"/>
      <c r="GI32" s="259" t="n"/>
      <c r="GJ32" s="259" t="n"/>
      <c r="GK32" s="259" t="n"/>
      <c r="GL32" s="259" t="n"/>
      <c r="GM32" s="259" t="n"/>
      <c r="GN32" s="259" t="n"/>
      <c r="GO32" s="259" t="n"/>
      <c r="GP32" s="259" t="n"/>
      <c r="GQ32" s="259" t="n"/>
      <c r="GR32" s="259" t="n"/>
      <c r="GS32" s="259" t="n"/>
      <c r="GT32" s="259" t="n"/>
      <c r="GU32" s="259" t="n"/>
      <c r="GV32" s="259" t="n"/>
      <c r="GW32" s="259" t="n"/>
      <c r="GX32" s="259" t="n"/>
      <c r="GY32" s="259" t="n"/>
      <c r="GZ32" s="259" t="n"/>
      <c r="HA32" s="259" t="n"/>
      <c r="HB32" s="259" t="n"/>
      <c r="HC32" s="259" t="n"/>
      <c r="HD32" s="259" t="n"/>
      <c r="HE32" s="259" t="n"/>
      <c r="HF32" s="259" t="n"/>
      <c r="HG32" s="259" t="n"/>
      <c r="HH32" s="259" t="n"/>
      <c r="HI32" s="259" t="n"/>
      <c r="HJ32" s="259" t="n"/>
      <c r="HK32" s="259" t="n"/>
      <c r="HL32" s="259" t="n"/>
      <c r="HM32" s="259" t="n"/>
      <c r="HN32" s="259" t="n"/>
      <c r="HO32" s="259" t="n"/>
      <c r="HP32" s="259" t="n"/>
      <c r="HQ32" s="259" t="n"/>
      <c r="HR32" s="259" t="n"/>
      <c r="HS32" s="259" t="n"/>
      <c r="HT32" s="259" t="n"/>
      <c r="HU32" s="259" t="n"/>
      <c r="HV32" s="259" t="n"/>
      <c r="HW32" s="259" t="n"/>
      <c r="HX32" s="259" t="n"/>
      <c r="HY32" s="259" t="n"/>
      <c r="HZ32" s="259" t="n"/>
      <c r="IA32" s="259" t="n"/>
      <c r="IB32" s="259" t="n"/>
      <c r="IC32" s="259" t="n"/>
      <c r="ID32" s="259" t="n"/>
      <c r="IE32" s="259" t="n"/>
      <c r="IF32" s="259" t="n"/>
      <c r="IG32" s="259" t="n"/>
      <c r="IH32" s="259" t="n"/>
      <c r="II32" s="259" t="n"/>
      <c r="IJ32" s="259" t="n"/>
      <c r="IK32" s="259" t="n"/>
      <c r="IL32" s="259" t="n"/>
      <c r="IM32" s="259" t="n"/>
      <c r="IN32" s="259" t="n"/>
      <c r="IO32" s="259" t="n"/>
      <c r="IP32" s="259" t="n"/>
      <c r="IQ32" s="259" t="n"/>
      <c r="IR32" s="259" t="n"/>
      <c r="IS32" s="259" t="n"/>
      <c r="IT32" s="259" t="n"/>
      <c r="IU32" s="259" t="n"/>
      <c r="IV32" s="259" t="n"/>
      <c r="IW32" s="259" t="n"/>
      <c r="IX32" s="259" t="n"/>
      <c r="IY32" s="259" t="n"/>
      <c r="IZ32" s="259" t="n"/>
      <c r="JA32" s="259" t="n"/>
      <c r="JB32" s="259" t="n"/>
      <c r="JC32" s="259" t="n"/>
      <c r="JD32" s="259" t="n"/>
      <c r="JE32" s="259" t="n"/>
      <c r="JF32" s="259" t="n"/>
      <c r="JG32" s="259" t="n"/>
      <c r="JH32" s="259" t="n"/>
      <c r="JI32" s="259" t="n"/>
      <c r="JJ32" s="259" t="n"/>
      <c r="JK32" s="259" t="n"/>
      <c r="JL32" s="259" t="n"/>
      <c r="JM32" s="259" t="n"/>
      <c r="JN32" s="259" t="n"/>
      <c r="JO32" s="259" t="n"/>
      <c r="JP32" s="259" t="n"/>
      <c r="JQ32" s="259" t="n"/>
      <c r="JR32" s="259" t="n"/>
      <c r="JS32" s="259" t="n"/>
      <c r="JT32" s="259" t="n"/>
      <c r="JU32" s="259" t="n"/>
      <c r="JV32" s="259" t="n"/>
      <c r="JW32" s="259" t="n"/>
      <c r="JX32" s="259" t="n"/>
      <c r="JY32" s="259" t="n"/>
      <c r="JZ32" s="259" t="n"/>
      <c r="KA32" s="259" t="n"/>
      <c r="KB32" s="259" t="n"/>
      <c r="KC32" s="259" t="n"/>
      <c r="KD32" s="259" t="n"/>
      <c r="KE32" s="259" t="n"/>
      <c r="KF32" s="259" t="n"/>
      <c r="KG32" s="259" t="n"/>
      <c r="KH32" s="259" t="n"/>
      <c r="KI32" s="259" t="n"/>
      <c r="KJ32" s="259" t="n"/>
      <c r="KK32" s="259" t="n"/>
      <c r="KL32" s="259" t="n"/>
      <c r="KM32" s="259" t="n"/>
      <c r="KN32" s="259" t="n"/>
      <c r="KO32" s="259" t="n"/>
      <c r="KP32" s="259" t="n"/>
      <c r="KQ32" s="259" t="n"/>
      <c r="KR32" s="259" t="n"/>
      <c r="KS32" s="259" t="n"/>
      <c r="KT32" s="259" t="n"/>
      <c r="KU32" s="259" t="n"/>
      <c r="KV32" s="259" t="n"/>
      <c r="KW32" s="259" t="n"/>
      <c r="KX32" s="259" t="n"/>
      <c r="KY32" s="259" t="n"/>
      <c r="KZ32" s="259" t="n"/>
      <c r="LA32" s="259" t="n"/>
      <c r="LB32" s="259" t="n"/>
      <c r="LC32" s="259" t="n"/>
      <c r="LD32" s="259" t="n"/>
      <c r="LE32" s="259" t="n"/>
      <c r="LF32" s="259" t="n"/>
      <c r="LG32" s="259" t="n"/>
      <c r="LH32" s="259" t="n"/>
      <c r="LI32" s="259" t="n"/>
      <c r="LJ32" s="259" t="n"/>
      <c r="LK32" s="259" t="n"/>
      <c r="LL32" s="259" t="n"/>
      <c r="LM32" s="259" t="n"/>
      <c r="LN32" s="259" t="n"/>
      <c r="LO32" s="259" t="n"/>
      <c r="LP32" s="259" t="n"/>
      <c r="LQ32" s="259" t="n"/>
      <c r="LR32" s="259" t="n"/>
      <c r="LS32" s="259" t="n"/>
      <c r="LT32" s="259" t="n"/>
      <c r="LU32" s="259" t="n"/>
      <c r="LV32" s="259" t="n"/>
      <c r="LW32" s="259" t="n"/>
      <c r="LX32" s="259" t="n"/>
      <c r="LY32" s="259" t="n"/>
      <c r="LZ32" s="259" t="n"/>
      <c r="MA32" s="259" t="n"/>
      <c r="MB32" s="259" t="n"/>
      <c r="MC32" s="259" t="n"/>
      <c r="MD32" s="259" t="n"/>
      <c r="ME32" s="259" t="n"/>
      <c r="MF32" s="259" t="n"/>
      <c r="MG32" s="259" t="n"/>
      <c r="MH32" s="259" t="n"/>
      <c r="MI32" s="259" t="n"/>
      <c r="MJ32" s="259" t="n"/>
      <c r="MK32" s="259" t="n"/>
      <c r="ML32" s="259" t="n"/>
      <c r="MM32" s="259" t="n"/>
      <c r="MN32" s="259" t="n"/>
      <c r="MO32" s="259" t="n"/>
      <c r="MP32" s="259" t="n"/>
      <c r="MQ32" s="259" t="n"/>
      <c r="MR32" s="259" t="n"/>
      <c r="MS32" s="259" t="n"/>
      <c r="MT32" s="259" t="n"/>
      <c r="MU32" s="259" t="n"/>
      <c r="MV32" s="259" t="n"/>
      <c r="MW32" s="259" t="n"/>
      <c r="MX32" s="259" t="n"/>
      <c r="MY32" s="259" t="n"/>
      <c r="MZ32" s="259" t="n"/>
      <c r="NA32" s="259" t="n"/>
      <c r="NB32" s="259" t="n"/>
      <c r="NC32" s="259" t="n"/>
      <c r="ND32" s="259" t="n"/>
      <c r="NE32" s="279" t="n"/>
    </row>
    <row r="33" ht="15" customHeight="1" s="166">
      <c r="A33" s="277" t="inlineStr">
        <is>
          <t>N</t>
        </is>
      </c>
      <c r="B33" s="280" t="inlineStr">
        <is>
          <t>Energy Cost per Guest</t>
        </is>
      </c>
      <c r="C33" s="278" t="inlineStr">
        <is>
          <t>SAR</t>
        </is>
      </c>
      <c r="D33" s="259" t="n"/>
      <c r="E33" s="259" t="n"/>
      <c r="F33" s="259" t="n"/>
      <c r="G33" s="259" t="n"/>
      <c r="H33" s="259" t="n"/>
      <c r="I33" s="259" t="n"/>
      <c r="J33" s="259" t="n"/>
      <c r="K33" s="259" t="n"/>
      <c r="L33" s="259" t="n"/>
      <c r="M33" s="259" t="n"/>
      <c r="N33" s="259" t="n"/>
      <c r="O33" s="259" t="n"/>
      <c r="P33" s="259" t="n"/>
      <c r="Q33" s="259" t="n"/>
      <c r="R33" s="259" t="n"/>
      <c r="S33" s="259" t="n"/>
      <c r="T33" s="259" t="n"/>
      <c r="U33" s="259" t="n"/>
      <c r="V33" s="259" t="n"/>
      <c r="W33" s="259" t="n"/>
      <c r="X33" s="259" t="n"/>
      <c r="Y33" s="259" t="n"/>
      <c r="Z33" s="259" t="n"/>
      <c r="AA33" s="259" t="n"/>
      <c r="AB33" s="259" t="n"/>
      <c r="AC33" s="259" t="n"/>
      <c r="AD33" s="259" t="n"/>
      <c r="AE33" s="259" t="n"/>
      <c r="AF33" s="259" t="n"/>
      <c r="AG33" s="259" t="n"/>
      <c r="AH33" s="259" t="n"/>
      <c r="AI33" s="259" t="n"/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  <c r="AX33" s="259" t="n"/>
      <c r="AY33" s="259" t="n"/>
      <c r="AZ33" s="259" t="n"/>
      <c r="BA33" s="259" t="n"/>
      <c r="BB33" s="259" t="n"/>
      <c r="BC33" s="259" t="n"/>
      <c r="BD33" s="259" t="n"/>
      <c r="BE33" s="259" t="n"/>
      <c r="BF33" s="259" t="n"/>
      <c r="BG33" s="259" t="n"/>
      <c r="BH33" s="259" t="n"/>
      <c r="BI33" s="259" t="n"/>
      <c r="BJ33" s="259" t="n"/>
      <c r="BK33" s="259" t="n"/>
      <c r="BL33" s="259" t="n"/>
      <c r="BM33" s="259" t="n"/>
      <c r="BN33" s="259" t="n"/>
      <c r="BO33" s="259" t="n"/>
      <c r="BP33" s="259" t="n"/>
      <c r="BQ33" s="259" t="n"/>
      <c r="BR33" s="259" t="n"/>
      <c r="BS33" s="259" t="n"/>
      <c r="BT33" s="259" t="n"/>
      <c r="BU33" s="259" t="n"/>
      <c r="BV33" s="259" t="n"/>
      <c r="BW33" s="259" t="n"/>
      <c r="BX33" s="259" t="n"/>
      <c r="BY33" s="259" t="n"/>
      <c r="BZ33" s="259" t="n"/>
      <c r="CA33" s="259" t="n"/>
      <c r="CB33" s="259" t="n"/>
      <c r="CC33" s="259" t="n"/>
      <c r="CD33" s="259" t="n"/>
      <c r="CE33" s="259" t="n"/>
      <c r="CF33" s="259" t="n"/>
      <c r="CG33" s="259" t="n"/>
      <c r="CH33" s="259" t="n"/>
      <c r="CI33" s="259" t="n"/>
      <c r="CJ33" s="259" t="n"/>
      <c r="CK33" s="259" t="n"/>
      <c r="CL33" s="259" t="n"/>
      <c r="CM33" s="259" t="n"/>
      <c r="CN33" s="259" t="n"/>
      <c r="CO33" s="259" t="n"/>
      <c r="CP33" s="259" t="n"/>
      <c r="CQ33" s="259" t="n"/>
      <c r="CR33" s="259" t="n"/>
      <c r="CS33" s="259" t="n"/>
      <c r="CT33" s="259" t="n"/>
      <c r="CU33" s="259" t="n"/>
      <c r="CV33" s="259" t="n"/>
      <c r="CW33" s="259" t="n"/>
      <c r="CX33" s="259" t="n"/>
      <c r="CY33" s="259" t="n"/>
      <c r="CZ33" s="259" t="n"/>
      <c r="DA33" s="259" t="n"/>
      <c r="DB33" s="259" t="n"/>
      <c r="DC33" s="259" t="n"/>
      <c r="DD33" s="259" t="n"/>
      <c r="DE33" s="259" t="n"/>
      <c r="DF33" s="259" t="n"/>
      <c r="DG33" s="259" t="n"/>
      <c r="DH33" s="259" t="n"/>
      <c r="DI33" s="259" t="n"/>
      <c r="DJ33" s="259" t="n"/>
      <c r="DK33" s="259" t="n"/>
      <c r="DL33" s="259" t="n"/>
      <c r="DM33" s="259" t="n"/>
      <c r="DN33" s="259" t="n"/>
      <c r="DO33" s="259" t="n"/>
      <c r="DP33" s="259" t="n"/>
      <c r="DQ33" s="259" t="n"/>
      <c r="DR33" s="259" t="n"/>
      <c r="DS33" s="259" t="n"/>
      <c r="DT33" s="259" t="n"/>
      <c r="DU33" s="259" t="n"/>
      <c r="DV33" s="259" t="n"/>
      <c r="DW33" s="259" t="n"/>
      <c r="DX33" s="259" t="n"/>
      <c r="DY33" s="259" t="n"/>
      <c r="DZ33" s="259" t="n"/>
      <c r="EA33" s="259" t="n"/>
      <c r="EB33" s="259" t="n"/>
      <c r="EC33" s="259" t="n"/>
      <c r="ED33" s="259" t="n"/>
      <c r="EE33" s="259" t="n"/>
      <c r="EF33" s="259" t="n"/>
      <c r="EG33" s="259" t="n"/>
      <c r="EH33" s="259" t="n"/>
      <c r="EI33" s="259" t="n"/>
      <c r="EJ33" s="259" t="n"/>
      <c r="EK33" s="259" t="n"/>
      <c r="EL33" s="259" t="n"/>
      <c r="EM33" s="259" t="n"/>
      <c r="EN33" s="259" t="n"/>
      <c r="EO33" s="259" t="n"/>
      <c r="EP33" s="259" t="n"/>
      <c r="EQ33" s="259" t="n"/>
      <c r="ER33" s="259" t="n"/>
      <c r="ES33" s="259" t="n"/>
      <c r="ET33" s="259" t="n"/>
      <c r="EU33" s="259" t="n"/>
      <c r="EV33" s="259" t="n"/>
      <c r="EW33" s="259" t="n"/>
      <c r="EX33" s="259" t="n"/>
      <c r="EY33" s="259" t="n"/>
      <c r="EZ33" s="259" t="n"/>
      <c r="FA33" s="259" t="n"/>
      <c r="FB33" s="259" t="n"/>
      <c r="FC33" s="259" t="n"/>
      <c r="FD33" s="259" t="n"/>
      <c r="FE33" s="259" t="n"/>
      <c r="FF33" s="259" t="n"/>
      <c r="FG33" s="259" t="n"/>
      <c r="FH33" s="259" t="n"/>
      <c r="FI33" s="259" t="n"/>
      <c r="FJ33" s="259" t="n"/>
      <c r="FK33" s="259" t="n"/>
      <c r="FL33" s="259" t="n"/>
      <c r="FM33" s="259" t="n"/>
      <c r="FN33" s="259" t="n"/>
      <c r="FO33" s="259" t="n"/>
      <c r="FP33" s="259" t="n"/>
      <c r="FQ33" s="259" t="n"/>
      <c r="FR33" s="259" t="n"/>
      <c r="FS33" s="259" t="n"/>
      <c r="FT33" s="259" t="n"/>
      <c r="FU33" s="259" t="n"/>
      <c r="FV33" s="259" t="n"/>
      <c r="FW33" s="259" t="n"/>
      <c r="FX33" s="259" t="n"/>
      <c r="FY33" s="259" t="n"/>
      <c r="FZ33" s="259" t="n"/>
      <c r="GA33" s="259" t="n"/>
      <c r="GB33" s="259" t="n"/>
      <c r="GC33" s="259" t="n"/>
      <c r="GD33" s="259" t="n"/>
      <c r="GE33" s="259" t="n"/>
      <c r="GF33" s="259" t="n"/>
      <c r="GG33" s="259" t="n"/>
      <c r="GH33" s="259" t="n"/>
      <c r="GI33" s="259" t="n"/>
      <c r="GJ33" s="259" t="n"/>
      <c r="GK33" s="259" t="n"/>
      <c r="GL33" s="259" t="n"/>
      <c r="GM33" s="259" t="n"/>
      <c r="GN33" s="259" t="n"/>
      <c r="GO33" s="259" t="n"/>
      <c r="GP33" s="259" t="n"/>
      <c r="GQ33" s="259" t="n"/>
      <c r="GR33" s="259" t="n"/>
      <c r="GS33" s="259" t="n"/>
      <c r="GT33" s="259" t="n"/>
      <c r="GU33" s="259" t="n"/>
      <c r="GV33" s="259" t="n"/>
      <c r="GW33" s="259" t="n"/>
      <c r="GX33" s="259" t="n"/>
      <c r="GY33" s="259" t="n"/>
      <c r="GZ33" s="259" t="n"/>
      <c r="HA33" s="259" t="n"/>
      <c r="HB33" s="259" t="n"/>
      <c r="HC33" s="259" t="n"/>
      <c r="HD33" s="259" t="n"/>
      <c r="HE33" s="259" t="n"/>
      <c r="HF33" s="259" t="n"/>
      <c r="HG33" s="259" t="n"/>
      <c r="HH33" s="259" t="n"/>
      <c r="HI33" s="259" t="n"/>
      <c r="HJ33" s="259" t="n"/>
      <c r="HK33" s="259" t="n"/>
      <c r="HL33" s="259" t="n"/>
      <c r="HM33" s="259" t="n"/>
      <c r="HN33" s="259" t="n"/>
      <c r="HO33" s="259" t="n"/>
      <c r="HP33" s="259" t="n"/>
      <c r="HQ33" s="259" t="n"/>
      <c r="HR33" s="259" t="n"/>
      <c r="HS33" s="259" t="n"/>
      <c r="HT33" s="259" t="n"/>
      <c r="HU33" s="259" t="n"/>
      <c r="HV33" s="259" t="n"/>
      <c r="HW33" s="259" t="n"/>
      <c r="HX33" s="259" t="n"/>
      <c r="HY33" s="259" t="n"/>
      <c r="HZ33" s="259" t="n"/>
      <c r="IA33" s="259" t="n"/>
      <c r="IB33" s="259" t="n"/>
      <c r="IC33" s="259" t="n"/>
      <c r="ID33" s="259" t="n"/>
      <c r="IE33" s="259" t="n"/>
      <c r="IF33" s="259" t="n"/>
      <c r="IG33" s="259" t="n"/>
      <c r="IH33" s="259" t="n"/>
      <c r="II33" s="259" t="n"/>
      <c r="IJ33" s="259" t="n"/>
      <c r="IK33" s="259" t="n"/>
      <c r="IL33" s="259" t="n"/>
      <c r="IM33" s="259" t="n"/>
      <c r="IN33" s="259" t="n"/>
      <c r="IO33" s="259" t="n"/>
      <c r="IP33" s="259" t="n"/>
      <c r="IQ33" s="259" t="n"/>
      <c r="IR33" s="259" t="n"/>
      <c r="IS33" s="259" t="n"/>
      <c r="IT33" s="259" t="n"/>
      <c r="IU33" s="259" t="n"/>
      <c r="IV33" s="259" t="n"/>
      <c r="IW33" s="259" t="n"/>
      <c r="IX33" s="259" t="n"/>
      <c r="IY33" s="259" t="n"/>
      <c r="IZ33" s="259" t="n"/>
      <c r="JA33" s="259" t="n"/>
      <c r="JB33" s="259" t="n"/>
      <c r="JC33" s="259" t="n"/>
      <c r="JD33" s="259" t="n"/>
      <c r="JE33" s="259" t="n"/>
      <c r="JF33" s="259" t="n"/>
      <c r="JG33" s="259" t="n"/>
      <c r="JH33" s="259" t="n"/>
      <c r="JI33" s="259" t="n"/>
      <c r="JJ33" s="259" t="n"/>
      <c r="JK33" s="259" t="n"/>
      <c r="JL33" s="259" t="n"/>
      <c r="JM33" s="259" t="n"/>
      <c r="JN33" s="259" t="n"/>
      <c r="JO33" s="259" t="n"/>
      <c r="JP33" s="259" t="n"/>
      <c r="JQ33" s="259" t="n"/>
      <c r="JR33" s="259" t="n"/>
      <c r="JS33" s="259" t="n"/>
      <c r="JT33" s="259" t="n"/>
      <c r="JU33" s="259" t="n"/>
      <c r="JV33" s="259" t="n"/>
      <c r="JW33" s="259" t="n"/>
      <c r="JX33" s="259" t="n"/>
      <c r="JY33" s="259" t="n"/>
      <c r="JZ33" s="259" t="n"/>
      <c r="KA33" s="259" t="n"/>
      <c r="KB33" s="259" t="n"/>
      <c r="KC33" s="259" t="n"/>
      <c r="KD33" s="259" t="n"/>
      <c r="KE33" s="259" t="n"/>
      <c r="KF33" s="259" t="n"/>
      <c r="KG33" s="259" t="n"/>
      <c r="KH33" s="259" t="n"/>
      <c r="KI33" s="259" t="n"/>
      <c r="KJ33" s="259" t="n"/>
      <c r="KK33" s="259" t="n"/>
      <c r="KL33" s="259" t="n"/>
      <c r="KM33" s="259" t="n"/>
      <c r="KN33" s="259" t="n"/>
      <c r="KO33" s="259" t="n"/>
      <c r="KP33" s="259" t="n"/>
      <c r="KQ33" s="259" t="n"/>
      <c r="KR33" s="259" t="n"/>
      <c r="KS33" s="259" t="n"/>
      <c r="KT33" s="259" t="n"/>
      <c r="KU33" s="259" t="n"/>
      <c r="KV33" s="259" t="n"/>
      <c r="KW33" s="259" t="n"/>
      <c r="KX33" s="259" t="n"/>
      <c r="KY33" s="259" t="n"/>
      <c r="KZ33" s="259" t="n"/>
      <c r="LA33" s="259" t="n"/>
      <c r="LB33" s="259" t="n"/>
      <c r="LC33" s="259" t="n"/>
      <c r="LD33" s="259" t="n"/>
      <c r="LE33" s="259" t="n"/>
      <c r="LF33" s="259" t="n"/>
      <c r="LG33" s="259" t="n"/>
      <c r="LH33" s="259" t="n"/>
      <c r="LI33" s="259" t="n"/>
      <c r="LJ33" s="259" t="n"/>
      <c r="LK33" s="259" t="n"/>
      <c r="LL33" s="259" t="n"/>
      <c r="LM33" s="259" t="n"/>
      <c r="LN33" s="259" t="n"/>
      <c r="LO33" s="259" t="n"/>
      <c r="LP33" s="259" t="n"/>
      <c r="LQ33" s="259" t="n"/>
      <c r="LR33" s="259" t="n"/>
      <c r="LS33" s="259" t="n"/>
      <c r="LT33" s="259" t="n"/>
      <c r="LU33" s="259" t="n"/>
      <c r="LV33" s="259" t="n"/>
      <c r="LW33" s="259" t="n"/>
      <c r="LX33" s="259" t="n"/>
      <c r="LY33" s="259" t="n"/>
      <c r="LZ33" s="259" t="n"/>
      <c r="MA33" s="259" t="n"/>
      <c r="MB33" s="259" t="n"/>
      <c r="MC33" s="259" t="n"/>
      <c r="MD33" s="259" t="n"/>
      <c r="ME33" s="259" t="n"/>
      <c r="MF33" s="259" t="n"/>
      <c r="MG33" s="259" t="n"/>
      <c r="MH33" s="259" t="n"/>
      <c r="MI33" s="259" t="n"/>
      <c r="MJ33" s="259" t="n"/>
      <c r="MK33" s="259" t="n"/>
      <c r="ML33" s="259" t="n"/>
      <c r="MM33" s="259" t="n"/>
      <c r="MN33" s="259" t="n"/>
      <c r="MO33" s="259" t="n"/>
      <c r="MP33" s="259" t="n"/>
      <c r="MQ33" s="259" t="n"/>
      <c r="MR33" s="259" t="n"/>
      <c r="MS33" s="259" t="n"/>
      <c r="MT33" s="259" t="n"/>
      <c r="MU33" s="259" t="n"/>
      <c r="MV33" s="259" t="n"/>
      <c r="MW33" s="259" t="n"/>
      <c r="MX33" s="259" t="n"/>
      <c r="MY33" s="259" t="n"/>
      <c r="MZ33" s="259" t="n"/>
      <c r="NA33" s="259" t="n"/>
      <c r="NB33" s="259" t="n"/>
      <c r="NC33" s="259" t="n"/>
      <c r="ND33" s="259" t="n"/>
      <c r="NE33" s="279" t="n"/>
    </row>
    <row r="34" ht="15.75" customHeight="1" s="166">
      <c r="A34" s="277" t="inlineStr">
        <is>
          <t>N - 1</t>
        </is>
      </c>
      <c r="B34" s="269" t="n"/>
      <c r="C34" s="269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  <c r="N34" s="25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6" t="n"/>
      <c r="Y34" s="256" t="n"/>
      <c r="Z34" s="256" t="n"/>
      <c r="AA34" s="256" t="n"/>
      <c r="AB34" s="256" t="n"/>
      <c r="AC34" s="256" t="n"/>
      <c r="AD34" s="256" t="n"/>
      <c r="AE34" s="256" t="n"/>
      <c r="AF34" s="256" t="n"/>
      <c r="AG34" s="256" t="n"/>
      <c r="AH34" s="256" t="n"/>
      <c r="AI34" s="256" t="n"/>
      <c r="AJ34" s="256" t="n"/>
      <c r="AK34" s="256" t="n"/>
      <c r="AL34" s="256" t="n"/>
      <c r="AM34" s="256" t="n"/>
      <c r="AN34" s="256" t="n"/>
      <c r="AO34" s="256" t="n"/>
      <c r="AP34" s="256" t="n"/>
      <c r="AQ34" s="256" t="n"/>
      <c r="AR34" s="256" t="n"/>
      <c r="AS34" s="256" t="n"/>
      <c r="AT34" s="256" t="n"/>
      <c r="AU34" s="256" t="n"/>
      <c r="AV34" s="256" t="n"/>
      <c r="AW34" s="256" t="n"/>
      <c r="AX34" s="256" t="n"/>
      <c r="AY34" s="256" t="n"/>
      <c r="AZ34" s="256" t="n"/>
      <c r="BA34" s="256" t="n"/>
      <c r="BB34" s="256" t="n"/>
      <c r="BC34" s="256" t="n"/>
      <c r="BD34" s="256" t="n"/>
      <c r="BE34" s="256" t="n"/>
      <c r="BF34" s="256" t="n"/>
      <c r="BG34" s="256" t="n"/>
      <c r="BH34" s="256" t="n"/>
      <c r="BI34" s="256" t="n"/>
      <c r="BJ34" s="256" t="n"/>
      <c r="BK34" s="256" t="n"/>
      <c r="BL34" s="256" t="n"/>
      <c r="BM34" s="256" t="n"/>
      <c r="BN34" s="256" t="n"/>
      <c r="BO34" s="256" t="n"/>
      <c r="BP34" s="256" t="n"/>
      <c r="BQ34" s="256" t="n"/>
      <c r="BR34" s="256" t="n"/>
      <c r="BS34" s="256" t="n"/>
      <c r="BT34" s="256" t="n"/>
      <c r="BU34" s="256" t="n"/>
      <c r="BV34" s="256" t="n"/>
      <c r="BW34" s="256" t="n"/>
      <c r="BX34" s="256" t="n"/>
      <c r="BY34" s="256" t="n"/>
      <c r="BZ34" s="256" t="n"/>
      <c r="CA34" s="256" t="n"/>
      <c r="CB34" s="256" t="n"/>
      <c r="CC34" s="256" t="n"/>
      <c r="CD34" s="256" t="n"/>
      <c r="CE34" s="256" t="n"/>
      <c r="CF34" s="256" t="n"/>
      <c r="CG34" s="256" t="n"/>
      <c r="CH34" s="256" t="n"/>
      <c r="CI34" s="256" t="n"/>
      <c r="CJ34" s="256" t="n"/>
      <c r="CK34" s="256" t="n"/>
      <c r="CL34" s="256" t="n"/>
      <c r="CM34" s="256" t="n"/>
      <c r="CN34" s="256" t="n"/>
      <c r="CO34" s="256" t="n"/>
      <c r="CP34" s="256" t="n"/>
      <c r="CQ34" s="256" t="n"/>
      <c r="CR34" s="256" t="n"/>
      <c r="CS34" s="256" t="n"/>
      <c r="CT34" s="256" t="n"/>
      <c r="CU34" s="256" t="n"/>
      <c r="CV34" s="256" t="n"/>
      <c r="CW34" s="256" t="n"/>
      <c r="CX34" s="256" t="n"/>
      <c r="CY34" s="256" t="n"/>
      <c r="CZ34" s="256" t="n"/>
      <c r="DA34" s="256" t="n"/>
      <c r="DB34" s="256" t="n"/>
      <c r="DC34" s="256" t="n"/>
      <c r="DD34" s="256" t="n"/>
      <c r="DE34" s="256" t="n"/>
      <c r="DF34" s="256" t="n"/>
      <c r="DG34" s="256" t="n"/>
      <c r="DH34" s="256" t="n"/>
      <c r="DI34" s="256" t="n"/>
      <c r="DJ34" s="256" t="n"/>
      <c r="DK34" s="256" t="n"/>
      <c r="DL34" s="256" t="n"/>
      <c r="DM34" s="256" t="n"/>
      <c r="DN34" s="256" t="n"/>
      <c r="DO34" s="256" t="n"/>
      <c r="DP34" s="256" t="n"/>
      <c r="DQ34" s="256" t="n"/>
      <c r="DR34" s="256" t="n"/>
      <c r="DS34" s="256" t="n"/>
      <c r="DT34" s="256" t="n"/>
      <c r="DU34" s="256" t="n"/>
      <c r="DV34" s="256" t="n"/>
      <c r="DW34" s="256" t="n"/>
      <c r="DX34" s="256" t="n"/>
      <c r="DY34" s="256" t="n"/>
      <c r="DZ34" s="256" t="n"/>
      <c r="EA34" s="256" t="n"/>
      <c r="EB34" s="256" t="n"/>
      <c r="EC34" s="256" t="n"/>
      <c r="ED34" s="256" t="n"/>
      <c r="EE34" s="256" t="n"/>
      <c r="EF34" s="256" t="n"/>
      <c r="EG34" s="256" t="n"/>
      <c r="EH34" s="256" t="n"/>
      <c r="EI34" s="256" t="n"/>
      <c r="EJ34" s="256" t="n"/>
      <c r="EK34" s="256" t="n"/>
      <c r="EL34" s="256" t="n"/>
      <c r="EM34" s="256" t="n"/>
      <c r="EN34" s="256" t="n"/>
      <c r="EO34" s="256" t="n"/>
      <c r="EP34" s="256" t="n"/>
      <c r="EQ34" s="256" t="n"/>
      <c r="ER34" s="256" t="n"/>
      <c r="ES34" s="256" t="n"/>
      <c r="ET34" s="256" t="n"/>
      <c r="EU34" s="256" t="n"/>
      <c r="EV34" s="256" t="n"/>
      <c r="EW34" s="256" t="n"/>
      <c r="EX34" s="256" t="n"/>
      <c r="EY34" s="256" t="n"/>
      <c r="EZ34" s="256" t="n"/>
      <c r="FA34" s="256" t="n"/>
      <c r="FB34" s="256" t="n"/>
      <c r="FC34" s="256" t="n"/>
      <c r="FD34" s="256" t="n"/>
      <c r="FE34" s="256" t="n"/>
      <c r="FF34" s="256" t="n"/>
      <c r="FG34" s="256" t="n"/>
      <c r="FH34" s="256" t="n"/>
      <c r="FI34" s="256" t="n"/>
      <c r="FJ34" s="256" t="n"/>
      <c r="FK34" s="256" t="n"/>
      <c r="FL34" s="256" t="n"/>
      <c r="FM34" s="256" t="n"/>
      <c r="FN34" s="256" t="n"/>
      <c r="FO34" s="256" t="n"/>
      <c r="FP34" s="256" t="n"/>
      <c r="FQ34" s="256" t="n"/>
      <c r="FR34" s="256" t="n"/>
      <c r="FS34" s="256" t="n"/>
      <c r="FT34" s="256" t="n"/>
      <c r="FU34" s="256" t="n"/>
      <c r="FV34" s="256" t="n"/>
      <c r="FW34" s="256" t="n"/>
      <c r="FX34" s="256" t="n"/>
      <c r="FY34" s="256" t="n"/>
      <c r="FZ34" s="256" t="n"/>
      <c r="GA34" s="256" t="n"/>
      <c r="GB34" s="256" t="n"/>
      <c r="GC34" s="256" t="n"/>
      <c r="GD34" s="256" t="n"/>
      <c r="GE34" s="256" t="n"/>
      <c r="GF34" s="256" t="n"/>
      <c r="GG34" s="256" t="n"/>
      <c r="GH34" s="256" t="n"/>
      <c r="GI34" s="256" t="n"/>
      <c r="GJ34" s="256" t="n"/>
      <c r="GK34" s="256" t="n"/>
      <c r="GL34" s="256" t="n"/>
      <c r="GM34" s="256" t="n"/>
      <c r="GN34" s="256" t="n"/>
      <c r="GO34" s="256" t="n"/>
      <c r="GP34" s="256" t="n"/>
      <c r="GQ34" s="256" t="n"/>
      <c r="GR34" s="256" t="n"/>
      <c r="GS34" s="256" t="n"/>
      <c r="GT34" s="256" t="n"/>
      <c r="GU34" s="256" t="n"/>
      <c r="GV34" s="256" t="n"/>
      <c r="GW34" s="256" t="n"/>
      <c r="GX34" s="256" t="n"/>
      <c r="GY34" s="256" t="n"/>
      <c r="GZ34" s="256" t="n"/>
      <c r="HA34" s="256" t="n"/>
      <c r="HB34" s="256" t="n"/>
      <c r="HC34" s="256" t="n"/>
      <c r="HD34" s="256" t="n"/>
      <c r="HE34" s="256" t="n"/>
      <c r="HF34" s="256" t="n"/>
      <c r="HG34" s="256" t="n"/>
      <c r="HH34" s="256" t="n"/>
      <c r="HI34" s="256" t="n"/>
      <c r="HJ34" s="256" t="n"/>
      <c r="HK34" s="256" t="n"/>
      <c r="HL34" s="256" t="n"/>
      <c r="HM34" s="256" t="n"/>
      <c r="HN34" s="256" t="n"/>
      <c r="HO34" s="256" t="n"/>
      <c r="HP34" s="256" t="n"/>
      <c r="HQ34" s="256" t="n"/>
      <c r="HR34" s="256" t="n"/>
      <c r="HS34" s="256" t="n"/>
      <c r="HT34" s="256" t="n"/>
      <c r="HU34" s="256" t="n"/>
      <c r="HV34" s="256" t="n"/>
      <c r="HW34" s="256" t="n"/>
      <c r="HX34" s="256" t="n"/>
      <c r="HY34" s="256" t="n"/>
      <c r="HZ34" s="256" t="n"/>
      <c r="IA34" s="256" t="n"/>
      <c r="IB34" s="256" t="n"/>
      <c r="IC34" s="256" t="n"/>
      <c r="ID34" s="256" t="n"/>
      <c r="IE34" s="256" t="n"/>
      <c r="IF34" s="256" t="n"/>
      <c r="IG34" s="256" t="n"/>
      <c r="IH34" s="256" t="n"/>
      <c r="II34" s="256" t="n"/>
      <c r="IJ34" s="256" t="n"/>
      <c r="IK34" s="256" t="n"/>
      <c r="IL34" s="256" t="n"/>
      <c r="IM34" s="256" t="n"/>
      <c r="IN34" s="256" t="n"/>
      <c r="IO34" s="256" t="n"/>
      <c r="IP34" s="256" t="n"/>
      <c r="IQ34" s="256" t="n"/>
      <c r="IR34" s="256" t="n"/>
      <c r="IS34" s="256" t="n"/>
      <c r="IT34" s="256" t="n"/>
      <c r="IU34" s="256" t="n"/>
      <c r="IV34" s="256" t="n"/>
      <c r="IW34" s="256" t="n"/>
      <c r="IX34" s="256" t="n"/>
      <c r="IY34" s="256" t="n"/>
      <c r="IZ34" s="256" t="n"/>
      <c r="JA34" s="256" t="n"/>
      <c r="JB34" s="256" t="n"/>
      <c r="JC34" s="256" t="n"/>
      <c r="JD34" s="256" t="n"/>
      <c r="JE34" s="256" t="n"/>
      <c r="JF34" s="256" t="n"/>
      <c r="JG34" s="256" t="n"/>
      <c r="JH34" s="256" t="n"/>
      <c r="JI34" s="256" t="n"/>
      <c r="JJ34" s="256" t="n"/>
      <c r="JK34" s="256" t="n"/>
      <c r="JL34" s="256" t="n"/>
      <c r="JM34" s="256" t="n"/>
      <c r="JN34" s="256" t="n"/>
      <c r="JO34" s="256" t="n"/>
      <c r="JP34" s="256" t="n"/>
      <c r="JQ34" s="256" t="n"/>
      <c r="JR34" s="256" t="n"/>
      <c r="JS34" s="256" t="n"/>
      <c r="JT34" s="256" t="n"/>
      <c r="JU34" s="256" t="n"/>
      <c r="JV34" s="256" t="n"/>
      <c r="JW34" s="256" t="n"/>
      <c r="JX34" s="256" t="n"/>
      <c r="JY34" s="256" t="n"/>
      <c r="JZ34" s="256" t="n"/>
      <c r="KA34" s="256" t="n"/>
      <c r="KB34" s="256" t="n"/>
      <c r="KC34" s="256" t="n"/>
      <c r="KD34" s="256" t="n"/>
      <c r="KE34" s="256" t="n"/>
      <c r="KF34" s="256" t="n"/>
      <c r="KG34" s="256" t="n"/>
      <c r="KH34" s="256" t="n"/>
      <c r="KI34" s="256" t="n"/>
      <c r="KJ34" s="256" t="n"/>
      <c r="KK34" s="256" t="n"/>
      <c r="KL34" s="256" t="n"/>
      <c r="KM34" s="256" t="n"/>
      <c r="KN34" s="256" t="n"/>
      <c r="KO34" s="256" t="n"/>
      <c r="KP34" s="256" t="n"/>
      <c r="KQ34" s="256" t="n"/>
      <c r="KR34" s="256" t="n"/>
      <c r="KS34" s="256" t="n"/>
      <c r="KT34" s="256" t="n"/>
      <c r="KU34" s="256" t="n"/>
      <c r="KV34" s="256" t="n"/>
      <c r="KW34" s="256" t="n"/>
      <c r="KX34" s="256" t="n"/>
      <c r="KY34" s="256" t="n"/>
      <c r="KZ34" s="256" t="n"/>
      <c r="LA34" s="256" t="n"/>
      <c r="LB34" s="256" t="n"/>
      <c r="LC34" s="256" t="n"/>
      <c r="LD34" s="256" t="n"/>
      <c r="LE34" s="256" t="n"/>
      <c r="LF34" s="256" t="n"/>
      <c r="LG34" s="256" t="n"/>
      <c r="LH34" s="256" t="n"/>
      <c r="LI34" s="256" t="n"/>
      <c r="LJ34" s="256" t="n"/>
      <c r="LK34" s="256" t="n"/>
      <c r="LL34" s="256" t="n"/>
      <c r="LM34" s="256" t="n"/>
      <c r="LN34" s="256" t="n"/>
      <c r="LO34" s="256" t="n"/>
      <c r="LP34" s="256" t="n"/>
      <c r="LQ34" s="256" t="n"/>
      <c r="LR34" s="256" t="n"/>
      <c r="LS34" s="256" t="n"/>
      <c r="LT34" s="256" t="n"/>
      <c r="LU34" s="256" t="n"/>
      <c r="LV34" s="256" t="n"/>
      <c r="LW34" s="256" t="n"/>
      <c r="LX34" s="256" t="n"/>
      <c r="LY34" s="256" t="n"/>
      <c r="LZ34" s="256" t="n"/>
      <c r="MA34" s="256" t="n"/>
      <c r="MB34" s="256" t="n"/>
      <c r="MC34" s="256" t="n"/>
      <c r="MD34" s="256" t="n"/>
      <c r="ME34" s="256" t="n"/>
      <c r="MF34" s="256" t="n"/>
      <c r="MG34" s="256" t="n"/>
      <c r="MH34" s="256" t="n"/>
      <c r="MI34" s="256" t="n"/>
      <c r="MJ34" s="256" t="n"/>
      <c r="MK34" s="256" t="n"/>
      <c r="ML34" s="256" t="n"/>
      <c r="MM34" s="256" t="n"/>
      <c r="MN34" s="256" t="n"/>
      <c r="MO34" s="256" t="n"/>
      <c r="MP34" s="256" t="n"/>
      <c r="MQ34" s="256" t="n"/>
      <c r="MR34" s="256" t="n"/>
      <c r="MS34" s="256" t="n"/>
      <c r="MT34" s="256" t="n"/>
      <c r="MU34" s="256" t="n"/>
      <c r="MV34" s="256" t="n"/>
      <c r="MW34" s="256" t="n"/>
      <c r="MX34" s="256" t="n"/>
      <c r="MY34" s="256" t="n"/>
      <c r="MZ34" s="256" t="n"/>
      <c r="NA34" s="256" t="n"/>
      <c r="NB34" s="256" t="n"/>
      <c r="NC34" s="256" t="n"/>
      <c r="ND34" s="256" t="n"/>
      <c r="NE34" s="283" t="n"/>
    </row>
    <row r="35" ht="15.75" customHeight="1" s="166">
      <c r="A35" s="284" t="inlineStr">
        <is>
          <t>N</t>
        </is>
      </c>
      <c r="B35" s="285" t="inlineStr">
        <is>
          <t>Energy Cost per Room</t>
        </is>
      </c>
      <c r="C35" s="286" t="inlineStr">
        <is>
          <t>SAR</t>
        </is>
      </c>
      <c r="D35" s="287" t="n"/>
      <c r="E35" s="287" t="n"/>
      <c r="F35" s="287" t="n"/>
      <c r="G35" s="287" t="n"/>
      <c r="H35" s="287" t="n"/>
      <c r="I35" s="287" t="n"/>
      <c r="J35" s="287" t="n"/>
      <c r="K35" s="287" t="n"/>
      <c r="L35" s="287" t="n"/>
      <c r="M35" s="287" t="n"/>
      <c r="N35" s="287" t="n"/>
      <c r="O35" s="287" t="n"/>
      <c r="P35" s="287" t="n"/>
      <c r="Q35" s="287" t="n"/>
      <c r="R35" s="287" t="n"/>
      <c r="S35" s="287" t="n"/>
      <c r="T35" s="287" t="n"/>
      <c r="U35" s="287" t="n"/>
      <c r="V35" s="287" t="n"/>
      <c r="W35" s="287" t="n"/>
      <c r="X35" s="287" t="n"/>
      <c r="Y35" s="287" t="n"/>
      <c r="Z35" s="287" t="n"/>
      <c r="AA35" s="287" t="n"/>
      <c r="AB35" s="287" t="n"/>
      <c r="AC35" s="287" t="n"/>
      <c r="AD35" s="287" t="n"/>
      <c r="AE35" s="287" t="n"/>
      <c r="AF35" s="287" t="n"/>
      <c r="AG35" s="287" t="n"/>
      <c r="AH35" s="287" t="n"/>
      <c r="AI35" s="287" t="n"/>
      <c r="AJ35" s="287" t="n"/>
      <c r="AK35" s="287" t="n"/>
      <c r="AL35" s="287" t="n"/>
      <c r="AM35" s="287" t="n"/>
      <c r="AN35" s="287" t="n"/>
      <c r="AO35" s="287" t="n"/>
      <c r="AP35" s="287" t="n"/>
      <c r="AQ35" s="287" t="n"/>
      <c r="AR35" s="287" t="n"/>
      <c r="AS35" s="287" t="n"/>
      <c r="AT35" s="287" t="n"/>
      <c r="AU35" s="287" t="n"/>
      <c r="AV35" s="287" t="n"/>
      <c r="AW35" s="287" t="n"/>
      <c r="AX35" s="287" t="n"/>
      <c r="AY35" s="287" t="n"/>
      <c r="AZ35" s="287" t="n"/>
      <c r="BA35" s="287" t="n"/>
      <c r="BB35" s="287" t="n"/>
      <c r="BC35" s="287" t="n"/>
      <c r="BD35" s="287" t="n"/>
      <c r="BE35" s="287" t="n"/>
      <c r="BF35" s="287" t="n"/>
      <c r="BG35" s="287" t="n"/>
      <c r="BH35" s="287" t="n"/>
      <c r="BI35" s="287" t="n"/>
      <c r="BJ35" s="287" t="n"/>
      <c r="BK35" s="287" t="n"/>
      <c r="BL35" s="287" t="n"/>
      <c r="BM35" s="287" t="n"/>
      <c r="BN35" s="287" t="n"/>
      <c r="BO35" s="287" t="n"/>
      <c r="BP35" s="287" t="n"/>
      <c r="BQ35" s="287" t="n"/>
      <c r="BR35" s="287" t="n"/>
      <c r="BS35" s="287" t="n"/>
      <c r="BT35" s="287" t="n"/>
      <c r="BU35" s="287" t="n"/>
      <c r="BV35" s="287" t="n"/>
      <c r="BW35" s="287" t="n"/>
      <c r="BX35" s="287" t="n"/>
      <c r="BY35" s="287" t="n"/>
      <c r="BZ35" s="287" t="n"/>
      <c r="CA35" s="287" t="n"/>
      <c r="CB35" s="287" t="n"/>
      <c r="CC35" s="287" t="n"/>
      <c r="CD35" s="287" t="n"/>
      <c r="CE35" s="287" t="n"/>
      <c r="CF35" s="287" t="n"/>
      <c r="CG35" s="287" t="n"/>
      <c r="CH35" s="287" t="n"/>
      <c r="CI35" s="287" t="n"/>
      <c r="CJ35" s="287" t="n"/>
      <c r="CK35" s="287" t="n"/>
      <c r="CL35" s="287" t="n"/>
      <c r="CM35" s="287" t="n"/>
      <c r="CN35" s="287" t="n"/>
      <c r="CO35" s="287" t="n"/>
      <c r="CP35" s="287" t="n"/>
      <c r="CQ35" s="287" t="n"/>
      <c r="CR35" s="287" t="n"/>
      <c r="CS35" s="287" t="n"/>
      <c r="CT35" s="287" t="n"/>
      <c r="CU35" s="287" t="n"/>
      <c r="CV35" s="287" t="n"/>
      <c r="CW35" s="287" t="n"/>
      <c r="CX35" s="287" t="n"/>
      <c r="CY35" s="287" t="n"/>
      <c r="CZ35" s="287" t="n"/>
      <c r="DA35" s="287" t="n"/>
      <c r="DB35" s="287" t="n"/>
      <c r="DC35" s="287" t="n"/>
      <c r="DD35" s="287" t="n"/>
      <c r="DE35" s="287" t="n"/>
      <c r="DF35" s="287" t="n"/>
      <c r="DG35" s="287" t="n"/>
      <c r="DH35" s="287" t="n"/>
      <c r="DI35" s="287" t="n"/>
      <c r="DJ35" s="287" t="n"/>
      <c r="DK35" s="287" t="n"/>
      <c r="DL35" s="287" t="n"/>
      <c r="DM35" s="287" t="n"/>
      <c r="DN35" s="287" t="n"/>
      <c r="DO35" s="287" t="n"/>
      <c r="DP35" s="287" t="n"/>
      <c r="DQ35" s="287" t="n"/>
      <c r="DR35" s="287" t="n"/>
      <c r="DS35" s="287" t="n"/>
      <c r="DT35" s="287" t="n"/>
      <c r="DU35" s="287" t="n"/>
      <c r="DV35" s="287" t="n"/>
      <c r="DW35" s="287" t="n"/>
      <c r="DX35" s="287" t="n"/>
      <c r="DY35" s="287" t="n"/>
      <c r="DZ35" s="287" t="n"/>
      <c r="EA35" s="287" t="n"/>
      <c r="EB35" s="287" t="n"/>
      <c r="EC35" s="287" t="n"/>
      <c r="ED35" s="287" t="n"/>
      <c r="EE35" s="287" t="n"/>
      <c r="EF35" s="287" t="n"/>
      <c r="EG35" s="287" t="n"/>
      <c r="EH35" s="287" t="n"/>
      <c r="EI35" s="287" t="n"/>
      <c r="EJ35" s="287" t="n"/>
      <c r="EK35" s="287" t="n"/>
      <c r="EL35" s="287" t="n"/>
      <c r="EM35" s="287" t="n"/>
      <c r="EN35" s="287" t="n"/>
      <c r="EO35" s="287" t="n"/>
      <c r="EP35" s="287" t="n"/>
      <c r="EQ35" s="287" t="n"/>
      <c r="ER35" s="287" t="n"/>
      <c r="ES35" s="287" t="n"/>
      <c r="ET35" s="287" t="n"/>
      <c r="EU35" s="287" t="n"/>
      <c r="EV35" s="287" t="n"/>
      <c r="EW35" s="287" t="n"/>
      <c r="EX35" s="287" t="n"/>
      <c r="EY35" s="287" t="n"/>
      <c r="EZ35" s="287" t="n"/>
      <c r="FA35" s="287" t="n"/>
      <c r="FB35" s="287" t="n"/>
      <c r="FC35" s="287" t="n"/>
      <c r="FD35" s="287" t="n"/>
      <c r="FE35" s="287" t="n"/>
      <c r="FF35" s="287" t="n"/>
      <c r="FG35" s="287" t="n"/>
      <c r="FH35" s="287" t="n"/>
      <c r="FI35" s="287" t="n"/>
      <c r="FJ35" s="287" t="n"/>
      <c r="FK35" s="287" t="n"/>
      <c r="FL35" s="287" t="n"/>
      <c r="FM35" s="287" t="n"/>
      <c r="FN35" s="287" t="n"/>
      <c r="FO35" s="287" t="n"/>
      <c r="FP35" s="287" t="n"/>
      <c r="FQ35" s="287" t="n"/>
      <c r="FR35" s="287" t="n"/>
      <c r="FS35" s="287" t="n"/>
      <c r="FT35" s="287" t="n"/>
      <c r="FU35" s="287" t="n"/>
      <c r="FV35" s="287" t="n"/>
      <c r="FW35" s="287" t="n"/>
      <c r="FX35" s="287" t="n"/>
      <c r="FY35" s="287" t="n"/>
      <c r="FZ35" s="287" t="n"/>
      <c r="GA35" s="287" t="n"/>
      <c r="GB35" s="287" t="n"/>
      <c r="GC35" s="287" t="n"/>
      <c r="GD35" s="287" t="n"/>
      <c r="GE35" s="287" t="n"/>
      <c r="GF35" s="287" t="n"/>
      <c r="GG35" s="287" t="n"/>
      <c r="GH35" s="287" t="n"/>
      <c r="GI35" s="287" t="n"/>
      <c r="GJ35" s="287" t="n"/>
      <c r="GK35" s="287" t="n"/>
      <c r="GL35" s="287" t="n"/>
      <c r="GM35" s="287" t="n"/>
      <c r="GN35" s="287" t="n"/>
      <c r="GO35" s="287" t="n"/>
      <c r="GP35" s="287" t="n"/>
      <c r="GQ35" s="287" t="n"/>
      <c r="GR35" s="287" t="n"/>
      <c r="GS35" s="287" t="n"/>
      <c r="GT35" s="287" t="n"/>
      <c r="GU35" s="287" t="n"/>
      <c r="GV35" s="287" t="n"/>
      <c r="GW35" s="287" t="n"/>
      <c r="GX35" s="287" t="n"/>
      <c r="GY35" s="287" t="n"/>
      <c r="GZ35" s="287" t="n"/>
      <c r="HA35" s="287" t="n"/>
      <c r="HB35" s="287" t="n"/>
      <c r="HC35" s="287" t="n"/>
      <c r="HD35" s="287" t="n"/>
      <c r="HE35" s="287" t="n"/>
      <c r="HF35" s="287" t="n"/>
      <c r="HG35" s="287" t="n"/>
      <c r="HH35" s="287" t="n"/>
      <c r="HI35" s="287" t="n"/>
      <c r="HJ35" s="287" t="n"/>
      <c r="HK35" s="287" t="n"/>
      <c r="HL35" s="287" t="n"/>
      <c r="HM35" s="287" t="n"/>
      <c r="HN35" s="287" t="n"/>
      <c r="HO35" s="287" t="n"/>
      <c r="HP35" s="287" t="n"/>
      <c r="HQ35" s="287" t="n"/>
      <c r="HR35" s="287" t="n"/>
      <c r="HS35" s="287" t="n"/>
      <c r="HT35" s="287" t="n"/>
      <c r="HU35" s="287" t="n"/>
      <c r="HV35" s="287" t="n"/>
      <c r="HW35" s="287" t="n"/>
      <c r="HX35" s="287" t="n"/>
      <c r="HY35" s="287" t="n"/>
      <c r="HZ35" s="287" t="n"/>
      <c r="IA35" s="287" t="n"/>
      <c r="IB35" s="287" t="n"/>
      <c r="IC35" s="287" t="n"/>
      <c r="ID35" s="287" t="n"/>
      <c r="IE35" s="287" t="n"/>
      <c r="IF35" s="287" t="n"/>
      <c r="IG35" s="287" t="n"/>
      <c r="IH35" s="287" t="n"/>
      <c r="II35" s="287" t="n"/>
      <c r="IJ35" s="287" t="n"/>
      <c r="IK35" s="287" t="n"/>
      <c r="IL35" s="287" t="n"/>
      <c r="IM35" s="287" t="n"/>
      <c r="IN35" s="287" t="n"/>
      <c r="IO35" s="287" t="n"/>
      <c r="IP35" s="287" t="n"/>
      <c r="IQ35" s="287" t="n"/>
      <c r="IR35" s="287" t="n"/>
      <c r="IS35" s="287" t="n"/>
      <c r="IT35" s="287" t="n"/>
      <c r="IU35" s="287" t="n"/>
      <c r="IV35" s="287" t="n"/>
      <c r="IW35" s="287" t="n"/>
      <c r="IX35" s="287" t="n"/>
      <c r="IY35" s="287" t="n"/>
      <c r="IZ35" s="287" t="n"/>
      <c r="JA35" s="287" t="n"/>
      <c r="JB35" s="287" t="n"/>
      <c r="JC35" s="287" t="n"/>
      <c r="JD35" s="287" t="n"/>
      <c r="JE35" s="287" t="n"/>
      <c r="JF35" s="287" t="n"/>
      <c r="JG35" s="287" t="n"/>
      <c r="JH35" s="287" t="n"/>
      <c r="JI35" s="287" t="n"/>
      <c r="JJ35" s="287" t="n"/>
      <c r="JK35" s="287" t="n"/>
      <c r="JL35" s="287" t="n"/>
      <c r="JM35" s="287" t="n"/>
      <c r="JN35" s="287" t="n"/>
      <c r="JO35" s="287" t="n"/>
      <c r="JP35" s="287" t="n"/>
      <c r="JQ35" s="287" t="n"/>
      <c r="JR35" s="287" t="n"/>
      <c r="JS35" s="287" t="n"/>
      <c r="JT35" s="287" t="n"/>
      <c r="JU35" s="287" t="n"/>
      <c r="JV35" s="287" t="n"/>
      <c r="JW35" s="287" t="n"/>
      <c r="JX35" s="287" t="n"/>
      <c r="JY35" s="287" t="n"/>
      <c r="JZ35" s="287" t="n"/>
      <c r="KA35" s="287" t="n"/>
      <c r="KB35" s="287" t="n"/>
      <c r="KC35" s="287" t="n"/>
      <c r="KD35" s="287" t="n"/>
      <c r="KE35" s="287" t="n"/>
      <c r="KF35" s="287" t="n"/>
      <c r="KG35" s="287" t="n"/>
      <c r="KH35" s="287" t="n"/>
      <c r="KI35" s="287" t="n"/>
      <c r="KJ35" s="287" t="n"/>
      <c r="KK35" s="287" t="n"/>
      <c r="KL35" s="287" t="n"/>
      <c r="KM35" s="287" t="n"/>
      <c r="KN35" s="287" t="n"/>
      <c r="KO35" s="287" t="n"/>
      <c r="KP35" s="287" t="n"/>
      <c r="KQ35" s="287" t="n"/>
      <c r="KR35" s="287" t="n"/>
      <c r="KS35" s="287" t="n"/>
      <c r="KT35" s="287" t="n"/>
      <c r="KU35" s="287" t="n"/>
      <c r="KV35" s="287" t="n"/>
      <c r="KW35" s="287" t="n"/>
      <c r="KX35" s="287" t="n"/>
      <c r="KY35" s="287" t="n"/>
      <c r="KZ35" s="287" t="n"/>
      <c r="LA35" s="287" t="n"/>
      <c r="LB35" s="287" t="n"/>
      <c r="LC35" s="287" t="n"/>
      <c r="LD35" s="287" t="n"/>
      <c r="LE35" s="287" t="n"/>
      <c r="LF35" s="287" t="n"/>
      <c r="LG35" s="287" t="n"/>
      <c r="LH35" s="287" t="n"/>
      <c r="LI35" s="287" t="n"/>
      <c r="LJ35" s="287" t="n"/>
      <c r="LK35" s="287" t="n"/>
      <c r="LL35" s="287" t="n"/>
      <c r="LM35" s="287" t="n"/>
      <c r="LN35" s="287" t="n"/>
      <c r="LO35" s="287" t="n"/>
      <c r="LP35" s="287" t="n"/>
      <c r="LQ35" s="287" t="n"/>
      <c r="LR35" s="287" t="n"/>
      <c r="LS35" s="287" t="n"/>
      <c r="LT35" s="287" t="n"/>
      <c r="LU35" s="287" t="n"/>
      <c r="LV35" s="287" t="n"/>
      <c r="LW35" s="287" t="n"/>
      <c r="LX35" s="287" t="n"/>
      <c r="LY35" s="287" t="n"/>
      <c r="LZ35" s="287" t="n"/>
      <c r="MA35" s="287" t="n"/>
      <c r="MB35" s="287" t="n"/>
      <c r="MC35" s="287" t="n"/>
      <c r="MD35" s="287" t="n"/>
      <c r="ME35" s="287" t="n"/>
      <c r="MF35" s="287" t="n"/>
      <c r="MG35" s="287" t="n"/>
      <c r="MH35" s="287" t="n"/>
      <c r="MI35" s="287" t="n"/>
      <c r="MJ35" s="287" t="n"/>
      <c r="MK35" s="287" t="n"/>
      <c r="ML35" s="287" t="n"/>
      <c r="MM35" s="287" t="n"/>
      <c r="MN35" s="287" t="n"/>
      <c r="MO35" s="287" t="n"/>
      <c r="MP35" s="287" t="n"/>
      <c r="MQ35" s="287" t="n"/>
      <c r="MR35" s="287" t="n"/>
      <c r="MS35" s="287" t="n"/>
      <c r="MT35" s="287" t="n"/>
      <c r="MU35" s="287" t="n"/>
      <c r="MV35" s="287" t="n"/>
      <c r="MW35" s="287" t="n"/>
      <c r="MX35" s="287" t="n"/>
      <c r="MY35" s="287" t="n"/>
      <c r="MZ35" s="287" t="n"/>
      <c r="NA35" s="287" t="n"/>
      <c r="NB35" s="287" t="n"/>
      <c r="NC35" s="287" t="n"/>
      <c r="ND35" s="287" t="n"/>
      <c r="NE35" s="288" t="n"/>
    </row>
    <row r="37" ht="18.75" customHeight="1" s="166">
      <c r="A37" s="274" t="inlineStr">
        <is>
          <t>MONTHLY CONSUMPTION SUMMARY</t>
        </is>
      </c>
      <c r="B37" s="275" t="n"/>
      <c r="C37" s="276" t="n"/>
    </row>
    <row r="38" ht="15" customHeight="1" s="166">
      <c r="A38" s="289" t="inlineStr">
        <is>
          <t>Reporting Cycle</t>
        </is>
      </c>
      <c r="B38" s="290" t="inlineStr">
        <is>
          <t>2026-27</t>
        </is>
      </c>
      <c r="C38" s="291" t="inlineStr">
        <is>
          <t>xxxx</t>
        </is>
      </c>
    </row>
    <row r="39" ht="15" customHeight="1" s="166">
      <c r="A39" s="292" t="inlineStr">
        <is>
          <t>Oct 2026</t>
        </is>
      </c>
      <c r="B39" s="259">
        <f>SUM('Oct 2026'!B8:B38)+SUM('Oct 2026'!C8:C38)+SUM('Oct 2026'!D8:D38)+SUM('Oct 2026'!E8:E38)</f>
        <v/>
      </c>
      <c r="C39" s="293" t="n">
        <v>0</v>
      </c>
    </row>
    <row r="40" ht="15" customHeight="1" s="166">
      <c r="A40" s="292" t="inlineStr">
        <is>
          <t>Nov 2026</t>
        </is>
      </c>
      <c r="B40" s="259">
        <f>SUM('Nov 2026'!B8:B37)+SUM('Nov 2026'!C8:C37)+SUM('Nov 2026'!D8:D37)+SUM('Nov 2026'!E8:E37)</f>
        <v/>
      </c>
      <c r="C40" s="293" t="n">
        <v>0</v>
      </c>
    </row>
    <row r="41" ht="15" customHeight="1" s="166">
      <c r="A41" s="292" t="inlineStr">
        <is>
          <t>Dec 2026</t>
        </is>
      </c>
      <c r="B41" s="259">
        <f>SUM('Dec 2026'!B8:B38)+SUM('Dec 2026'!C8:C38)+SUM('Dec 2026'!D8:D38)+SUM('Dec 2026'!E8:E38)</f>
        <v/>
      </c>
      <c r="C41" s="293" t="n">
        <v>0</v>
      </c>
    </row>
    <row r="42" ht="15" customHeight="1" s="166">
      <c r="A42" s="292" t="inlineStr">
        <is>
          <t>Jan 2027</t>
        </is>
      </c>
      <c r="B42" s="259">
        <f>SUM('Jan 2027'!B8:B38)+SUM('Jan 2027'!C8:C38)+SUM('Jan 2027'!D8:D38)+SUM('Jan 2027'!E8:E38)</f>
        <v/>
      </c>
      <c r="C42" s="293" t="n">
        <v>0</v>
      </c>
    </row>
    <row r="43" ht="15" customHeight="1" s="166">
      <c r="A43" s="292" t="inlineStr">
        <is>
          <t>Feb 2027</t>
        </is>
      </c>
      <c r="B43" s="259">
        <f>SUM('Feb 2027'!B8:B35)+SUM('Feb 2027'!C8:C35)+SUM('Feb 2027'!D8:D35)+SUM('Feb 2027'!E8:E35)</f>
        <v/>
      </c>
      <c r="C43" s="293" t="n">
        <v>0</v>
      </c>
    </row>
    <row r="44" ht="15" customHeight="1" s="166">
      <c r="A44" s="292" t="inlineStr">
        <is>
          <t>Mar 2027</t>
        </is>
      </c>
      <c r="B44" s="259">
        <f>SUM('Mar 2027'!B8:B38)+SUM('Mar 2027'!C8:C38)+SUM('Mar 2027'!D8:D38)+SUM('Mar 2027'!E8:E38)</f>
        <v/>
      </c>
      <c r="C44" s="293" t="n">
        <v>0</v>
      </c>
    </row>
    <row r="45" ht="15" customHeight="1" s="166">
      <c r="A45" s="292" t="inlineStr">
        <is>
          <t>Apr 2027</t>
        </is>
      </c>
      <c r="B45" s="259">
        <f>SUM('Apr 2027'!B8:B37)+SUM('Apr 2027'!C8:C37)+SUM('Apr 2027'!D8:D37)+SUM('Apr 2027'!E8:E37)</f>
        <v/>
      </c>
      <c r="C45" s="293" t="n">
        <v>0</v>
      </c>
    </row>
    <row r="46" ht="15" customHeight="1" s="166">
      <c r="A46" s="292" t="inlineStr">
        <is>
          <t>May 2027</t>
        </is>
      </c>
      <c r="B46" s="259">
        <f>SUM('May 2027'!B8:B38)+SUM('May 2027'!C8:C38)+SUM('May 2027'!D8:D38)+SUM('May 2027'!E8:E38)</f>
        <v/>
      </c>
      <c r="C46" s="293" t="n">
        <v>0</v>
      </c>
    </row>
    <row r="47" ht="15" customHeight="1" s="166">
      <c r="A47" s="292" t="inlineStr">
        <is>
          <t>Jun 2027</t>
        </is>
      </c>
      <c r="B47" s="259">
        <f>SUM('Jun 2027'!B8:B37)+SUM('Jun 2027'!C8:C37)+SUM('Jun 2027'!D8:D37)+SUM('Jun 2027'!E8:E37)</f>
        <v/>
      </c>
      <c r="C47" s="293" t="n">
        <v>0</v>
      </c>
    </row>
    <row r="48" ht="15" customHeight="1" s="166">
      <c r="A48" s="292" t="inlineStr">
        <is>
          <t>Jul 2027</t>
        </is>
      </c>
      <c r="B48" s="259">
        <f>SUM('Jul 2027'!B8:B38)+SUM('Jul 2027'!C8:C38)+SUM('Jul 2027'!D8:D38)+SUM('Jul 2027'!E8:E38)</f>
        <v/>
      </c>
      <c r="C48" s="293" t="n">
        <v>0</v>
      </c>
    </row>
    <row r="49" ht="15" customHeight="1" s="166">
      <c r="A49" s="292" t="inlineStr">
        <is>
          <t>Aug 2027</t>
        </is>
      </c>
      <c r="B49" s="259">
        <f>SUM('Aug 2027'!B8:B38)+SUM('Aug 2027'!C8:C38)+SUM('Aug 2027'!D8:D38)+SUM('Aug 2027'!E8:E38)</f>
        <v/>
      </c>
      <c r="C49" s="293" t="n">
        <v>0</v>
      </c>
    </row>
    <row r="50" ht="15" customHeight="1" s="166">
      <c r="A50" s="294" t="inlineStr">
        <is>
          <t>Sep 2027</t>
        </is>
      </c>
      <c r="B50" s="287">
        <f>SUM('Sep 2027'!B8:B37)+SUM('Sep 2027'!C8:C37)+SUM('Sep 2027'!D8:D37)+SUM('Sep 2027'!E8:E37)</f>
        <v/>
      </c>
      <c r="C50" s="295" t="n">
        <v>0</v>
      </c>
    </row>
    <row r="51" ht="15" customHeight="1" s="166">
      <c r="A51" s="296" t="inlineStr">
        <is>
          <t xml:space="preserve"> </t>
        </is>
      </c>
      <c r="B51" s="296" t="inlineStr">
        <is>
          <t xml:space="preserve"> </t>
        </is>
      </c>
      <c r="C51" s="296" t="inlineStr">
        <is>
          <t xml:space="preserve"> </t>
        </is>
      </c>
    </row>
    <row r="52" ht="18.75" customHeight="1" s="166">
      <c r="A52" s="274" t="inlineStr">
        <is>
          <t>ANNUAL CONSUMPTION SUMMARY</t>
        </is>
      </c>
      <c r="B52" s="275" t="n"/>
      <c r="C52" s="276" t="n"/>
    </row>
    <row r="53" ht="15" customHeight="1" s="166">
      <c r="A53" s="296" t="inlineStr">
        <is>
          <t xml:space="preserve"> </t>
        </is>
      </c>
      <c r="B53" s="296" t="inlineStr">
        <is>
          <t xml:space="preserve"> </t>
        </is>
      </c>
      <c r="C53" s="296" t="inlineStr">
        <is>
          <t xml:space="preserve"> </t>
        </is>
      </c>
    </row>
    <row r="54" ht="15" customHeight="1" s="166">
      <c r="A54" s="296" t="inlineStr">
        <is>
          <t>2026-27</t>
        </is>
      </c>
      <c r="B54" s="296">
        <f>SUM(B39:B50)</f>
        <v/>
      </c>
    </row>
    <row r="55" ht="15" customHeight="1" s="166">
      <c r="A55" s="296" t="n"/>
      <c r="B55" s="297" t="n"/>
    </row>
  </sheetData>
  <mergeCells count="36">
    <mergeCell ref="A21:A23"/>
    <mergeCell ref="B27:B28"/>
    <mergeCell ref="B54:C54"/>
    <mergeCell ref="A15:B15"/>
    <mergeCell ref="A37:C37"/>
    <mergeCell ref="C33:C34"/>
    <mergeCell ref="C29:C30"/>
    <mergeCell ref="B22:C22"/>
    <mergeCell ref="B29:B30"/>
    <mergeCell ref="A1:G4"/>
    <mergeCell ref="B21:C21"/>
    <mergeCell ref="A16:B16"/>
    <mergeCell ref="A5:NE5"/>
    <mergeCell ref="A8:C8"/>
    <mergeCell ref="A14:C14"/>
    <mergeCell ref="C25:C26"/>
    <mergeCell ref="A17:C17"/>
    <mergeCell ref="B23:C23"/>
    <mergeCell ref="C31:C32"/>
    <mergeCell ref="A18:B18"/>
    <mergeCell ref="A20:C20"/>
    <mergeCell ref="A12:B12"/>
    <mergeCell ref="A52:C52"/>
    <mergeCell ref="C27:C28"/>
    <mergeCell ref="B33:B34"/>
    <mergeCell ref="A24:NE24"/>
    <mergeCell ref="B55:C55"/>
    <mergeCell ref="B6:C6"/>
    <mergeCell ref="A11:C11"/>
    <mergeCell ref="A19:B19"/>
    <mergeCell ref="A10:B10"/>
    <mergeCell ref="A13:B13"/>
    <mergeCell ref="B25:B26"/>
    <mergeCell ref="A9:B9"/>
    <mergeCell ref="A7:C7"/>
    <mergeCell ref="B31:B32"/>
  </mergeCells>
  <hyperlinks>
    <hyperlink ref="A1" location="'Menu'!A1" display="#'Menu'.A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BD2137"/>
    <outlinePr summaryBelow="1" summaryRight="1"/>
    <pageSetUpPr fitToPage="0"/>
  </sheetPr>
  <dimension ref="A1:T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.43" customWidth="1" style="165" min="1" max="1"/>
    <col width="11.71" customWidth="1" style="165" min="2" max="2"/>
    <col width="11.85" customWidth="1" style="165" min="3" max="3"/>
    <col width="11.71" customWidth="1" style="165" min="4" max="12"/>
    <col width="12.71" customWidth="1" style="165" min="13" max="13"/>
    <col width="11.71" customWidth="1" style="165" min="14" max="14"/>
  </cols>
  <sheetData>
    <row r="1" ht="15" customHeight="1" s="166">
      <c r="A1" s="204" t="n"/>
      <c r="O1" s="298" t="n"/>
      <c r="P1" s="298" t="n"/>
      <c r="Q1" s="298" t="n"/>
      <c r="R1" s="298" t="n"/>
      <c r="S1" s="298" t="n"/>
      <c r="T1" s="298" t="n"/>
    </row>
    <row r="2" ht="15" customHeight="1" s="166">
      <c r="O2" s="298" t="n"/>
      <c r="P2" s="298" t="n"/>
      <c r="Q2" s="298" t="n"/>
      <c r="R2" s="298" t="n"/>
      <c r="S2" s="298" t="n"/>
      <c r="T2" s="298" t="n"/>
    </row>
    <row r="3" ht="15" customHeight="1" s="166">
      <c r="O3" s="298" t="n"/>
      <c r="P3" s="298" t="n"/>
      <c r="Q3" s="298" t="n"/>
      <c r="R3" s="298" t="n"/>
      <c r="S3" s="298" t="n"/>
      <c r="T3" s="298" t="n"/>
    </row>
    <row r="4" ht="15" customHeight="1" s="166">
      <c r="O4" s="298" t="n"/>
      <c r="P4" s="298" t="n"/>
      <c r="Q4" s="298" t="n"/>
      <c r="R4" s="298" t="n"/>
      <c r="S4" s="298" t="n"/>
      <c r="T4" s="298" t="n"/>
    </row>
    <row r="5" ht="21" customHeight="1" s="166">
      <c r="A5" s="298" t="n"/>
      <c r="B5" s="299" t="inlineStr">
        <is>
          <t>UTILITY BUDGET 2026-27</t>
        </is>
      </c>
      <c r="C5" s="244" t="n"/>
      <c r="D5" s="244" t="n"/>
      <c r="E5" s="244" t="n"/>
      <c r="F5" s="244" t="n"/>
      <c r="G5" s="244" t="n"/>
      <c r="H5" s="244" t="n"/>
      <c r="I5" s="244" t="n"/>
      <c r="J5" s="244" t="n"/>
      <c r="K5" s="244" t="n"/>
      <c r="L5" s="244" t="n"/>
      <c r="M5" s="244" t="n"/>
      <c r="N5" s="245" t="n"/>
      <c r="O5" s="298" t="n"/>
      <c r="P5" s="298" t="n"/>
      <c r="Q5" s="298" t="n"/>
      <c r="R5" s="298" t="n"/>
      <c r="S5" s="298" t="n"/>
      <c r="T5" s="298" t="n"/>
    </row>
    <row r="6" ht="15" customHeight="1" s="166">
      <c r="A6" s="298" t="n"/>
      <c r="B6" s="300" t="inlineStr">
        <is>
          <t>OCTOBER</t>
        </is>
      </c>
      <c r="C6" s="300" t="inlineStr">
        <is>
          <t>NOVEMBER</t>
        </is>
      </c>
      <c r="D6" s="300" t="inlineStr">
        <is>
          <t>DECEMBER</t>
        </is>
      </c>
      <c r="E6" s="300" t="inlineStr">
        <is>
          <t>JANUARY</t>
        </is>
      </c>
      <c r="F6" s="300" t="inlineStr">
        <is>
          <t>FEBRUARY</t>
        </is>
      </c>
      <c r="G6" s="300" t="inlineStr">
        <is>
          <t>MARCH</t>
        </is>
      </c>
      <c r="H6" s="300" t="inlineStr">
        <is>
          <t>APRIL</t>
        </is>
      </c>
      <c r="I6" s="300" t="inlineStr">
        <is>
          <t>MAY</t>
        </is>
      </c>
      <c r="J6" s="300" t="inlineStr">
        <is>
          <t>JUNE</t>
        </is>
      </c>
      <c r="K6" s="300" t="inlineStr">
        <is>
          <t>JULY</t>
        </is>
      </c>
      <c r="L6" s="300" t="inlineStr">
        <is>
          <t>AUGUST</t>
        </is>
      </c>
      <c r="M6" s="300" t="inlineStr">
        <is>
          <t>SEPTEMBER</t>
        </is>
      </c>
      <c r="N6" s="300" t="inlineStr">
        <is>
          <t>TOTAL</t>
        </is>
      </c>
      <c r="O6" s="298" t="n"/>
      <c r="P6" s="298" t="n"/>
      <c r="Q6" s="298" t="n"/>
      <c r="R6" s="298" t="n"/>
      <c r="S6" s="298" t="n"/>
      <c r="T6" s="298" t="n"/>
    </row>
    <row r="7" ht="18.75" customHeight="1" s="166">
      <c r="A7" s="301" t="inlineStr">
        <is>
          <t>Rooms Sold</t>
        </is>
      </c>
      <c r="B7" s="302" t="n"/>
      <c r="C7" s="303" t="n"/>
      <c r="D7" s="303" t="n"/>
      <c r="E7" s="303" t="n"/>
      <c r="F7" s="303" t="n"/>
      <c r="G7" s="303" t="n"/>
      <c r="H7" s="303" t="n"/>
      <c r="I7" s="303" t="n"/>
      <c r="J7" s="303" t="n"/>
      <c r="K7" s="303" t="n"/>
      <c r="L7" s="303" t="n"/>
      <c r="M7" s="303" t="n"/>
      <c r="N7" s="304">
        <f>SUM(B7:M7)</f>
        <v/>
      </c>
      <c r="O7" s="298" t="n"/>
      <c r="P7" s="298" t="n"/>
      <c r="Q7" s="298" t="n"/>
      <c r="R7" s="298" t="n"/>
      <c r="S7" s="298" t="n"/>
      <c r="T7" s="298" t="n"/>
    </row>
    <row r="8" ht="18.75" customHeight="1" s="166">
      <c r="A8" s="301" t="inlineStr">
        <is>
          <t>Occupancy Rate</t>
        </is>
      </c>
      <c r="B8" s="305" t="n"/>
      <c r="C8" s="306" t="n"/>
      <c r="D8" s="306" t="n"/>
      <c r="E8" s="306" t="n"/>
      <c r="F8" s="306" t="n"/>
      <c r="G8" s="306" t="n"/>
      <c r="H8" s="306" t="n"/>
      <c r="I8" s="306" t="n"/>
      <c r="J8" s="306" t="n"/>
      <c r="K8" s="306" t="n"/>
      <c r="L8" s="306" t="n"/>
      <c r="M8" s="306" t="n"/>
      <c r="N8" s="307">
        <f>SUM(B8:M8)</f>
        <v/>
      </c>
      <c r="O8" s="298" t="n"/>
      <c r="P8" s="298" t="n"/>
      <c r="Q8" s="298" t="n"/>
      <c r="R8" s="298" t="n"/>
      <c r="S8" s="298" t="n"/>
      <c r="T8" s="298" t="n"/>
    </row>
    <row r="9" ht="18.75" customHeight="1" s="166">
      <c r="A9" s="301" t="inlineStr">
        <is>
          <t>Guests</t>
        </is>
      </c>
      <c r="B9" s="302" t="n"/>
      <c r="C9" s="303" t="n"/>
      <c r="D9" s="303" t="n"/>
      <c r="E9" s="303" t="n"/>
      <c r="F9" s="303" t="n"/>
      <c r="G9" s="303" t="n"/>
      <c r="H9" s="303" t="n"/>
      <c r="I9" s="303" t="n"/>
      <c r="J9" s="303" t="n"/>
      <c r="K9" s="303" t="n"/>
      <c r="L9" s="303" t="n"/>
      <c r="M9" s="303" t="n"/>
      <c r="N9" s="304">
        <f>SUM(B9:M9)</f>
        <v/>
      </c>
      <c r="O9" s="298" t="n"/>
      <c r="P9" s="298" t="n"/>
      <c r="Q9" s="298" t="n"/>
      <c r="R9" s="298" t="n"/>
      <c r="S9" s="298" t="n"/>
      <c r="T9" s="298" t="n"/>
    </row>
    <row r="10" ht="15" customHeight="1" s="166">
      <c r="A10" s="298" t="n"/>
      <c r="B10" s="298" t="n"/>
      <c r="C10" s="298" t="n"/>
      <c r="D10" s="298" t="n"/>
      <c r="E10" s="298" t="n"/>
      <c r="F10" s="298" t="n"/>
      <c r="G10" s="298" t="n"/>
      <c r="H10" s="298" t="n"/>
      <c r="I10" s="298" t="n"/>
      <c r="J10" s="298" t="n"/>
      <c r="K10" s="298" t="n"/>
      <c r="L10" s="298" t="n"/>
      <c r="M10" s="298" t="n"/>
      <c r="N10" s="298" t="n"/>
      <c r="O10" s="298" t="n"/>
      <c r="P10" s="298" t="n"/>
      <c r="Q10" s="298" t="n"/>
      <c r="R10" s="298" t="n"/>
      <c r="S10" s="298" t="n"/>
      <c r="T10" s="298" t="n"/>
    </row>
    <row r="11" ht="18.75" customHeight="1" s="166">
      <c r="A11" s="301" t="inlineStr">
        <is>
          <t>Gas</t>
        </is>
      </c>
      <c r="B11" s="261" t="n"/>
      <c r="C11" s="261" t="n"/>
      <c r="D11" s="261" t="n"/>
      <c r="E11" s="261" t="n"/>
      <c r="F11" s="261" t="n"/>
      <c r="G11" s="261" t="n"/>
      <c r="H11" s="261" t="n"/>
      <c r="I11" s="261" t="n"/>
      <c r="J11" s="261" t="n"/>
      <c r="K11" s="261" t="n"/>
      <c r="L11" s="261" t="n"/>
      <c r="M11" s="261" t="n"/>
      <c r="N11" s="308">
        <f>SUM(B11:M11)</f>
        <v/>
      </c>
      <c r="O11" s="298" t="n"/>
      <c r="P11" s="298" t="n"/>
      <c r="Q11" s="298" t="n"/>
      <c r="R11" s="298" t="n"/>
      <c r="S11" s="298" t="n"/>
      <c r="T11" s="298" t="n"/>
    </row>
    <row r="12" ht="18.75" customHeight="1" s="166">
      <c r="A12" s="301" t="inlineStr">
        <is>
          <t>Electricity</t>
        </is>
      </c>
      <c r="B12" s="261" t="n"/>
      <c r="C12" s="261" t="n"/>
      <c r="D12" s="261" t="n"/>
      <c r="E12" s="261" t="n"/>
      <c r="F12" s="261" t="n"/>
      <c r="G12" s="261" t="n"/>
      <c r="H12" s="261" t="n"/>
      <c r="I12" s="261" t="n"/>
      <c r="J12" s="261" t="n"/>
      <c r="K12" s="261" t="n"/>
      <c r="L12" s="261" t="n"/>
      <c r="M12" s="261" t="n"/>
      <c r="N12" s="308">
        <f>SUM(B12:M12)</f>
        <v/>
      </c>
      <c r="O12" s="298" t="n"/>
      <c r="P12" s="298" t="n"/>
      <c r="Q12" s="298" t="n"/>
      <c r="R12" s="298" t="n"/>
      <c r="S12" s="298" t="n"/>
      <c r="T12" s="298" t="n"/>
    </row>
    <row r="13" ht="18.75" customHeight="1" s="166">
      <c r="A13" s="301" t="inlineStr">
        <is>
          <t>Water</t>
        </is>
      </c>
      <c r="B13" s="261" t="n"/>
      <c r="C13" s="261" t="n"/>
      <c r="D13" s="261" t="n"/>
      <c r="E13" s="261" t="n"/>
      <c r="F13" s="261" t="n"/>
      <c r="G13" s="261" t="n"/>
      <c r="H13" s="261" t="n"/>
      <c r="I13" s="261" t="n"/>
      <c r="J13" s="261" t="n"/>
      <c r="K13" s="261" t="n"/>
      <c r="L13" s="261" t="n"/>
      <c r="M13" s="261" t="n"/>
      <c r="N13" s="308">
        <f>SUM(B13:M13)</f>
        <v/>
      </c>
      <c r="O13" s="298" t="n"/>
      <c r="P13" s="298" t="n"/>
      <c r="Q13" s="298" t="n"/>
      <c r="R13" s="298" t="n"/>
      <c r="S13" s="298" t="n"/>
      <c r="T13" s="298" t="n"/>
    </row>
    <row r="14" ht="21" customHeight="1" s="166">
      <c r="A14" s="301" t="inlineStr">
        <is>
          <t>Total</t>
        </is>
      </c>
      <c r="B14" s="308">
        <f>SUM(B11:B13)</f>
        <v/>
      </c>
      <c r="C14" s="308">
        <f>SUM(C11:C13)</f>
        <v/>
      </c>
      <c r="D14" s="308">
        <f>SUM(D11:D13)</f>
        <v/>
      </c>
      <c r="E14" s="308">
        <f>SUM(E11:E13)</f>
        <v/>
      </c>
      <c r="F14" s="308">
        <f>SUM(F11:F13)</f>
        <v/>
      </c>
      <c r="G14" s="308">
        <f>SUM(G11:G13)</f>
        <v/>
      </c>
      <c r="H14" s="308">
        <f>SUM(H11:H13)</f>
        <v/>
      </c>
      <c r="I14" s="308">
        <f>SUM(I11:I13)</f>
        <v/>
      </c>
      <c r="J14" s="308">
        <f>SUM(J11:J13)</f>
        <v/>
      </c>
      <c r="K14" s="308">
        <f>SUM(K11:K13)</f>
        <v/>
      </c>
      <c r="L14" s="308">
        <f>SUM(L11:L13)</f>
        <v/>
      </c>
      <c r="M14" s="308">
        <f>SUM(M11:M13)</f>
        <v/>
      </c>
      <c r="N14" s="308">
        <f>SUM(B14:M14)</f>
        <v/>
      </c>
      <c r="O14" s="298" t="n"/>
      <c r="P14" s="298" t="n"/>
      <c r="Q14" s="298" t="n"/>
      <c r="R14" s="298" t="n"/>
      <c r="S14" s="298" t="n"/>
      <c r="T14" s="298" t="n"/>
    </row>
    <row r="15" ht="15" customHeight="1" s="166">
      <c r="A15" s="298" t="n"/>
      <c r="B15" s="298" t="n"/>
      <c r="C15" s="298" t="n"/>
      <c r="D15" s="298" t="n"/>
      <c r="E15" s="298" t="n"/>
      <c r="F15" s="298" t="n"/>
      <c r="G15" s="298" t="n"/>
      <c r="H15" s="298" t="n"/>
      <c r="I15" s="298" t="n"/>
      <c r="J15" s="298" t="n"/>
      <c r="K15" s="298" t="n"/>
      <c r="L15" s="298" t="n"/>
      <c r="M15" s="298" t="n"/>
      <c r="N15" s="298" t="n"/>
      <c r="O15" s="298" t="n"/>
      <c r="P15" s="298" t="n"/>
      <c r="Q15" s="298" t="n"/>
      <c r="R15" s="298" t="n"/>
      <c r="S15" s="298" t="n"/>
      <c r="T15" s="298" t="n"/>
    </row>
    <row r="16" ht="21" customHeight="1" s="166">
      <c r="A16" s="298" t="n"/>
      <c r="B16" s="309" t="inlineStr">
        <is>
          <t>ACTUAL UTILITY CONSUMPTION 2026-27</t>
        </is>
      </c>
      <c r="O16" s="298" t="n"/>
      <c r="P16" s="298" t="n"/>
      <c r="Q16" s="298" t="n"/>
      <c r="R16" s="298" t="n"/>
      <c r="S16" s="298" t="n"/>
      <c r="T16" s="298" t="n"/>
    </row>
    <row r="17" ht="15" customHeight="1" s="166">
      <c r="A17" s="298" t="n"/>
      <c r="B17" s="300" t="inlineStr">
        <is>
          <t>OCTOBER</t>
        </is>
      </c>
      <c r="C17" s="300" t="inlineStr">
        <is>
          <t>NOVEMBER</t>
        </is>
      </c>
      <c r="D17" s="300" t="inlineStr">
        <is>
          <t>DECEMBER</t>
        </is>
      </c>
      <c r="E17" s="300" t="inlineStr">
        <is>
          <t>JANUARY</t>
        </is>
      </c>
      <c r="F17" s="300" t="inlineStr">
        <is>
          <t>FEBRUARY</t>
        </is>
      </c>
      <c r="G17" s="300" t="inlineStr">
        <is>
          <t>MARCH</t>
        </is>
      </c>
      <c r="H17" s="300" t="inlineStr">
        <is>
          <t>APRIL</t>
        </is>
      </c>
      <c r="I17" s="300" t="inlineStr">
        <is>
          <t>MAY</t>
        </is>
      </c>
      <c r="J17" s="300" t="inlineStr">
        <is>
          <t>JUNE</t>
        </is>
      </c>
      <c r="K17" s="300" t="inlineStr">
        <is>
          <t>JULY</t>
        </is>
      </c>
      <c r="L17" s="300" t="inlineStr">
        <is>
          <t>AUGUST</t>
        </is>
      </c>
      <c r="M17" s="300" t="inlineStr">
        <is>
          <t>SEPTEMBER</t>
        </is>
      </c>
      <c r="N17" s="300" t="inlineStr">
        <is>
          <t>TOTAL</t>
        </is>
      </c>
      <c r="O17" s="298" t="n"/>
      <c r="P17" s="298" t="n"/>
      <c r="Q17" s="298" t="n"/>
      <c r="R17" s="298" t="n"/>
      <c r="S17" s="298" t="n"/>
      <c r="T17" s="298" t="n"/>
    </row>
    <row r="18" ht="18.75" customHeight="1" s="166">
      <c r="A18" s="310" t="inlineStr">
        <is>
          <t>Rooms Sold</t>
        </is>
      </c>
      <c r="B18" s="303">
        <f>SUMPRODUCT(('Daily Consumption'!$B$6:$NB$6&gt;=DATE(2026,10,1))*('Daily Consumption'!$B$6:$NB$6&lt;=DATE(2026,10,31))*'Daily Consumption'!$B$113:$NB$113)</f>
        <v/>
      </c>
      <c r="C18" s="303">
        <f>SUMPRODUCT(('Daily Consumption'!$B$6:$NB$6&gt;=DATE(2026,11,1))*('Daily Consumption'!$B$6:$NB$6&lt;=DATE(2026,11,30))*'Daily Consumption'!$B$113:$NB$113)</f>
        <v/>
      </c>
      <c r="D18" s="303">
        <f>SUMPRODUCT(('Daily Consumption'!$B$6:$NB$6&gt;=DATE(2026,12,1))*('Daily Consumption'!$B$6:$NB$6&lt;=DATE(2026,12,31))*'Daily Consumption'!$B$113:$NB$113)</f>
        <v/>
      </c>
      <c r="E18" s="303">
        <f>SUMPRODUCT(('Daily Consumption'!$B$6:$NB$6&gt;=DATE(2027,1,1))*('Daily Consumption'!$B$6:$NB$6&lt;=DATE(2027,1,31))*'Daily Consumption'!$B$113:$NB$113)</f>
        <v/>
      </c>
      <c r="F18" s="303">
        <f>SUMPRODUCT(('Daily Consumption'!$B$6:$NB$6&gt;=DATE(2027,2,1))*('Daily Consumption'!$B$6:$NB$6&lt;=DATE(2027,2,28))*'Daily Consumption'!$B$113:$NB$113)</f>
        <v/>
      </c>
      <c r="G18" s="303">
        <f>SUMPRODUCT(('Daily Consumption'!$B$6:$NB$6&gt;=DATE(2027,3,1))*('Daily Consumption'!$B$6:$NB$6&lt;=DATE(2027,3,31))*'Daily Consumption'!$B$113:$NB$113)</f>
        <v/>
      </c>
      <c r="H18" s="303">
        <f>SUMPRODUCT(('Daily Consumption'!$B$6:$NB$6&gt;=DATE(2027,4,1))*('Daily Consumption'!$B$6:$NB$6&lt;=DATE(2027,4,30))*'Daily Consumption'!$B$113:$NB$113)</f>
        <v/>
      </c>
      <c r="I18" s="303">
        <f>SUMPRODUCT(('Daily Consumption'!$B$6:$NB$6&gt;=DATE(2027,5,1))*('Daily Consumption'!$B$6:$NB$6&lt;=DATE(2027,5,31))*'Daily Consumption'!$B$113:$NB$113)</f>
        <v/>
      </c>
      <c r="J18" s="303">
        <f>SUMPRODUCT(('Daily Consumption'!$B$6:$NB$6&gt;=DATE(2027,6,1))*('Daily Consumption'!$B$6:$NB$6&lt;=DATE(2027,6,30))*'Daily Consumption'!$B$113:$NB$113)</f>
        <v/>
      </c>
      <c r="K18" s="303">
        <f>SUMPRODUCT(('Daily Consumption'!$B$6:$NB$6&gt;=DATE(2027,7,1))*('Daily Consumption'!$B$6:$NB$6&lt;=DATE(2027,7,31))*'Daily Consumption'!$B$113:$NB$113)</f>
        <v/>
      </c>
      <c r="L18" s="303">
        <f>SUMPRODUCT(('Daily Consumption'!$B$6:$NB$6&gt;=DATE(2027,8,1))*('Daily Consumption'!$B$6:$NB$6&lt;=DATE(2027,8,31))*'Daily Consumption'!$B$113:$NB$113)</f>
        <v/>
      </c>
      <c r="M18" s="303">
        <f>SUMPRODUCT(('Daily Consumption'!$B$6:$NB$6&gt;=DATE(2027,9,1))*('Daily Consumption'!$B$6:$NB$6&lt;=DATE(2027,9,30))*'Daily Consumption'!$B$113:$NB$113)</f>
        <v/>
      </c>
      <c r="N18" s="311">
        <f>SUM(B18:M18)</f>
        <v/>
      </c>
      <c r="O18" s="298" t="n"/>
      <c r="P18" s="298" t="n"/>
      <c r="Q18" s="298" t="n"/>
      <c r="R18" s="298" t="n"/>
      <c r="S18" s="298" t="n"/>
      <c r="T18" s="298" t="n"/>
    </row>
    <row r="19" ht="18.75" customHeight="1" s="166">
      <c r="A19" s="310" t="inlineStr">
        <is>
          <t>Occupancy Rate</t>
        </is>
      </c>
      <c r="B19" s="306">
        <f>IFERROR(AVERAGEIFS('Daily Consumption'!$B$112:$NB$112,'Daily Consumption'!$B$6:$NB$6,"&gt;="&amp;DATE(2026,10,1),'Daily Consumption'!$B$6:$NB$6,"&lt;="&amp;DATE(2026,10,31)),"")</f>
        <v/>
      </c>
      <c r="C19" s="306">
        <f>IFERROR(AVERAGEIFS('Daily Consumption'!$B$112:$NB$112,'Daily Consumption'!$B$6:$NB$6,"&gt;="&amp;DATE(2026,11,1),'Daily Consumption'!$B$6:$NB$6,"&lt;="&amp;DATE(2026,11,30)),"")</f>
        <v/>
      </c>
      <c r="D19" s="306">
        <f>IFERROR(AVERAGEIFS('Daily Consumption'!$B$112:$NB$112,'Daily Consumption'!$B$6:$NB$6,"&gt;="&amp;DATE(2026,12,1),'Daily Consumption'!$B$6:$NB$6,"&lt;="&amp;DATE(2026,12,31)),"")</f>
        <v/>
      </c>
      <c r="E19" s="306">
        <f>IFERROR(AVERAGEIFS('Daily Consumption'!$B$112:$NB$112,'Daily Consumption'!$B$6:$NB$6,"&gt;="&amp;DATE(2027,1,1),'Daily Consumption'!$B$6:$NB$6,"&lt;="&amp;DATE(2027,1,31)),"")</f>
        <v/>
      </c>
      <c r="F19" s="306">
        <f>IFERROR(AVERAGEIFS('Daily Consumption'!$B$112:$NB$112,'Daily Consumption'!$B$6:$NB$6,"&gt;="&amp;DATE(2027,2,1),'Daily Consumption'!$B$6:$NB$6,"&lt;="&amp;DATE(2027,2,28)),"")</f>
        <v/>
      </c>
      <c r="G19" s="306">
        <f>IFERROR(AVERAGEIFS('Daily Consumption'!$B$112:$NB$112,'Daily Consumption'!$B$6:$NB$6,"&gt;="&amp;DATE(2027,3,1),'Daily Consumption'!$B$6:$NB$6,"&lt;="&amp;DATE(2027,3,31)),"")</f>
        <v/>
      </c>
      <c r="H19" s="306">
        <f>IFERROR(AVERAGEIFS('Daily Consumption'!$B$112:$NB$112,'Daily Consumption'!$B$6:$NB$6,"&gt;="&amp;DATE(2027,4,1),'Daily Consumption'!$B$6:$NB$6,"&lt;="&amp;DATE(2027,4,30)),"")</f>
        <v/>
      </c>
      <c r="I19" s="306">
        <f>IFERROR(AVERAGEIFS('Daily Consumption'!$B$112:$NB$112,'Daily Consumption'!$B$6:$NB$6,"&gt;="&amp;DATE(2027,5,1),'Daily Consumption'!$B$6:$NB$6,"&lt;="&amp;DATE(2027,5,31)),"")</f>
        <v/>
      </c>
      <c r="J19" s="306">
        <f>IFERROR(AVERAGEIFS('Daily Consumption'!$B$112:$NB$112,'Daily Consumption'!$B$6:$NB$6,"&gt;="&amp;DATE(2027,6,1),'Daily Consumption'!$B$6:$NB$6,"&lt;="&amp;DATE(2027,6,30)),"")</f>
        <v/>
      </c>
      <c r="K19" s="306">
        <f>IFERROR(AVERAGEIFS('Daily Consumption'!$B$112:$NB$112,'Daily Consumption'!$B$6:$NB$6,"&gt;="&amp;DATE(2027,7,1),'Daily Consumption'!$B$6:$NB$6,"&lt;="&amp;DATE(2027,7,31)),"")</f>
        <v/>
      </c>
      <c r="L19" s="306">
        <f>IFERROR(AVERAGEIFS('Daily Consumption'!$B$112:$NB$112,'Daily Consumption'!$B$6:$NB$6,"&gt;="&amp;DATE(2027,8,1),'Daily Consumption'!$B$6:$NB$6,"&lt;="&amp;DATE(2027,8,31)),"")</f>
        <v/>
      </c>
      <c r="M19" s="306">
        <f>IFERROR(AVERAGEIFS('Daily Consumption'!$B$112:$NB$112,'Daily Consumption'!$B$6:$NB$6,"&gt;="&amp;DATE(2027,9,1),'Daily Consumption'!$B$6:$NB$6,"&lt;="&amp;DATE(2027,9,30)),"")</f>
        <v/>
      </c>
      <c r="N19" s="312">
        <f>IFERROR(AVERAGE(B19:M19),"")</f>
        <v/>
      </c>
      <c r="O19" s="298" t="n"/>
      <c r="P19" s="298" t="n"/>
      <c r="Q19" s="298" t="n"/>
      <c r="R19" s="298" t="n"/>
      <c r="S19" s="298" t="n"/>
      <c r="T19" s="298" t="n"/>
    </row>
    <row r="20" ht="18.75" customHeight="1" s="166">
      <c r="A20" s="310" t="inlineStr">
        <is>
          <t>Guests</t>
        </is>
      </c>
      <c r="B20" s="303">
        <f>SUMPRODUCT(('Daily Consumption'!$B$6:$NB$6&gt;=DATE(2026,10,1))*('Daily Consumption'!$B$6:$NB$6&lt;=DATE(2026,10,31))*'Daily Consumption'!$B$114:$NB$114)</f>
        <v/>
      </c>
      <c r="C20" s="303">
        <f>SUMPRODUCT(('Daily Consumption'!$B$6:$NB$6&gt;=DATE(2026,11,1))*('Daily Consumption'!$B$6:$NB$6&lt;=DATE(2026,11,30))*'Daily Consumption'!$B$114:$NB$114)</f>
        <v/>
      </c>
      <c r="D20" s="303">
        <f>SUMPRODUCT(('Daily Consumption'!$B$6:$NB$6&gt;=DATE(2026,12,1))*('Daily Consumption'!$B$6:$NB$6&lt;=DATE(2026,12,31))*'Daily Consumption'!$B$114:$NB$114)</f>
        <v/>
      </c>
      <c r="E20" s="303">
        <f>SUMPRODUCT(('Daily Consumption'!$B$6:$NB$6&gt;=DATE(2027,1,1))*('Daily Consumption'!$B$6:$NB$6&lt;=DATE(2027,1,31))*'Daily Consumption'!$B$114:$NB$114)</f>
        <v/>
      </c>
      <c r="F20" s="303">
        <f>SUMPRODUCT(('Daily Consumption'!$B$6:$NB$6&gt;=DATE(2027,2,1))*('Daily Consumption'!$B$6:$NB$6&lt;=DATE(2027,2,28))*'Daily Consumption'!$B$114:$NB$114)</f>
        <v/>
      </c>
      <c r="G20" s="303">
        <f>SUMPRODUCT(('Daily Consumption'!$B$6:$NB$6&gt;=DATE(2027,3,1))*('Daily Consumption'!$B$6:$NB$6&lt;=DATE(2027,3,31))*'Daily Consumption'!$B$114:$NB$114)</f>
        <v/>
      </c>
      <c r="H20" s="303">
        <f>SUMPRODUCT(('Daily Consumption'!$B$6:$NB$6&gt;=DATE(2027,4,1))*('Daily Consumption'!$B$6:$NB$6&lt;=DATE(2027,4,30))*'Daily Consumption'!$B$114:$NB$114)</f>
        <v/>
      </c>
      <c r="I20" s="303">
        <f>SUMPRODUCT(('Daily Consumption'!$B$6:$NB$6&gt;=DATE(2027,5,1))*('Daily Consumption'!$B$6:$NB$6&lt;=DATE(2027,5,31))*'Daily Consumption'!$B$114:$NB$114)</f>
        <v/>
      </c>
      <c r="J20" s="303">
        <f>SUMPRODUCT(('Daily Consumption'!$B$6:$NB$6&gt;=DATE(2027,6,1))*('Daily Consumption'!$B$6:$NB$6&lt;=DATE(2027,6,30))*'Daily Consumption'!$B$114:$NB$114)</f>
        <v/>
      </c>
      <c r="K20" s="303">
        <f>SUMPRODUCT(('Daily Consumption'!$B$6:$NB$6&gt;=DATE(2027,7,1))*('Daily Consumption'!$B$6:$NB$6&lt;=DATE(2027,7,31))*'Daily Consumption'!$B$114:$NB$114)</f>
        <v/>
      </c>
      <c r="L20" s="303">
        <f>SUMPRODUCT(('Daily Consumption'!$B$6:$NB$6&gt;=DATE(2027,8,1))*('Daily Consumption'!$B$6:$NB$6&lt;=DATE(2027,8,31))*'Daily Consumption'!$B$114:$NB$114)</f>
        <v/>
      </c>
      <c r="M20" s="303">
        <f>SUMPRODUCT(('Daily Consumption'!$B$6:$NB$6&gt;=DATE(2027,9,1))*('Daily Consumption'!$B$6:$NB$6&lt;=DATE(2027,9,30))*'Daily Consumption'!$B$114:$NB$114)</f>
        <v/>
      </c>
      <c r="N20" s="311">
        <f>SUM(B20:M20)</f>
        <v/>
      </c>
      <c r="O20" s="298" t="n"/>
      <c r="P20" s="298" t="n"/>
      <c r="Q20" s="298" t="n"/>
      <c r="R20" s="298" t="n"/>
      <c r="S20" s="298" t="n"/>
      <c r="T20" s="298" t="n"/>
    </row>
    <row r="21" ht="18.75" customHeight="1" s="166">
      <c r="A21" s="298" t="n"/>
      <c r="B21" s="298" t="n"/>
      <c r="C21" s="298" t="n"/>
      <c r="D21" s="298" t="n"/>
      <c r="E21" s="298" t="n"/>
      <c r="F21" s="298" t="n"/>
      <c r="G21" s="298" t="n"/>
      <c r="H21" s="298" t="n"/>
      <c r="I21" s="298" t="n"/>
      <c r="J21" s="298" t="n"/>
      <c r="K21" s="298" t="n"/>
      <c r="L21" s="298" t="n"/>
      <c r="M21" s="298" t="n"/>
      <c r="N21" s="313" t="n"/>
      <c r="O21" s="298" t="n"/>
      <c r="P21" s="298" t="n"/>
      <c r="Q21" s="298" t="n"/>
      <c r="R21" s="298" t="n"/>
      <c r="S21" s="298" t="n"/>
      <c r="T21" s="298" t="n"/>
    </row>
    <row r="22" ht="18.75" customHeight="1" s="166">
      <c r="A22" s="314" t="inlineStr">
        <is>
          <t>Gas</t>
        </is>
      </c>
      <c r="B22" s="261">
        <f>SUM('Oct 2026'!D8:D38)</f>
        <v/>
      </c>
      <c r="C22" s="261">
        <f>SUM('Nov 2026'!D8:D37)</f>
        <v/>
      </c>
      <c r="D22" s="261">
        <f>SUM('Dec 2026'!D8:D38)</f>
        <v/>
      </c>
      <c r="E22" s="261">
        <f>SUM('Jan 2027'!D8:D38)</f>
        <v/>
      </c>
      <c r="F22" s="261">
        <f>SUM('Feb 2027'!D8:D35)</f>
        <v/>
      </c>
      <c r="G22" s="261">
        <f>SUM('Mar 2027'!D8:D38)</f>
        <v/>
      </c>
      <c r="H22" s="261">
        <f>SUM('Apr 2027'!D8:D37)</f>
        <v/>
      </c>
      <c r="I22" s="261">
        <f>SUM('May 2027'!D8:D38)</f>
        <v/>
      </c>
      <c r="J22" s="261">
        <f>SUM('Jun 2027'!D8:D37)</f>
        <v/>
      </c>
      <c r="K22" s="261">
        <f>SUM('Jul 2027'!D8:D38)</f>
        <v/>
      </c>
      <c r="L22" s="261">
        <f>SUM('Aug 2027'!D8:D38)</f>
        <v/>
      </c>
      <c r="M22" s="261">
        <f>SUM('Sep 2027'!D8:D37)</f>
        <v/>
      </c>
      <c r="N22" s="308">
        <f>SUM(B22:M22)</f>
        <v/>
      </c>
      <c r="O22" s="298" t="n"/>
      <c r="P22" s="298" t="n"/>
      <c r="Q22" s="298" t="n"/>
      <c r="R22" s="298" t="n"/>
      <c r="S22" s="298" t="n"/>
      <c r="T22" s="298" t="n"/>
    </row>
    <row r="23" ht="18.75" customHeight="1" s="166">
      <c r="A23" s="314" t="inlineStr">
        <is>
          <t>Electricity</t>
        </is>
      </c>
      <c r="B23" s="261">
        <f>SUM('Oct 2026'!B8:B38)</f>
        <v/>
      </c>
      <c r="C23" s="261">
        <f>SUM('Nov 2026'!B8:B37)</f>
        <v/>
      </c>
      <c r="D23" s="261">
        <f>SUM('Dec 2026'!B8:B38)</f>
        <v/>
      </c>
      <c r="E23" s="261">
        <f>SUM('Jan 2027'!B8:B38)</f>
        <v/>
      </c>
      <c r="F23" s="261">
        <f>SUM('Feb 2027'!B8:B35)</f>
        <v/>
      </c>
      <c r="G23" s="261">
        <f>SUM('Mar 2027'!B8:B38)</f>
        <v/>
      </c>
      <c r="H23" s="261">
        <f>SUM('Apr 2027'!B8:B37)</f>
        <v/>
      </c>
      <c r="I23" s="261">
        <f>SUM('May 2027'!B8:B38)</f>
        <v/>
      </c>
      <c r="J23" s="261">
        <f>SUM('Jun 2027'!B8:B37)</f>
        <v/>
      </c>
      <c r="K23" s="261">
        <f>SUM('Jul 2027'!B8:B38)</f>
        <v/>
      </c>
      <c r="L23" s="261">
        <f>SUM('Aug 2027'!B8:B38)</f>
        <v/>
      </c>
      <c r="M23" s="261">
        <f>SUM('Sep 2027'!B8:B37)</f>
        <v/>
      </c>
      <c r="N23" s="308">
        <f>SUM(B23:M23)</f>
        <v/>
      </c>
      <c r="O23" s="298" t="n"/>
      <c r="P23" s="298" t="n"/>
      <c r="Q23" s="298" t="n"/>
      <c r="R23" s="298" t="n"/>
      <c r="S23" s="298" t="n"/>
      <c r="T23" s="298" t="n"/>
    </row>
    <row r="24" ht="18.75" customHeight="1" s="166">
      <c r="A24" s="314" t="inlineStr">
        <is>
          <t>Water</t>
        </is>
      </c>
      <c r="B24" s="261">
        <f>SUM('Oct 2026'!C8:C38)</f>
        <v/>
      </c>
      <c r="C24" s="261">
        <f>SUM('Nov 2026'!C8:C37)</f>
        <v/>
      </c>
      <c r="D24" s="261">
        <f>SUM('Dec 2026'!C8:C38)</f>
        <v/>
      </c>
      <c r="E24" s="261">
        <f>SUM('Jan 2027'!C8:C38)</f>
        <v/>
      </c>
      <c r="F24" s="261">
        <f>SUM('Feb 2027'!C8:C35)</f>
        <v/>
      </c>
      <c r="G24" s="261">
        <f>SUM('Mar 2027'!C8:C38)</f>
        <v/>
      </c>
      <c r="H24" s="261">
        <f>SUM('Apr 2027'!C8:C37)</f>
        <v/>
      </c>
      <c r="I24" s="261">
        <f>SUM('May 2027'!C8:C38)</f>
        <v/>
      </c>
      <c r="J24" s="261">
        <f>SUM('Jun 2027'!C8:C37)</f>
        <v/>
      </c>
      <c r="K24" s="261">
        <f>SUM('Jul 2027'!C8:C38)</f>
        <v/>
      </c>
      <c r="L24" s="261">
        <f>SUM('Aug 2027'!C8:C38)</f>
        <v/>
      </c>
      <c r="M24" s="261">
        <f>SUM('Sep 2027'!C8:C37)</f>
        <v/>
      </c>
      <c r="N24" s="308">
        <f>SUM(B24:M24)</f>
        <v/>
      </c>
      <c r="O24" s="298" t="n"/>
      <c r="P24" s="298" t="n"/>
      <c r="Q24" s="298" t="n"/>
      <c r="R24" s="298" t="n"/>
      <c r="S24" s="298" t="n"/>
      <c r="T24" s="298" t="n"/>
    </row>
    <row r="25" ht="21" customHeight="1" s="166">
      <c r="A25" s="315" t="inlineStr">
        <is>
          <t>Total</t>
        </is>
      </c>
      <c r="B25" s="308">
        <f>SUM(B22:B24)</f>
        <v/>
      </c>
      <c r="C25" s="308">
        <f>SUM(C22:C24)</f>
        <v/>
      </c>
      <c r="D25" s="308">
        <f>SUM(D22:D24)</f>
        <v/>
      </c>
      <c r="E25" s="308">
        <f>SUM(E22:E24)</f>
        <v/>
      </c>
      <c r="F25" s="308">
        <f>SUM(F22:F24)</f>
        <v/>
      </c>
      <c r="G25" s="308">
        <f>SUM(G22:G24)</f>
        <v/>
      </c>
      <c r="H25" s="308">
        <f>SUM(H22:H24)</f>
        <v/>
      </c>
      <c r="I25" s="308">
        <f>SUM(I22:I24)</f>
        <v/>
      </c>
      <c r="J25" s="308">
        <f>SUM(J22:J24)</f>
        <v/>
      </c>
      <c r="K25" s="308">
        <f>SUM(K22:K24)</f>
        <v/>
      </c>
      <c r="L25" s="308">
        <f>SUM(L22:L24)</f>
        <v/>
      </c>
      <c r="M25" s="308">
        <f>SUM(M22:M24)</f>
        <v/>
      </c>
      <c r="N25" s="308">
        <f>SUM(B25:M25)</f>
        <v/>
      </c>
      <c r="O25" s="298" t="n"/>
      <c r="P25" s="298" t="n"/>
      <c r="Q25" s="298" t="n"/>
      <c r="R25" s="298" t="n"/>
      <c r="S25" s="298" t="n"/>
      <c r="T25" s="298" t="n"/>
    </row>
    <row r="26" ht="15" customHeight="1" s="166">
      <c r="A26" s="298" t="n"/>
      <c r="B26" s="298" t="n"/>
      <c r="C26" s="298" t="n"/>
      <c r="D26" s="298" t="n"/>
      <c r="E26" s="298" t="n"/>
      <c r="F26" s="298" t="n"/>
      <c r="G26" s="298" t="n"/>
      <c r="H26" s="298" t="n"/>
      <c r="I26" s="298" t="n"/>
      <c r="J26" s="298" t="n"/>
      <c r="K26" s="298" t="n"/>
      <c r="L26" s="298" t="n"/>
      <c r="M26" s="298" t="n"/>
      <c r="N26" s="298" t="n"/>
      <c r="O26" s="298" t="n"/>
      <c r="P26" s="298" t="n"/>
      <c r="Q26" s="298" t="n"/>
      <c r="R26" s="298" t="n"/>
      <c r="S26" s="298" t="n"/>
      <c r="T26" s="298" t="n"/>
    </row>
    <row r="27" ht="15" customHeight="1" s="166">
      <c r="A27" s="298" t="n"/>
      <c r="B27" s="298" t="n"/>
      <c r="C27" s="298" t="n"/>
      <c r="D27" s="298" t="n"/>
      <c r="E27" s="298" t="n"/>
      <c r="F27" s="298" t="n"/>
      <c r="G27" s="298" t="n"/>
      <c r="H27" s="298" t="n"/>
      <c r="I27" s="298" t="n"/>
      <c r="J27" s="298" t="n"/>
      <c r="K27" s="298" t="n"/>
      <c r="L27" s="298" t="n"/>
      <c r="M27" s="298" t="n"/>
      <c r="N27" s="298" t="n"/>
      <c r="O27" s="298" t="n"/>
      <c r="P27" s="298" t="n"/>
      <c r="Q27" s="298" t="n"/>
      <c r="R27" s="298" t="n"/>
      <c r="S27" s="298" t="n"/>
      <c r="T27" s="298" t="n"/>
    </row>
    <row r="28" ht="21" customHeight="1" s="166">
      <c r="A28" s="298" t="n"/>
      <c r="B28" s="309" t="inlineStr">
        <is>
          <t>PREVIOUS PERIOD REFERENCE</t>
        </is>
      </c>
      <c r="O28" s="298" t="n"/>
      <c r="P28" s="298" t="n"/>
      <c r="Q28" s="298" t="n"/>
      <c r="R28" s="298" t="n"/>
      <c r="S28" s="298" t="n"/>
      <c r="T28" s="298" t="n"/>
    </row>
    <row r="29" ht="15" customHeight="1" s="166">
      <c r="A29" s="298" t="n"/>
      <c r="B29" s="316" t="inlineStr">
        <is>
          <t>OCTOBER</t>
        </is>
      </c>
      <c r="C29" s="316" t="inlineStr">
        <is>
          <t>NOVEMBER</t>
        </is>
      </c>
      <c r="D29" s="316" t="inlineStr">
        <is>
          <t>DECEMBER</t>
        </is>
      </c>
      <c r="E29" s="316" t="inlineStr">
        <is>
          <t>JANUARY</t>
        </is>
      </c>
      <c r="F29" s="316" t="inlineStr">
        <is>
          <t>FEBRUARY</t>
        </is>
      </c>
      <c r="G29" s="316" t="inlineStr">
        <is>
          <t>MARCH</t>
        </is>
      </c>
      <c r="H29" s="316" t="inlineStr">
        <is>
          <t>APRIL</t>
        </is>
      </c>
      <c r="I29" s="316" t="inlineStr">
        <is>
          <t>MAY</t>
        </is>
      </c>
      <c r="J29" s="316" t="inlineStr">
        <is>
          <t>JUNE</t>
        </is>
      </c>
      <c r="K29" s="316" t="inlineStr">
        <is>
          <t>JULY</t>
        </is>
      </c>
      <c r="L29" s="316" t="inlineStr">
        <is>
          <t>AUGUST</t>
        </is>
      </c>
      <c r="M29" s="316" t="inlineStr">
        <is>
          <t>SEPTEMBER</t>
        </is>
      </c>
      <c r="N29" s="316" t="inlineStr">
        <is>
          <t>TOTAL</t>
        </is>
      </c>
      <c r="O29" s="298" t="n"/>
      <c r="P29" s="298" t="n"/>
      <c r="Q29" s="298" t="n"/>
      <c r="R29" s="298" t="n"/>
      <c r="S29" s="298" t="n"/>
      <c r="T29" s="298" t="n"/>
    </row>
    <row r="30" ht="18.75" customHeight="1" s="166">
      <c r="A30" s="314" t="inlineStr">
        <is>
          <t>Rooms Sold</t>
        </is>
      </c>
      <c r="B30" s="303" t="n"/>
      <c r="C30" s="303" t="n"/>
      <c r="D30" s="303" t="n"/>
      <c r="E30" s="303" t="n"/>
      <c r="F30" s="303" t="n"/>
      <c r="G30" s="303" t="n"/>
      <c r="H30" s="303" t="n"/>
      <c r="I30" s="303" t="n"/>
      <c r="J30" s="303" t="n"/>
      <c r="K30" s="303" t="n"/>
      <c r="L30" s="303" t="n"/>
      <c r="M30" s="303" t="n"/>
      <c r="N30" s="304" t="n"/>
      <c r="O30" s="298" t="n"/>
      <c r="P30" s="298" t="n"/>
      <c r="Q30" s="298" t="n"/>
      <c r="R30" s="298" t="n"/>
      <c r="S30" s="298" t="n"/>
      <c r="T30" s="298" t="n"/>
    </row>
    <row r="31" ht="18.75" customHeight="1" s="166">
      <c r="A31" s="314" t="inlineStr">
        <is>
          <t>Occupancy Rate</t>
        </is>
      </c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4" t="n"/>
      <c r="O31" s="298" t="n"/>
      <c r="P31" s="298" t="n"/>
      <c r="Q31" s="298" t="n"/>
      <c r="R31" s="298" t="n"/>
      <c r="S31" s="298" t="n"/>
      <c r="T31" s="298" t="n"/>
    </row>
    <row r="32" ht="18.75" customHeight="1" s="166">
      <c r="A32" s="314" t="inlineStr">
        <is>
          <t>Guests</t>
        </is>
      </c>
      <c r="B32" s="303" t="n"/>
      <c r="C32" s="303" t="n"/>
      <c r="D32" s="303" t="n"/>
      <c r="E32" s="303" t="n"/>
      <c r="F32" s="303" t="n"/>
      <c r="G32" s="303" t="n"/>
      <c r="H32" s="303" t="n"/>
      <c r="I32" s="303" t="n"/>
      <c r="J32" s="303" t="n"/>
      <c r="K32" s="303" t="n"/>
      <c r="L32" s="303" t="n"/>
      <c r="M32" s="303" t="n"/>
      <c r="N32" s="304" t="n"/>
      <c r="O32" s="298" t="n"/>
      <c r="P32" s="298" t="n"/>
      <c r="Q32" s="298" t="n"/>
      <c r="R32" s="298" t="n"/>
      <c r="S32" s="298" t="n"/>
      <c r="T32" s="298" t="n"/>
    </row>
    <row r="33" ht="15.75" customHeight="1" s="166">
      <c r="A33" s="298" t="inlineStr">
        <is>
          <t xml:space="preserve"> </t>
        </is>
      </c>
      <c r="B33" s="298" t="inlineStr">
        <is>
          <t xml:space="preserve"> </t>
        </is>
      </c>
      <c r="C33" s="298" t="inlineStr">
        <is>
          <t xml:space="preserve"> </t>
        </is>
      </c>
      <c r="D33" s="298" t="inlineStr">
        <is>
          <t xml:space="preserve"> </t>
        </is>
      </c>
      <c r="E33" s="298" t="inlineStr">
        <is>
          <t xml:space="preserve"> </t>
        </is>
      </c>
      <c r="F33" s="298" t="inlineStr">
        <is>
          <t xml:space="preserve"> </t>
        </is>
      </c>
      <c r="G33" s="298" t="inlineStr">
        <is>
          <t xml:space="preserve"> </t>
        </is>
      </c>
      <c r="H33" s="298" t="inlineStr">
        <is>
          <t xml:space="preserve"> </t>
        </is>
      </c>
      <c r="I33" s="298" t="inlineStr">
        <is>
          <t xml:space="preserve"> </t>
        </is>
      </c>
      <c r="J33" s="298" t="inlineStr">
        <is>
          <t xml:space="preserve"> </t>
        </is>
      </c>
      <c r="K33" s="298" t="inlineStr">
        <is>
          <t xml:space="preserve"> </t>
        </is>
      </c>
      <c r="L33" s="298" t="inlineStr">
        <is>
          <t xml:space="preserve"> </t>
        </is>
      </c>
      <c r="M33" s="298" t="inlineStr">
        <is>
          <t xml:space="preserve"> </t>
        </is>
      </c>
      <c r="N33" s="317" t="inlineStr">
        <is>
          <t xml:space="preserve"> </t>
        </is>
      </c>
      <c r="O33" s="298" t="n"/>
      <c r="P33" s="298" t="n"/>
      <c r="Q33" s="298" t="n"/>
      <c r="R33" s="298" t="n"/>
      <c r="S33" s="298" t="n"/>
      <c r="T33" s="298" t="n"/>
    </row>
    <row r="34" ht="18.75" customHeight="1" s="166">
      <c r="A34" s="314" t="inlineStr">
        <is>
          <t>Gas</t>
        </is>
      </c>
      <c r="B34" s="261" t="n"/>
      <c r="C34" s="261" t="n"/>
      <c r="D34" s="261" t="n"/>
      <c r="E34" s="261" t="n"/>
      <c r="F34" s="261" t="n"/>
      <c r="G34" s="261" t="n"/>
      <c r="H34" s="261" t="n"/>
      <c r="I34" s="261" t="n"/>
      <c r="J34" s="261" t="n"/>
      <c r="K34" s="261" t="n"/>
      <c r="L34" s="261" t="n"/>
      <c r="M34" s="261" t="n"/>
      <c r="N34" s="308" t="n"/>
      <c r="O34" s="298" t="n"/>
      <c r="P34" s="298" t="n"/>
      <c r="Q34" s="298" t="n"/>
      <c r="R34" s="298" t="n"/>
      <c r="S34" s="298" t="n"/>
      <c r="T34" s="298" t="n"/>
    </row>
    <row r="35" ht="18.75" customHeight="1" s="166">
      <c r="A35" s="314" t="inlineStr">
        <is>
          <t>Electricity</t>
        </is>
      </c>
      <c r="B35" s="261" t="n"/>
      <c r="C35" s="261" t="n"/>
      <c r="D35" s="261" t="n"/>
      <c r="E35" s="261" t="n"/>
      <c r="F35" s="261" t="n"/>
      <c r="G35" s="261" t="n"/>
      <c r="H35" s="261" t="n"/>
      <c r="I35" s="261" t="n"/>
      <c r="J35" s="261" t="n"/>
      <c r="K35" s="261" t="n"/>
      <c r="L35" s="261" t="n"/>
      <c r="M35" s="261" t="n"/>
      <c r="N35" s="308" t="n"/>
      <c r="O35" s="298" t="n"/>
      <c r="P35" s="298" t="n"/>
      <c r="Q35" s="298" t="n"/>
      <c r="R35" s="298" t="n"/>
      <c r="S35" s="298" t="n"/>
      <c r="T35" s="298" t="n"/>
    </row>
    <row r="36" ht="18.75" customHeight="1" s="166">
      <c r="A36" s="314" t="inlineStr">
        <is>
          <t>Water</t>
        </is>
      </c>
      <c r="B36" s="261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308" t="n"/>
      <c r="O36" s="298" t="n"/>
      <c r="P36" s="298" t="n"/>
      <c r="Q36" s="298" t="n"/>
      <c r="R36" s="298" t="n"/>
      <c r="S36" s="298" t="n"/>
      <c r="T36" s="298" t="n"/>
    </row>
    <row r="37" ht="21" customHeight="1" s="166">
      <c r="A37" s="315" t="inlineStr">
        <is>
          <t>Total</t>
        </is>
      </c>
      <c r="B37" s="308" t="n"/>
      <c r="C37" s="308" t="n"/>
      <c r="D37" s="308" t="n"/>
      <c r="E37" s="308" t="n"/>
      <c r="F37" s="308" t="n"/>
      <c r="G37" s="308" t="n"/>
      <c r="H37" s="308" t="n"/>
      <c r="I37" s="308" t="n"/>
      <c r="J37" s="308" t="n"/>
      <c r="K37" s="308" t="n"/>
      <c r="L37" s="308" t="n"/>
      <c r="M37" s="308" t="n"/>
      <c r="N37" s="308" t="n"/>
      <c r="O37" s="298" t="n"/>
      <c r="P37" s="298" t="n"/>
      <c r="Q37" s="298" t="n"/>
      <c r="R37" s="298" t="n"/>
      <c r="S37" s="298" t="n"/>
      <c r="T37" s="298" t="n"/>
    </row>
    <row r="38" ht="15" customHeight="1" s="166">
      <c r="A38" s="298" t="n"/>
      <c r="B38" s="298" t="n"/>
      <c r="C38" s="298" t="n"/>
      <c r="D38" s="298" t="n"/>
      <c r="E38" s="298" t="n"/>
      <c r="F38" s="298" t="n"/>
      <c r="G38" s="298" t="n"/>
      <c r="H38" s="298" t="n"/>
      <c r="I38" s="298" t="n"/>
      <c r="J38" s="298" t="n"/>
      <c r="K38" s="298" t="n"/>
      <c r="L38" s="298" t="n"/>
      <c r="M38" s="298" t="n"/>
      <c r="N38" s="298" t="n"/>
      <c r="O38" s="298" t="n"/>
      <c r="P38" s="298" t="n"/>
      <c r="Q38" s="298" t="n"/>
      <c r="R38" s="298" t="n"/>
      <c r="S38" s="298" t="n"/>
      <c r="T38" s="298" t="n"/>
    </row>
    <row r="39" ht="15" customHeight="1" s="166">
      <c r="A39" s="298" t="n"/>
      <c r="B39" s="298" t="n"/>
      <c r="C39" s="298" t="n"/>
      <c r="D39" s="298" t="n"/>
      <c r="E39" s="298" t="n"/>
      <c r="F39" s="298" t="n"/>
      <c r="G39" s="298" t="n"/>
      <c r="H39" s="298" t="n"/>
      <c r="I39" s="298" t="n"/>
      <c r="J39" s="298" t="n"/>
      <c r="K39" s="298" t="n"/>
      <c r="L39" s="298" t="n"/>
      <c r="M39" s="298" t="n"/>
      <c r="N39" s="298" t="n"/>
      <c r="O39" s="298" t="n"/>
      <c r="P39" s="298" t="n"/>
      <c r="Q39" s="298" t="n"/>
      <c r="R39" s="298" t="n"/>
      <c r="S39" s="298" t="n"/>
      <c r="T39" s="298" t="n"/>
    </row>
    <row r="40" ht="15" customHeight="1" s="166">
      <c r="A40" s="298" t="n"/>
      <c r="B40" s="298" t="n"/>
      <c r="C40" s="298" t="n"/>
      <c r="D40" s="298" t="n"/>
      <c r="E40" s="298" t="n"/>
      <c r="F40" s="298" t="n"/>
      <c r="G40" s="298" t="n"/>
      <c r="H40" s="298" t="n"/>
      <c r="I40" s="298" t="n"/>
      <c r="J40" s="298" t="n"/>
      <c r="K40" s="298" t="n"/>
      <c r="L40" s="298" t="n"/>
      <c r="M40" s="298" t="n"/>
      <c r="N40" s="298" t="n"/>
      <c r="O40" s="298" t="n"/>
      <c r="P40" s="298" t="n"/>
      <c r="Q40" s="298" t="n"/>
      <c r="R40" s="298" t="n"/>
      <c r="S40" s="298" t="n"/>
      <c r="T40" s="298" t="n"/>
    </row>
    <row r="41" ht="15" customHeight="1" s="166">
      <c r="A41" s="298" t="n"/>
      <c r="B41" s="298" t="n"/>
      <c r="C41" s="298" t="n"/>
      <c r="D41" s="298" t="n"/>
      <c r="E41" s="298" t="n"/>
      <c r="F41" s="298" t="n"/>
      <c r="G41" s="298" t="n"/>
      <c r="H41" s="298" t="n"/>
      <c r="I41" s="298" t="n"/>
      <c r="J41" s="298" t="n"/>
      <c r="K41" s="298" t="n"/>
      <c r="L41" s="298" t="n"/>
      <c r="M41" s="298" t="n"/>
      <c r="N41" s="298" t="n"/>
      <c r="O41" s="298" t="n"/>
      <c r="P41" s="298" t="n"/>
      <c r="Q41" s="298" t="n"/>
      <c r="R41" s="298" t="n"/>
      <c r="S41" s="298" t="n"/>
      <c r="T41" s="298" t="n"/>
    </row>
    <row r="42" ht="15" customHeight="1" s="166">
      <c r="A42" s="298" t="n"/>
      <c r="B42" s="298" t="n"/>
      <c r="C42" s="298" t="n"/>
      <c r="D42" s="298" t="n"/>
      <c r="E42" s="298" t="n"/>
      <c r="F42" s="298" t="n"/>
      <c r="G42" s="298" t="n"/>
      <c r="H42" s="298" t="n"/>
      <c r="I42" s="298" t="n"/>
      <c r="J42" s="298" t="n"/>
      <c r="K42" s="298" t="n"/>
      <c r="L42" s="298" t="n"/>
      <c r="M42" s="298" t="n"/>
      <c r="N42" s="298" t="n"/>
      <c r="O42" s="298" t="n"/>
      <c r="P42" s="298" t="n"/>
      <c r="Q42" s="298" t="n"/>
      <c r="R42" s="298" t="n"/>
      <c r="S42" s="298" t="n"/>
      <c r="T42" s="298" t="n"/>
    </row>
    <row r="43" ht="15" customHeight="1" s="166">
      <c r="A43" s="298" t="n"/>
      <c r="B43" s="298" t="n"/>
      <c r="C43" s="298" t="n"/>
      <c r="D43" s="298" t="n"/>
      <c r="E43" s="298" t="n"/>
      <c r="F43" s="298" t="n"/>
      <c r="G43" s="298" t="n"/>
      <c r="H43" s="298" t="n"/>
      <c r="I43" s="298" t="n"/>
      <c r="J43" s="298" t="n"/>
      <c r="K43" s="298" t="n"/>
      <c r="L43" s="298" t="n"/>
      <c r="M43" s="298" t="n"/>
      <c r="N43" s="298" t="n"/>
      <c r="O43" s="298" t="n"/>
      <c r="P43" s="298" t="n"/>
      <c r="Q43" s="298" t="n"/>
      <c r="R43" s="298" t="n"/>
      <c r="S43" s="298" t="n"/>
      <c r="T43" s="298" t="n"/>
    </row>
    <row r="44" ht="15" customHeight="1" s="166">
      <c r="A44" s="298" t="n"/>
      <c r="B44" s="298" t="n"/>
      <c r="C44" s="298" t="n"/>
      <c r="D44" s="298" t="n"/>
      <c r="E44" s="298" t="n"/>
      <c r="F44" s="298" t="n"/>
      <c r="G44" s="298" t="n"/>
      <c r="H44" s="298" t="n"/>
      <c r="I44" s="298" t="n"/>
      <c r="J44" s="298" t="n"/>
      <c r="K44" s="298" t="n"/>
      <c r="L44" s="298" t="n"/>
      <c r="M44" s="298" t="n"/>
      <c r="N44" s="298" t="n"/>
      <c r="O44" s="298" t="n"/>
      <c r="P44" s="298" t="n"/>
      <c r="Q44" s="298" t="n"/>
      <c r="R44" s="298" t="n"/>
      <c r="S44" s="298" t="n"/>
      <c r="T44" s="298" t="n"/>
    </row>
    <row r="45" ht="15" customHeight="1" s="166">
      <c r="A45" s="298" t="n"/>
      <c r="B45" s="298" t="n"/>
      <c r="C45" s="298" t="n"/>
      <c r="D45" s="298" t="n"/>
      <c r="E45" s="298" t="n"/>
      <c r="F45" s="298" t="n"/>
      <c r="G45" s="298" t="n"/>
      <c r="H45" s="298" t="n"/>
      <c r="I45" s="298" t="n"/>
      <c r="J45" s="298" t="n"/>
      <c r="K45" s="298" t="n"/>
      <c r="L45" s="298" t="n"/>
      <c r="M45" s="298" t="n"/>
      <c r="N45" s="298" t="n"/>
      <c r="O45" s="298" t="n"/>
      <c r="P45" s="298" t="n"/>
      <c r="Q45" s="298" t="n"/>
      <c r="R45" s="298" t="n"/>
      <c r="S45" s="298" t="n"/>
      <c r="T45" s="298" t="n"/>
    </row>
    <row r="46" ht="15" customHeight="1" s="166">
      <c r="A46" s="298" t="n"/>
      <c r="B46" s="298" t="n"/>
      <c r="C46" s="298" t="n"/>
      <c r="D46" s="298" t="n"/>
      <c r="E46" s="298" t="n"/>
      <c r="F46" s="298" t="n"/>
      <c r="G46" s="298" t="n"/>
      <c r="H46" s="298" t="n"/>
      <c r="I46" s="298" t="n"/>
      <c r="J46" s="298" t="n"/>
      <c r="K46" s="298" t="n"/>
      <c r="L46" s="298" t="n"/>
      <c r="M46" s="298" t="n"/>
      <c r="N46" s="298" t="n"/>
      <c r="O46" s="298" t="n"/>
      <c r="P46" s="298" t="n"/>
      <c r="Q46" s="298" t="n"/>
      <c r="R46" s="298" t="n"/>
      <c r="S46" s="298" t="n"/>
      <c r="T46" s="298" t="n"/>
    </row>
    <row r="47" ht="15" customHeight="1" s="166">
      <c r="A47" s="298" t="n"/>
      <c r="B47" s="298" t="n"/>
      <c r="C47" s="298" t="n"/>
      <c r="D47" s="298" t="n"/>
      <c r="E47" s="298" t="n"/>
      <c r="F47" s="298" t="n"/>
      <c r="G47" s="298" t="n"/>
      <c r="H47" s="298" t="n"/>
      <c r="I47" s="298" t="n"/>
      <c r="J47" s="298" t="n"/>
      <c r="K47" s="298" t="n"/>
      <c r="L47" s="298" t="n"/>
      <c r="M47" s="298" t="n"/>
      <c r="N47" s="298" t="n"/>
      <c r="O47" s="298" t="n"/>
      <c r="P47" s="298" t="n"/>
      <c r="Q47" s="298" t="n"/>
      <c r="R47" s="298" t="n"/>
      <c r="S47" s="298" t="n"/>
      <c r="T47" s="298" t="n"/>
    </row>
    <row r="48" ht="15" customHeight="1" s="166">
      <c r="A48" s="298" t="n"/>
      <c r="B48" s="298" t="n"/>
      <c r="C48" s="298" t="n"/>
      <c r="D48" s="298" t="n"/>
      <c r="E48" s="298" t="n"/>
      <c r="F48" s="298" t="n"/>
      <c r="G48" s="298" t="n"/>
      <c r="H48" s="298" t="n"/>
      <c r="I48" s="298" t="n"/>
      <c r="J48" s="298" t="n"/>
      <c r="K48" s="298" t="n"/>
      <c r="L48" s="298" t="n"/>
      <c r="M48" s="298" t="n"/>
      <c r="N48" s="298" t="n"/>
      <c r="O48" s="298" t="n"/>
      <c r="P48" s="298" t="n"/>
      <c r="Q48" s="298" t="n"/>
      <c r="R48" s="298" t="n"/>
      <c r="S48" s="298" t="n"/>
      <c r="T48" s="298" t="n"/>
    </row>
    <row r="49" ht="15" customHeight="1" s="166">
      <c r="A49" s="298" t="n"/>
      <c r="B49" s="298" t="n"/>
      <c r="C49" s="298" t="n"/>
      <c r="D49" s="298" t="n"/>
      <c r="E49" s="298" t="n"/>
      <c r="F49" s="298" t="n"/>
      <c r="G49" s="298" t="n"/>
      <c r="H49" s="298" t="n"/>
      <c r="I49" s="298" t="n"/>
      <c r="J49" s="298" t="n"/>
      <c r="K49" s="298" t="n"/>
      <c r="L49" s="298" t="n"/>
      <c r="M49" s="298" t="n"/>
      <c r="N49" s="298" t="n"/>
      <c r="O49" s="298" t="n"/>
      <c r="P49" s="298" t="n"/>
      <c r="Q49" s="298" t="n"/>
      <c r="R49" s="298" t="n"/>
      <c r="S49" s="298" t="n"/>
      <c r="T49" s="298" t="n"/>
    </row>
    <row r="50" ht="15" customHeight="1" s="166">
      <c r="A50" s="298" t="n"/>
      <c r="B50" s="298" t="n"/>
      <c r="C50" s="298" t="n"/>
      <c r="D50" s="298" t="n"/>
      <c r="E50" s="298" t="n"/>
      <c r="F50" s="298" t="n"/>
      <c r="G50" s="298" t="n"/>
      <c r="H50" s="298" t="n"/>
      <c r="I50" s="298" t="n"/>
      <c r="J50" s="298" t="n"/>
      <c r="K50" s="298" t="n"/>
      <c r="L50" s="298" t="n"/>
      <c r="M50" s="298" t="n"/>
      <c r="N50" s="298" t="n"/>
      <c r="O50" s="298" t="n"/>
      <c r="P50" s="298" t="n"/>
      <c r="Q50" s="298" t="n"/>
      <c r="R50" s="298" t="n"/>
      <c r="S50" s="298" t="n"/>
      <c r="T50" s="298" t="n"/>
    </row>
    <row r="51" ht="15" customHeight="1" s="166">
      <c r="A51" s="298" t="n"/>
      <c r="B51" s="298" t="n"/>
      <c r="C51" s="298" t="n"/>
      <c r="D51" s="298" t="n"/>
      <c r="E51" s="298" t="n"/>
      <c r="F51" s="298" t="n"/>
      <c r="G51" s="298" t="n"/>
      <c r="H51" s="298" t="n"/>
      <c r="I51" s="298" t="n"/>
      <c r="J51" s="298" t="n"/>
      <c r="K51" s="298" t="n"/>
      <c r="L51" s="298" t="n"/>
      <c r="M51" s="298" t="n"/>
      <c r="N51" s="298" t="n"/>
      <c r="O51" s="298" t="n"/>
      <c r="P51" s="298" t="n"/>
      <c r="Q51" s="298" t="n"/>
      <c r="R51" s="298" t="n"/>
      <c r="S51" s="298" t="n"/>
      <c r="T51" s="298" t="n"/>
    </row>
    <row r="52" ht="15" customHeight="1" s="166">
      <c r="A52" s="298" t="n"/>
      <c r="B52" s="298" t="n"/>
      <c r="C52" s="298" t="n"/>
      <c r="D52" s="298" t="n"/>
      <c r="E52" s="298" t="n"/>
      <c r="F52" s="298" t="n"/>
      <c r="G52" s="298" t="n"/>
      <c r="H52" s="298" t="n"/>
      <c r="I52" s="298" t="n"/>
      <c r="J52" s="298" t="n"/>
      <c r="K52" s="298" t="n"/>
      <c r="L52" s="298" t="n"/>
      <c r="M52" s="298" t="n"/>
      <c r="N52" s="298" t="n"/>
      <c r="O52" s="298" t="n"/>
      <c r="P52" s="298" t="n"/>
      <c r="Q52" s="298" t="n"/>
      <c r="R52" s="298" t="n"/>
      <c r="S52" s="298" t="n"/>
      <c r="T52" s="298" t="n"/>
    </row>
    <row r="53" ht="15" customHeight="1" s="166">
      <c r="A53" s="298" t="n"/>
      <c r="B53" s="298" t="n"/>
      <c r="C53" s="298" t="n"/>
      <c r="D53" s="298" t="n"/>
      <c r="E53" s="298" t="n"/>
      <c r="F53" s="298" t="n"/>
      <c r="G53" s="298" t="n"/>
      <c r="H53" s="298" t="n"/>
      <c r="I53" s="298" t="n"/>
      <c r="J53" s="298" t="n"/>
      <c r="K53" s="298" t="n"/>
      <c r="L53" s="298" t="n"/>
      <c r="M53" s="298" t="n"/>
      <c r="N53" s="298" t="n"/>
      <c r="O53" s="298" t="n"/>
      <c r="P53" s="298" t="n"/>
      <c r="Q53" s="298" t="n"/>
      <c r="R53" s="298" t="n"/>
      <c r="S53" s="298" t="n"/>
      <c r="T53" s="298" t="n"/>
    </row>
    <row r="54" ht="15" customHeight="1" s="166">
      <c r="A54" s="298" t="n"/>
      <c r="B54" s="298" t="n"/>
      <c r="C54" s="298" t="n"/>
      <c r="D54" s="298" t="n"/>
      <c r="E54" s="298" t="n"/>
      <c r="F54" s="298" t="n"/>
      <c r="G54" s="298" t="n"/>
      <c r="H54" s="298" t="n"/>
      <c r="I54" s="298" t="n"/>
      <c r="J54" s="298" t="n"/>
      <c r="K54" s="298" t="n"/>
      <c r="L54" s="298" t="n"/>
      <c r="M54" s="298" t="n"/>
      <c r="N54" s="298" t="n"/>
      <c r="O54" s="298" t="n"/>
      <c r="P54" s="298" t="n"/>
      <c r="Q54" s="298" t="n"/>
      <c r="R54" s="298" t="n"/>
      <c r="S54" s="298" t="n"/>
      <c r="T54" s="298" t="n"/>
    </row>
    <row r="55" ht="15" customHeight="1" s="166">
      <c r="A55" s="298" t="n"/>
      <c r="B55" s="298" t="n"/>
      <c r="C55" s="298" t="n"/>
      <c r="D55" s="298" t="n"/>
      <c r="E55" s="298" t="n"/>
      <c r="F55" s="298" t="n"/>
      <c r="G55" s="298" t="n"/>
      <c r="H55" s="298" t="n"/>
      <c r="I55" s="298" t="n"/>
      <c r="J55" s="298" t="n"/>
      <c r="K55" s="298" t="n"/>
      <c r="L55" s="298" t="n"/>
      <c r="M55" s="298" t="n"/>
      <c r="N55" s="298" t="n"/>
      <c r="O55" s="298" t="n"/>
      <c r="P55" s="298" t="n"/>
      <c r="Q55" s="298" t="n"/>
      <c r="R55" s="298" t="n"/>
      <c r="S55" s="298" t="n"/>
      <c r="T55" s="298" t="n"/>
    </row>
    <row r="56" ht="15" customHeight="1" s="166">
      <c r="A56" s="298" t="n"/>
      <c r="B56" s="298" t="n"/>
      <c r="C56" s="298" t="n"/>
      <c r="D56" s="298" t="n"/>
      <c r="E56" s="298" t="n"/>
      <c r="F56" s="298" t="n"/>
      <c r="G56" s="298" t="n"/>
      <c r="H56" s="298" t="n"/>
      <c r="I56" s="298" t="n"/>
      <c r="J56" s="298" t="n"/>
      <c r="K56" s="298" t="n"/>
      <c r="L56" s="298" t="n"/>
      <c r="M56" s="298" t="n"/>
      <c r="N56" s="298" t="n"/>
      <c r="O56" s="298" t="n"/>
      <c r="P56" s="298" t="n"/>
      <c r="Q56" s="298" t="n"/>
      <c r="R56" s="298" t="n"/>
      <c r="S56" s="298" t="n"/>
      <c r="T56" s="298" t="n"/>
    </row>
    <row r="57" ht="15" customHeight="1" s="166">
      <c r="A57" s="298" t="n"/>
      <c r="B57" s="298" t="n"/>
      <c r="C57" s="298" t="n"/>
      <c r="D57" s="298" t="n"/>
      <c r="E57" s="298" t="n"/>
      <c r="F57" s="298" t="n"/>
      <c r="G57" s="298" t="n"/>
      <c r="H57" s="298" t="n"/>
      <c r="I57" s="298" t="n"/>
      <c r="J57" s="298" t="n"/>
      <c r="K57" s="298" t="n"/>
      <c r="L57" s="298" t="n"/>
      <c r="M57" s="298" t="n"/>
      <c r="N57" s="298" t="n"/>
      <c r="O57" s="298" t="n"/>
      <c r="P57" s="298" t="n"/>
      <c r="Q57" s="298" t="n"/>
      <c r="R57" s="298" t="n"/>
      <c r="S57" s="298" t="n"/>
      <c r="T57" s="298" t="n"/>
    </row>
    <row r="58" ht="15" customHeight="1" s="166">
      <c r="A58" s="298" t="n"/>
      <c r="B58" s="298" t="n"/>
      <c r="C58" s="298" t="n"/>
      <c r="D58" s="298" t="n"/>
      <c r="E58" s="298" t="n"/>
      <c r="F58" s="298" t="n"/>
      <c r="G58" s="298" t="n"/>
      <c r="H58" s="298" t="n"/>
      <c r="I58" s="298" t="n"/>
      <c r="J58" s="298" t="n"/>
      <c r="K58" s="298" t="n"/>
      <c r="L58" s="298" t="n"/>
      <c r="M58" s="298" t="n"/>
      <c r="N58" s="298" t="n"/>
      <c r="O58" s="298" t="n"/>
      <c r="P58" s="298" t="n"/>
      <c r="Q58" s="298" t="n"/>
      <c r="R58" s="298" t="n"/>
      <c r="S58" s="298" t="n"/>
      <c r="T58" s="298" t="n"/>
    </row>
    <row r="59" ht="15" customHeight="1" s="166">
      <c r="A59" s="298" t="n"/>
      <c r="B59" s="298" t="n"/>
      <c r="C59" s="298" t="n"/>
      <c r="D59" s="298" t="n"/>
      <c r="E59" s="298" t="n"/>
      <c r="F59" s="298" t="n"/>
      <c r="G59" s="298" t="n"/>
      <c r="H59" s="298" t="n"/>
      <c r="I59" s="298" t="n"/>
      <c r="J59" s="298" t="n"/>
      <c r="K59" s="298" t="n"/>
      <c r="L59" s="298" t="n"/>
      <c r="M59" s="298" t="n"/>
      <c r="N59" s="298" t="n"/>
      <c r="O59" s="298" t="n"/>
      <c r="P59" s="298" t="n"/>
      <c r="Q59" s="298" t="n"/>
      <c r="R59" s="298" t="n"/>
      <c r="S59" s="298" t="n"/>
      <c r="T59" s="298" t="n"/>
    </row>
  </sheetData>
  <mergeCells count="4">
    <mergeCell ref="A1:N4"/>
    <mergeCell ref="B5:N5"/>
    <mergeCell ref="B16:N16"/>
    <mergeCell ref="B28:N28"/>
  </mergeCells>
  <hyperlinks>
    <hyperlink ref="A1" location="'Menu'!A1" display="#'Menu'.A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E6B9B8"/>
    <outlinePr summaryBelow="1" summaryRight="1"/>
    <pageSetUpPr fitToPage="1"/>
  </sheetPr>
  <dimension ref="A1:P22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0" ySplit="7" topLeftCell="A8" activePane="bottomLeft" state="frozen"/>
      <selection pane="topLeft" activeCell="A1" activeCellId="0" sqref="A1"/>
      <selection pane="bottomLeft" activeCell="G4" activeCellId="0" sqref="G4"/>
    </sheetView>
  </sheetViews>
  <sheetFormatPr baseColWidth="8" defaultColWidth="8.71484375" defaultRowHeight="14.25" customHeight="1" zeroHeight="0" outlineLevelRow="0"/>
  <cols>
    <col width="20" customWidth="1" style="165" min="1" max="1"/>
    <col width="23" customWidth="1" style="165" min="2" max="6"/>
  </cols>
  <sheetData>
    <row r="1" ht="14.25" customHeight="1" s="166">
      <c r="A1" s="204" t="n"/>
      <c r="G1" s="176" t="n"/>
      <c r="H1" s="235" t="inlineStr">
        <is>
          <t xml:space="preserve"> </t>
        </is>
      </c>
      <c r="I1" s="235" t="inlineStr">
        <is>
          <t xml:space="preserve"> </t>
        </is>
      </c>
      <c r="J1" s="176" t="n"/>
      <c r="K1" s="176" t="n"/>
      <c r="L1" s="176" t="n"/>
      <c r="M1" s="176" t="n"/>
      <c r="N1" s="176" t="n"/>
    </row>
    <row r="2" ht="14.25" customHeight="1" s="166">
      <c r="G2" s="176" t="n"/>
      <c r="H2" s="223" t="n"/>
      <c r="I2" s="223" t="n"/>
      <c r="J2" s="176" t="n"/>
      <c r="K2" s="176" t="n"/>
      <c r="L2" s="176" t="n"/>
      <c r="M2" s="176" t="n"/>
      <c r="N2" s="176" t="n"/>
    </row>
    <row r="3" ht="14.25" customHeight="1" s="166">
      <c r="G3" s="176" t="n"/>
      <c r="H3" s="223" t="n"/>
      <c r="I3" s="223" t="n"/>
      <c r="J3" s="176" t="n"/>
      <c r="K3" s="176" t="n"/>
      <c r="L3" s="176" t="n"/>
      <c r="M3" s="176" t="n"/>
      <c r="N3" s="176" t="n"/>
    </row>
    <row r="4" ht="14.25" customHeight="1" s="166">
      <c r="G4" s="176" t="n"/>
      <c r="H4" s="223" t="n"/>
      <c r="I4" s="223" t="n"/>
      <c r="J4" s="176" t="n"/>
      <c r="K4" s="176" t="n"/>
      <c r="L4" s="176" t="n"/>
      <c r="M4" s="176" t="n"/>
      <c r="N4" s="176" t="n"/>
    </row>
    <row r="5" ht="23.25" customHeight="1" s="166">
      <c r="A5" s="318" t="inlineStr">
        <is>
          <t>MONTHLY CONSUMPTION SUMMARY</t>
        </is>
      </c>
    </row>
    <row r="6" ht="15" customHeight="1" s="166">
      <c r="A6" s="319" t="inlineStr">
        <is>
          <t>Automatic 12-month totals | 01-Oct-2026 to 30-Sep-2027</t>
        </is>
      </c>
    </row>
    <row r="7" ht="15" customHeight="1" s="166">
      <c r="A7" s="320" t="inlineStr">
        <is>
          <t>Month</t>
        </is>
      </c>
      <c r="B7" s="320" t="inlineStr">
        <is>
          <t>Energy Consumption</t>
        </is>
      </c>
      <c r="C7" s="320" t="inlineStr">
        <is>
          <t>Water Consumption</t>
        </is>
      </c>
      <c r="D7" s="320" t="inlineStr">
        <is>
          <t>Gas Consumption</t>
        </is>
      </c>
      <c r="E7" s="320" t="inlineStr">
        <is>
          <t>Chilled Water Consumption</t>
        </is>
      </c>
      <c r="F7" s="320" t="inlineStr">
        <is>
          <t>All Utilities</t>
        </is>
      </c>
    </row>
    <row r="8" ht="15" customHeight="1" s="166">
      <c r="A8" s="321" t="n">
        <v>46296</v>
      </c>
      <c r="B8" s="322">
        <f>SUM('Oct 2026'!B8:B38)</f>
        <v/>
      </c>
      <c r="C8" s="322">
        <f>SUM('Oct 2026'!C8:C38)</f>
        <v/>
      </c>
      <c r="D8" s="322">
        <f>SUM('Oct 2026'!D8:D38)</f>
        <v/>
      </c>
      <c r="E8" s="322">
        <f>SUM('Oct 2026'!E8:E38)</f>
        <v/>
      </c>
      <c r="F8" s="322">
        <f>SUM(B8:E8)</f>
        <v/>
      </c>
    </row>
    <row r="9" ht="15" customHeight="1" s="166">
      <c r="A9" s="321" t="n">
        <v>46327</v>
      </c>
      <c r="B9" s="322">
        <f>SUM('Nov 2026'!B8:B37)</f>
        <v/>
      </c>
      <c r="C9" s="322">
        <f>SUM('Nov 2026'!C8:C37)</f>
        <v/>
      </c>
      <c r="D9" s="322">
        <f>SUM('Nov 2026'!D8:D37)</f>
        <v/>
      </c>
      <c r="E9" s="322">
        <f>SUM('Nov 2026'!E8:E37)</f>
        <v/>
      </c>
      <c r="F9" s="322">
        <f>SUM(B9:E9)</f>
        <v/>
      </c>
      <c r="G9" s="323" t="inlineStr">
        <is>
          <t>Dec 2026</t>
        </is>
      </c>
      <c r="H9" s="323" t="inlineStr">
        <is>
          <t>Jan 2027</t>
        </is>
      </c>
      <c r="I9" s="323" t="inlineStr">
        <is>
          <t>Feb 2027</t>
        </is>
      </c>
      <c r="J9" s="323" t="inlineStr">
        <is>
          <t>Mar 2027</t>
        </is>
      </c>
      <c r="K9" s="323" t="inlineStr">
        <is>
          <t>Apr 2027</t>
        </is>
      </c>
      <c r="L9" s="323" t="inlineStr">
        <is>
          <t>May 2027</t>
        </is>
      </c>
      <c r="M9" s="323" t="inlineStr">
        <is>
          <t>Jun 2027</t>
        </is>
      </c>
      <c r="N9" s="323" t="inlineStr">
        <is>
          <t>Jul 2027</t>
        </is>
      </c>
      <c r="O9" s="323" t="inlineStr">
        <is>
          <t>Aug 2027</t>
        </is>
      </c>
      <c r="P9" s="323" t="inlineStr">
        <is>
          <t>Sep 2027</t>
        </is>
      </c>
    </row>
    <row r="10" ht="15" customHeight="1" s="166">
      <c r="A10" s="321" t="n">
        <v>46357</v>
      </c>
      <c r="B10" s="322">
        <f>SUM('Dec 2026'!B8:B38)</f>
        <v/>
      </c>
      <c r="C10" s="322">
        <f>SUM('Dec 2026'!C8:C38)</f>
        <v/>
      </c>
      <c r="D10" s="322">
        <f>SUM('Dec 2026'!D8:D38)</f>
        <v/>
      </c>
      <c r="E10" s="322">
        <f>SUM('Dec 2026'!E8:E38)</f>
        <v/>
      </c>
      <c r="F10" s="322">
        <f>SUM(B10:E10)</f>
        <v/>
      </c>
    </row>
    <row r="11" ht="15" customHeight="1" s="166">
      <c r="A11" s="321" t="n">
        <v>46388</v>
      </c>
      <c r="B11" s="322">
        <f>SUM('Jan 2027'!B8:B38)</f>
        <v/>
      </c>
      <c r="C11" s="322">
        <f>SUM('Jan 2027'!C8:C38)</f>
        <v/>
      </c>
      <c r="D11" s="322">
        <f>SUM('Jan 2027'!D8:D38)</f>
        <v/>
      </c>
      <c r="E11" s="322">
        <f>SUM('Jan 2027'!E8:E38)</f>
        <v/>
      </c>
      <c r="F11" s="322">
        <f>SUM(B11:E11)</f>
        <v/>
      </c>
    </row>
    <row r="12" ht="15" customHeight="1" s="166">
      <c r="A12" s="321" t="n">
        <v>46419</v>
      </c>
      <c r="B12" s="322">
        <f>SUM('Feb 2027'!B8:B35)</f>
        <v/>
      </c>
      <c r="C12" s="322">
        <f>SUM('Feb 2027'!C8:C35)</f>
        <v/>
      </c>
      <c r="D12" s="322">
        <f>SUM('Feb 2027'!D8:D35)</f>
        <v/>
      </c>
      <c r="E12" s="322">
        <f>SUM('Feb 2027'!E8:E35)</f>
        <v/>
      </c>
      <c r="F12" s="322">
        <f>SUM(B12:E12)</f>
        <v/>
      </c>
    </row>
    <row r="13" ht="15" customHeight="1" s="166">
      <c r="A13" s="321" t="n">
        <v>46447</v>
      </c>
      <c r="B13" s="322">
        <f>SUM('Mar 2027'!B8:B38)</f>
        <v/>
      </c>
      <c r="C13" s="322">
        <f>SUM('Mar 2027'!C8:C38)</f>
        <v/>
      </c>
      <c r="D13" s="322">
        <f>SUM('Mar 2027'!D8:D38)</f>
        <v/>
      </c>
      <c r="E13" s="322">
        <f>SUM('Mar 2027'!E8:E38)</f>
        <v/>
      </c>
      <c r="F13" s="322">
        <f>SUM(B13:E13)</f>
        <v/>
      </c>
    </row>
    <row r="14" ht="15" customHeight="1" s="166">
      <c r="A14" s="321" t="n">
        <v>46478</v>
      </c>
      <c r="B14" s="322">
        <f>SUM('Apr 2027'!B8:B37)</f>
        <v/>
      </c>
      <c r="C14" s="322">
        <f>SUM('Apr 2027'!C8:C37)</f>
        <v/>
      </c>
      <c r="D14" s="322">
        <f>SUM('Apr 2027'!D8:D37)</f>
        <v/>
      </c>
      <c r="E14" s="322">
        <f>SUM('Apr 2027'!E8:E37)</f>
        <v/>
      </c>
      <c r="F14" s="322">
        <f>SUM(B14:E14)</f>
        <v/>
      </c>
    </row>
    <row r="15" ht="15" customHeight="1" s="166">
      <c r="A15" s="321" t="n">
        <v>46508</v>
      </c>
      <c r="B15" s="322">
        <f>SUM('May 2027'!B8:B38)</f>
        <v/>
      </c>
      <c r="C15" s="322">
        <f>SUM('May 2027'!C8:C38)</f>
        <v/>
      </c>
      <c r="D15" s="322">
        <f>SUM('May 2027'!D8:D38)</f>
        <v/>
      </c>
      <c r="E15" s="322">
        <f>SUM('May 2027'!E8:E38)</f>
        <v/>
      </c>
      <c r="F15" s="322">
        <f>SUM(B15:E15)</f>
        <v/>
      </c>
    </row>
    <row r="16" ht="15" customHeight="1" s="166">
      <c r="A16" s="321" t="n">
        <v>46539</v>
      </c>
      <c r="B16" s="322">
        <f>SUM('Jun 2027'!B8:B37)</f>
        <v/>
      </c>
      <c r="C16" s="322">
        <f>SUM('Jun 2027'!C8:C37)</f>
        <v/>
      </c>
      <c r="D16" s="322">
        <f>SUM('Jun 2027'!D8:D37)</f>
        <v/>
      </c>
      <c r="E16" s="322">
        <f>SUM('Jun 2027'!E8:E37)</f>
        <v/>
      </c>
      <c r="F16" s="322">
        <f>SUM(B16:E16)</f>
        <v/>
      </c>
    </row>
    <row r="17" ht="15" customHeight="1" s="166">
      <c r="A17" s="321" t="n">
        <v>46569</v>
      </c>
      <c r="B17" s="322">
        <f>SUM('Jul 2027'!B8:B38)</f>
        <v/>
      </c>
      <c r="C17" s="322">
        <f>SUM('Jul 2027'!C8:C38)</f>
        <v/>
      </c>
      <c r="D17" s="322">
        <f>SUM('Jul 2027'!D8:D38)</f>
        <v/>
      </c>
      <c r="E17" s="322">
        <f>SUM('Jul 2027'!E8:E38)</f>
        <v/>
      </c>
      <c r="F17" s="322">
        <f>SUM(B17:E17)</f>
        <v/>
      </c>
    </row>
    <row r="18" ht="15" customHeight="1" s="166">
      <c r="A18" s="321" t="n">
        <v>46600</v>
      </c>
      <c r="B18" s="322">
        <f>SUM('Aug 2027'!B8:B38)</f>
        <v/>
      </c>
      <c r="C18" s="322">
        <f>SUM('Aug 2027'!C8:C38)</f>
        <v/>
      </c>
      <c r="D18" s="322">
        <f>SUM('Aug 2027'!D8:D38)</f>
        <v/>
      </c>
      <c r="E18" s="322">
        <f>SUM('Aug 2027'!E8:E38)</f>
        <v/>
      </c>
      <c r="F18" s="322">
        <f>SUM(B18:E18)</f>
        <v/>
      </c>
    </row>
    <row r="19" ht="15" customHeight="1" s="166">
      <c r="A19" s="321" t="n">
        <v>46631</v>
      </c>
      <c r="B19" s="322">
        <f>SUM('Sep 2027'!B8:B37)</f>
        <v/>
      </c>
      <c r="C19" s="322">
        <f>SUM('Sep 2027'!C8:C37)</f>
        <v/>
      </c>
      <c r="D19" s="322">
        <f>SUM('Sep 2027'!D8:D37)</f>
        <v/>
      </c>
      <c r="E19" s="322">
        <f>SUM('Sep 2027'!E8:E37)</f>
        <v/>
      </c>
      <c r="F19" s="322">
        <f>SUM(B19:E19)</f>
        <v/>
      </c>
    </row>
    <row r="20" ht="15" customHeight="1" s="166">
      <c r="A20" s="324" t="inlineStr">
        <is>
          <t>ANNUAL TOTAL</t>
        </is>
      </c>
      <c r="B20" s="325">
        <f>SUM(B8:B19)</f>
        <v/>
      </c>
      <c r="C20" s="325">
        <f>SUM(C8:C19)</f>
        <v/>
      </c>
      <c r="D20" s="325">
        <f>SUM(D8:D19)</f>
        <v/>
      </c>
      <c r="E20" s="325">
        <f>SUM(E8:E19)</f>
        <v/>
      </c>
      <c r="F20" s="325">
        <f>SUM(F8:F19)</f>
        <v/>
      </c>
    </row>
    <row r="22" ht="14.25" customHeight="1" s="166">
      <c r="A22" s="323" t="inlineStr">
        <is>
          <t>Oct 2026</t>
        </is>
      </c>
      <c r="B22" s="323" t="inlineStr">
        <is>
          <t>Nov 2026</t>
        </is>
      </c>
      <c r="C22" s="323" t="inlineStr">
        <is>
          <t>Dec 2026</t>
        </is>
      </c>
      <c r="D22" s="323" t="inlineStr">
        <is>
          <t>Jan 2027</t>
        </is>
      </c>
      <c r="E22" s="323" t="inlineStr">
        <is>
          <t>Feb 2027</t>
        </is>
      </c>
      <c r="F22" s="323" t="inlineStr">
        <is>
          <t>Mar 2027</t>
        </is>
      </c>
      <c r="G22" s="323" t="inlineStr">
        <is>
          <t>Apr 2027</t>
        </is>
      </c>
      <c r="H22" s="323" t="inlineStr">
        <is>
          <t>May 2027</t>
        </is>
      </c>
      <c r="I22" s="323" t="inlineStr">
        <is>
          <t>Jun 2027</t>
        </is>
      </c>
      <c r="J22" s="323" t="inlineStr">
        <is>
          <t>Jul 2027</t>
        </is>
      </c>
      <c r="K22" s="323" t="inlineStr">
        <is>
          <t>Aug 2027</t>
        </is>
      </c>
      <c r="L22" s="323" t="inlineStr">
        <is>
          <t>Sep 2027</t>
        </is>
      </c>
      <c r="M22" s="323" t="inlineStr">
        <is>
          <t>Daily Consumption</t>
        </is>
      </c>
      <c r="N22" s="323" t="inlineStr">
        <is>
          <t>LPG Dashboard</t>
        </is>
      </c>
      <c r="O22" s="323" t="inlineStr">
        <is>
          <t>Menu</t>
        </is>
      </c>
    </row>
  </sheetData>
  <mergeCells count="3">
    <mergeCell ref="A6:F6"/>
    <mergeCell ref="A5:F5"/>
    <mergeCell ref="A1:F4"/>
  </mergeCells>
  <hyperlinks>
    <hyperlink xmlns:r="http://schemas.openxmlformats.org/officeDocument/2006/relationships" ref="G9" location="'Dec%202026'!A1" display="Dec 2026" r:id="rId1"/>
    <hyperlink xmlns:r="http://schemas.openxmlformats.org/officeDocument/2006/relationships" ref="H9" location="'Jan%202027'!A1" display="Jan 2027" r:id="rId2"/>
    <hyperlink xmlns:r="http://schemas.openxmlformats.org/officeDocument/2006/relationships" ref="I9" location="'Feb%202027'!A1" display="Feb 2027" r:id="rId3"/>
    <hyperlink xmlns:r="http://schemas.openxmlformats.org/officeDocument/2006/relationships" ref="J9" location="'Mar%202027'!A1" display="Mar 2027" r:id="rId4"/>
    <hyperlink xmlns:r="http://schemas.openxmlformats.org/officeDocument/2006/relationships" ref="K9" location="'Apr%202027'!A1" display="Apr 2027" r:id="rId5"/>
    <hyperlink xmlns:r="http://schemas.openxmlformats.org/officeDocument/2006/relationships" ref="L9" location="'May%202027'!A1" display="May 2027" r:id="rId6"/>
    <hyperlink xmlns:r="http://schemas.openxmlformats.org/officeDocument/2006/relationships" ref="M9" location="'Jun%202027'!A1" display="Jun 2027" r:id="rId7"/>
    <hyperlink xmlns:r="http://schemas.openxmlformats.org/officeDocument/2006/relationships" ref="N9" location="'Jul%202027'!A1" display="Jul 2027" r:id="rId8"/>
    <hyperlink xmlns:r="http://schemas.openxmlformats.org/officeDocument/2006/relationships" ref="O9" location="'Aug%202027'!A1" display="Aug 2027" r:id="rId9"/>
    <hyperlink xmlns:r="http://schemas.openxmlformats.org/officeDocument/2006/relationships" ref="P9" location="'Sep%202027'!A1" display="Sep 2027" r:id="rId10"/>
    <hyperlink xmlns:r="http://schemas.openxmlformats.org/officeDocument/2006/relationships" ref="A22" location="'Oct%202026'!A1" display="Oct 2026" r:id="rId11"/>
    <hyperlink xmlns:r="http://schemas.openxmlformats.org/officeDocument/2006/relationships" ref="B22" location="'Nov%202026'!A1" display="Nov 2026" r:id="rId12"/>
    <hyperlink xmlns:r="http://schemas.openxmlformats.org/officeDocument/2006/relationships" ref="C22" location="'Dec%202026'!A1" display="Dec 2026" r:id="rId13"/>
    <hyperlink xmlns:r="http://schemas.openxmlformats.org/officeDocument/2006/relationships" ref="D22" location="'Jan%202027'!A1" display="Jan 2027" r:id="rId14"/>
    <hyperlink xmlns:r="http://schemas.openxmlformats.org/officeDocument/2006/relationships" ref="E22" location="'Feb%202027'!A1" display="Feb 2027" r:id="rId15"/>
    <hyperlink xmlns:r="http://schemas.openxmlformats.org/officeDocument/2006/relationships" ref="F22" location="'Mar%202027'!A1" display="Mar 2027" r:id="rId16"/>
    <hyperlink xmlns:r="http://schemas.openxmlformats.org/officeDocument/2006/relationships" ref="G22" location="'Apr%202027'!A1" display="Apr 2027" r:id="rId17"/>
    <hyperlink xmlns:r="http://schemas.openxmlformats.org/officeDocument/2006/relationships" ref="H22" location="'May%202027'!A1" display="May 2027" r:id="rId18"/>
    <hyperlink xmlns:r="http://schemas.openxmlformats.org/officeDocument/2006/relationships" ref="I22" location="'Jun%202027'!A1" display="Jun 2027" r:id="rId19"/>
    <hyperlink xmlns:r="http://schemas.openxmlformats.org/officeDocument/2006/relationships" ref="J22" location="'Jul%202027'!A1" display="Jul 2027" r:id="rId20"/>
    <hyperlink xmlns:r="http://schemas.openxmlformats.org/officeDocument/2006/relationships" ref="K22" location="'Aug%202027'!A1" display="Aug 2027" r:id="rId21"/>
    <hyperlink xmlns:r="http://schemas.openxmlformats.org/officeDocument/2006/relationships" ref="L22" location="'Sep%202027'!A1" display="Sep 2027" r:id="rId22"/>
    <hyperlink xmlns:r="http://schemas.openxmlformats.org/officeDocument/2006/relationships" ref="M22" location="'Daily%20Consumption'!A1" display="Daily Consumption" r:id="rId23"/>
    <hyperlink xmlns:r="http://schemas.openxmlformats.org/officeDocument/2006/relationships" ref="N22" location="'LPG%20Dashboard'!A1" display="LPG Dashboard" r:id="rId24"/>
    <hyperlink xmlns:r="http://schemas.openxmlformats.org/officeDocument/2006/relationships" ref="O22" location="'Menu'!A1" display="Menu" r:id="rId2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26"/>
  </tableParts>
</worksheet>
</file>

<file path=xl/worksheets/sheet6.xml><?xml version="1.0" encoding="utf-8"?>
<worksheet xmlns="http://schemas.openxmlformats.org/spreadsheetml/2006/main">
  <sheetPr filterMode="0">
    <tabColor rgb="FFBD2137"/>
    <outlinePr summaryBelow="1" summaryRight="1"/>
    <pageSetUpPr fitToPage="0"/>
  </sheetPr>
  <dimension ref="A1:R49"/>
  <sheetViews>
    <sheetView showFormulas="0" showGridLines="0" showRowColHeaders="1" showZeros="1" rightToLeft="0" tabSelected="1" showOutlineSymbols="1" defaultGridColor="1" view="normal" topLeftCell="A14" colorId="64" zoomScale="60" zoomScaleNormal="60" zoomScalePageLayoutView="100" workbookViewId="0">
      <selection pane="topLeft" activeCell="V13" activeCellId="0" sqref="V13"/>
    </sheetView>
  </sheetViews>
  <sheetFormatPr baseColWidth="8" defaultColWidth="8.71484375" defaultRowHeight="14.25" customHeight="1" zeroHeight="0" outlineLevelRow="0"/>
  <cols>
    <col width="18" customWidth="1" style="165" min="1" max="1"/>
    <col width="16" customWidth="1" style="165" min="2" max="2"/>
    <col width="10.71" customWidth="1" style="165" min="3" max="3"/>
    <col width="5" customWidth="1" style="165" min="4" max="4"/>
    <col width="18" customWidth="1" style="165" min="5" max="5"/>
    <col width="16" customWidth="1" style="165" min="6" max="6"/>
    <col width="9" customWidth="1" style="165" min="7" max="7"/>
    <col width="7.29" customWidth="1" style="165" min="8" max="8"/>
    <col width="18" customWidth="1" style="165" min="9" max="9"/>
    <col width="16" customWidth="1" style="165" min="10" max="10"/>
    <col width="9" customWidth="1" style="165" min="11" max="11"/>
    <col width="8.15" customWidth="1" style="165" min="12" max="12"/>
    <col width="7.42" customWidth="1" style="165" min="13" max="13"/>
    <col width="6.85" customWidth="1" style="165" min="14" max="14"/>
    <col width="7.71" customWidth="1" style="165" min="15" max="15"/>
    <col width="7.57" customWidth="1" style="165" min="16" max="16"/>
  </cols>
  <sheetData>
    <row r="1" ht="14.25" customHeight="1" s="166">
      <c r="A1" s="204" t="n"/>
      <c r="L1" s="176" t="n"/>
      <c r="M1" s="176" t="n"/>
      <c r="N1" s="176" t="n"/>
      <c r="O1" s="176" t="n"/>
      <c r="P1" s="176" t="n"/>
    </row>
    <row r="2" ht="14.25" customHeight="1" s="166">
      <c r="L2" s="176" t="n"/>
      <c r="M2" s="176" t="n"/>
      <c r="N2" s="176" t="n"/>
      <c r="O2" s="176" t="n"/>
      <c r="P2" s="176" t="n"/>
    </row>
    <row r="3" ht="14.25" customHeight="1" s="166">
      <c r="L3" s="176" t="n"/>
      <c r="M3" s="176" t="n"/>
      <c r="N3" s="176" t="n"/>
      <c r="O3" s="176" t="n"/>
      <c r="P3" s="176" t="n"/>
    </row>
    <row r="4" ht="14.25" customHeight="1" s="166">
      <c r="L4" s="176" t="n"/>
      <c r="M4" s="176" t="n"/>
      <c r="N4" s="176" t="n"/>
      <c r="O4" s="176" t="n"/>
      <c r="P4" s="176" t="n"/>
    </row>
    <row r="5" ht="30" customHeight="1" s="166">
      <c r="A5" s="326" t="inlineStr">
        <is>
          <t>LPG STORAGE — LIVE TANK MONITOR</t>
        </is>
      </c>
      <c r="L5" s="170" t="n"/>
      <c r="M5" s="170" t="n"/>
      <c r="N5" s="170" t="n"/>
      <c r="O5" s="170" t="n"/>
      <c r="P5" s="170" t="n"/>
      <c r="Q5" s="170" t="n"/>
      <c r="R5" s="170" t="n"/>
    </row>
    <row r="6" ht="14.25" customHeight="1" s="166">
      <c r="L6" s="170" t="n"/>
      <c r="M6" s="170" t="n"/>
      <c r="N6" s="170" t="n"/>
      <c r="O6" s="170" t="n"/>
      <c r="P6" s="170" t="n"/>
      <c r="Q6" s="170" t="n"/>
      <c r="R6" s="170" t="n"/>
    </row>
    <row r="7" ht="13.5" customHeight="1" s="166">
      <c r="L7" s="170" t="n"/>
      <c r="M7" s="170" t="n"/>
      <c r="N7" s="170" t="n"/>
      <c r="O7" s="170" t="n"/>
      <c r="P7" s="170" t="n"/>
      <c r="Q7" s="170" t="n"/>
      <c r="R7" s="170" t="n"/>
    </row>
    <row r="8" ht="21.75" customHeight="1" s="166">
      <c r="A8" s="327" t="inlineStr">
        <is>
          <t xml:space="preserve">3 LPG tanks • 5,000 L each • Enter tank level as % </t>
        </is>
      </c>
      <c r="B8" s="32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  <c r="L8" s="170" t="n"/>
      <c r="M8" s="170" t="n"/>
      <c r="N8" s="170" t="n"/>
      <c r="O8" s="170" t="n"/>
      <c r="P8" s="170" t="n"/>
      <c r="Q8" s="170" t="n"/>
      <c r="R8" s="170" t="n"/>
    </row>
    <row r="9" ht="21.75" customHeight="1" s="166">
      <c r="A9" s="170" t="n"/>
      <c r="B9" s="170" t="n"/>
      <c r="C9" s="170" t="n"/>
      <c r="D9" s="170" t="n"/>
      <c r="E9" s="170" t="n"/>
      <c r="F9" s="170" t="n"/>
      <c r="G9" s="170" t="n"/>
      <c r="H9" s="170" t="n"/>
      <c r="I9" s="170" t="n"/>
      <c r="J9" s="170" t="n"/>
      <c r="K9" s="170" t="n"/>
      <c r="L9" s="170" t="n"/>
      <c r="M9" s="170" t="n"/>
      <c r="N9" s="170" t="n"/>
      <c r="O9" s="170" t="n"/>
      <c r="P9" s="170" t="n"/>
      <c r="Q9" s="170" t="n"/>
      <c r="R9" s="170" t="n"/>
    </row>
    <row r="10" ht="21.75" customHeight="1" s="166">
      <c r="A10" s="329" t="inlineStr">
        <is>
          <t>LPG TANK 1</t>
        </is>
      </c>
      <c r="B10" s="330" t="n"/>
      <c r="C10" s="331" t="n"/>
      <c r="D10" s="170" t="n"/>
      <c r="E10" s="329" t="inlineStr">
        <is>
          <t>LPG TANK 2</t>
        </is>
      </c>
      <c r="F10" s="330" t="n"/>
      <c r="G10" s="331" t="n"/>
      <c r="H10" s="170" t="n"/>
      <c r="I10" s="329" t="inlineStr">
        <is>
          <t>LPG TANK 3</t>
        </is>
      </c>
      <c r="J10" s="330" t="n"/>
      <c r="K10" s="331" t="n"/>
      <c r="L10" s="170" t="n"/>
      <c r="M10" s="170" t="n"/>
      <c r="N10" s="170" t="n"/>
      <c r="O10" s="170" t="n"/>
      <c r="P10" s="170" t="n"/>
      <c r="Q10" s="170" t="n"/>
      <c r="R10" s="170" t="n"/>
    </row>
    <row r="11" ht="21.75" customHeight="1" s="166">
      <c r="A11" s="332" t="inlineStr">
        <is>
          <t>Capacity</t>
        </is>
      </c>
      <c r="B11" s="332" t="n">
        <v>4000</v>
      </c>
      <c r="C11" s="332" t="inlineStr">
        <is>
          <t>L</t>
        </is>
      </c>
      <c r="D11" s="333" t="n"/>
      <c r="E11" s="332" t="inlineStr">
        <is>
          <t>Capacity</t>
        </is>
      </c>
      <c r="F11" s="332" t="n">
        <v>4000</v>
      </c>
      <c r="G11" s="332" t="inlineStr">
        <is>
          <t>L</t>
        </is>
      </c>
      <c r="H11" s="170" t="n"/>
      <c r="I11" s="332" t="inlineStr">
        <is>
          <t>Capacity</t>
        </is>
      </c>
      <c r="J11" s="332" t="n">
        <v>4000</v>
      </c>
      <c r="K11" s="332" t="inlineStr">
        <is>
          <t>L</t>
        </is>
      </c>
      <c r="L11" s="170" t="n"/>
      <c r="M11" s="170" t="n"/>
      <c r="N11" s="170" t="n"/>
      <c r="O11" s="170" t="n"/>
      <c r="P11" s="170" t="n"/>
      <c r="Q11" s="170" t="n"/>
      <c r="R11" s="170" t="n"/>
    </row>
    <row r="12" ht="21.75" customHeight="1" s="166">
      <c r="A12" s="332" t="inlineStr">
        <is>
          <t>REAL-TIME LEVEL</t>
        </is>
      </c>
      <c r="B12" s="334" t="n">
        <v>0</v>
      </c>
      <c r="C12" s="332" t="inlineStr">
        <is>
          <t>%</t>
        </is>
      </c>
      <c r="D12" s="333" t="n"/>
      <c r="E12" s="332" t="inlineStr">
        <is>
          <t>REAL-TIME LEVEL</t>
        </is>
      </c>
      <c r="F12" s="334" t="n">
        <v>0</v>
      </c>
      <c r="G12" s="332" t="inlineStr">
        <is>
          <t>%</t>
        </is>
      </c>
      <c r="H12" s="170" t="n"/>
      <c r="I12" s="332" t="inlineStr">
        <is>
          <t>REAL-TIME LEVEL</t>
        </is>
      </c>
      <c r="J12" s="334" t="n">
        <v>0</v>
      </c>
      <c r="K12" s="332" t="inlineStr">
        <is>
          <t>%</t>
        </is>
      </c>
      <c r="L12" s="170" t="n"/>
      <c r="M12" s="170" t="n"/>
      <c r="N12" s="170" t="n"/>
      <c r="O12" s="170" t="n"/>
    </row>
    <row r="13" ht="21.75" customHeight="1" s="166">
      <c r="A13" s="332" t="inlineStr">
        <is>
          <t>Litres Available</t>
        </is>
      </c>
      <c r="B13" s="335">
        <f>B12*B11</f>
        <v/>
      </c>
      <c r="C13" s="332" t="inlineStr">
        <is>
          <t>L</t>
        </is>
      </c>
      <c r="D13" s="333" t="n"/>
      <c r="E13" s="332" t="inlineStr">
        <is>
          <t>Litres Available</t>
        </is>
      </c>
      <c r="F13" s="335">
        <f>F12*F11</f>
        <v/>
      </c>
      <c r="G13" s="332" t="inlineStr">
        <is>
          <t>L</t>
        </is>
      </c>
      <c r="H13" s="170" t="n"/>
      <c r="I13" s="332" t="inlineStr">
        <is>
          <t>Litres Available</t>
        </is>
      </c>
      <c r="J13" s="335">
        <f>J12*J11</f>
        <v/>
      </c>
      <c r="K13" s="332" t="inlineStr">
        <is>
          <t>L</t>
        </is>
      </c>
      <c r="L13" s="170" t="n"/>
      <c r="M13" s="170" t="n"/>
      <c r="N13" s="170" t="n"/>
      <c r="O13" s="170" t="n"/>
    </row>
    <row r="14" ht="21.75" customHeight="1" s="166">
      <c r="A14" s="332" t="inlineStr">
        <is>
          <t>Remaining</t>
        </is>
      </c>
      <c r="B14" s="335">
        <f>MAX(0,B11-B13)</f>
        <v/>
      </c>
      <c r="C14" s="332" t="inlineStr">
        <is>
          <t>L</t>
        </is>
      </c>
      <c r="D14" s="170" t="n"/>
      <c r="E14" s="332" t="inlineStr">
        <is>
          <t>Remaining</t>
        </is>
      </c>
      <c r="F14" s="335">
        <f>MAX(0,F11-F13)</f>
        <v/>
      </c>
      <c r="G14" s="332" t="inlineStr">
        <is>
          <t>L</t>
        </is>
      </c>
      <c r="H14" s="170" t="n"/>
      <c r="I14" s="332" t="inlineStr">
        <is>
          <t>Remaining</t>
        </is>
      </c>
      <c r="J14" s="335">
        <f>MAX(0,J11-J13)</f>
        <v/>
      </c>
      <c r="K14" s="332" t="inlineStr">
        <is>
          <t>L</t>
        </is>
      </c>
      <c r="L14" s="170" t="n"/>
      <c r="M14" s="170" t="n"/>
      <c r="N14" s="170" t="n"/>
      <c r="O14" s="170" t="n"/>
    </row>
    <row r="15" ht="21.75" customHeight="1" s="166">
      <c r="A15" s="332" t="inlineStr">
        <is>
          <t>Status</t>
        </is>
      </c>
      <c r="B15" s="336">
        <f>IF(B12&lt;=0.15,"CRITICAL",IF(B12&lt;=0.3,"LOW",IF(B12&lt;=0.6,"NORMAL","HIGH")))</f>
        <v/>
      </c>
      <c r="C15" s="332" t="n"/>
      <c r="D15" s="170" t="n"/>
      <c r="E15" s="332" t="inlineStr">
        <is>
          <t>Status</t>
        </is>
      </c>
      <c r="F15" s="336">
        <f>IF(F12&lt;=0.15,"CRITICAL",IF(F12&lt;=0.3,"LOW",IF(F12&lt;=0.6,"NORMAL","HIGH")))</f>
        <v/>
      </c>
      <c r="G15" s="332" t="n"/>
      <c r="H15" s="170" t="n"/>
      <c r="I15" s="332" t="inlineStr">
        <is>
          <t>Status</t>
        </is>
      </c>
      <c r="J15" s="336">
        <f>IF(J12&lt;=0.15,"CRITICAL",IF(J12&lt;=0.3,"LOW",IF(J12&lt;=0.6,"NORMAL","HIGH")))</f>
        <v/>
      </c>
      <c r="K15" s="332" t="n"/>
      <c r="L15" s="170" t="n"/>
      <c r="M15" s="170" t="n"/>
      <c r="N15" s="170" t="n"/>
      <c r="O15" s="170" t="n"/>
    </row>
    <row r="16" ht="21.75" customHeight="1" s="166">
      <c r="A16" s="170" t="n"/>
      <c r="B16" s="170" t="n"/>
      <c r="C16" s="170" t="n"/>
      <c r="D16" s="170" t="n"/>
      <c r="E16" s="170" t="n"/>
      <c r="F16" s="170" t="n"/>
      <c r="G16" s="170" t="n"/>
      <c r="H16" s="170" t="n"/>
      <c r="I16" s="170" t="n"/>
      <c r="J16" s="170" t="n"/>
      <c r="K16" s="170" t="n"/>
      <c r="L16" s="170" t="n"/>
      <c r="M16" s="170" t="n"/>
      <c r="N16" s="170" t="n"/>
      <c r="O16" s="170" t="n"/>
    </row>
    <row r="17" ht="21.75" customHeight="1" s="166">
      <c r="A17" s="170" t="n"/>
      <c r="B17" s="170" t="n"/>
      <c r="C17" s="170" t="n"/>
      <c r="D17" s="337" t="n"/>
      <c r="E17" s="170" t="n"/>
      <c r="F17" s="170" t="n"/>
      <c r="G17" s="170" t="n"/>
      <c r="H17" s="170" t="n"/>
      <c r="I17" s="170" t="n"/>
      <c r="J17" s="170" t="n"/>
      <c r="K17" s="170" t="n"/>
      <c r="L17" s="170" t="n"/>
      <c r="M17" s="170" t="n"/>
      <c r="N17" s="170" t="n"/>
      <c r="O17" s="170" t="n"/>
    </row>
    <row r="18" ht="21.75" customHeight="1" s="166">
      <c r="A18" s="338" t="inlineStr">
        <is>
          <t>TANK 1 — LIVE LEVEL</t>
        </is>
      </c>
      <c r="B18" s="330" t="n"/>
      <c r="C18" s="331" t="n"/>
      <c r="D18" s="337" t="n"/>
      <c r="E18" s="338" t="inlineStr">
        <is>
          <t>TANK 2 — LIVE LEVEL</t>
        </is>
      </c>
      <c r="F18" s="330" t="n"/>
      <c r="G18" s="331" t="n"/>
      <c r="H18" s="170" t="n"/>
      <c r="I18" s="338" t="inlineStr">
        <is>
          <t>TANK 3 — LIVE LEVEL</t>
        </is>
      </c>
      <c r="J18" s="330" t="n"/>
      <c r="K18" s="331" t="n"/>
      <c r="L18" s="170" t="n"/>
      <c r="M18" s="170" t="n"/>
      <c r="N18" s="170" t="n"/>
      <c r="O18" s="170" t="n"/>
    </row>
    <row r="19" ht="21.75" customHeight="1" s="166">
      <c r="A19" s="170" t="n"/>
      <c r="B19" s="339" t="n"/>
      <c r="C19" s="340" t="n"/>
      <c r="E19" s="170" t="n"/>
      <c r="F19" s="339" t="n"/>
      <c r="G19" s="340" t="n"/>
      <c r="I19" s="170" t="n"/>
      <c r="J19" s="339" t="n"/>
      <c r="K19" s="340" t="n"/>
      <c r="M19" s="170" t="n"/>
      <c r="N19" s="170" t="n"/>
      <c r="O19" s="170" t="n"/>
    </row>
    <row r="20" ht="21.75" customHeight="1" s="166">
      <c r="A20" s="170" t="n"/>
      <c r="B20" s="339" t="n"/>
      <c r="C20" s="340" t="n"/>
      <c r="E20" s="170" t="n"/>
      <c r="F20" s="339" t="n"/>
      <c r="G20" s="340" t="n"/>
      <c r="I20" s="170" t="n"/>
      <c r="J20" s="339" t="n"/>
      <c r="K20" s="340" t="n"/>
      <c r="M20" s="170" t="n"/>
      <c r="N20" s="170" t="n"/>
      <c r="O20" s="170" t="n"/>
    </row>
    <row r="21" ht="21.75" customHeight="1" s="166">
      <c r="A21" s="170" t="n"/>
      <c r="B21" s="170" t="n"/>
      <c r="C21" s="170" t="n"/>
      <c r="D21" s="170" t="n"/>
      <c r="E21" s="170" t="n"/>
      <c r="F21" s="170" t="n"/>
      <c r="G21" s="170" t="n"/>
      <c r="H21" s="170" t="n"/>
      <c r="I21" s="170" t="n"/>
      <c r="J21" s="170" t="n"/>
      <c r="K21" s="170" t="n"/>
      <c r="L21" s="170" t="n"/>
      <c r="M21" s="170" t="n"/>
      <c r="N21" s="170" t="n"/>
      <c r="O21" s="170" t="n"/>
    </row>
    <row r="22" ht="21.75" customHeight="1" s="166">
      <c r="A22" s="341">
        <f>TEXT($B$12,"0%")</f>
        <v/>
      </c>
      <c r="D22" s="170" t="n"/>
      <c r="E22" s="341">
        <f>TEXT($F$12,"0%")</f>
        <v/>
      </c>
      <c r="H22" s="170" t="n"/>
      <c r="I22" s="341">
        <f>TEXT($J$12,"0%")</f>
        <v/>
      </c>
      <c r="L22" s="170" t="n"/>
      <c r="M22" s="170" t="n"/>
      <c r="N22" s="170" t="n"/>
      <c r="O22" s="170" t="n"/>
    </row>
    <row r="23" ht="21.75" customHeight="1" s="166">
      <c r="D23" s="170" t="n"/>
      <c r="H23" s="170" t="n"/>
      <c r="L23" s="170" t="n"/>
      <c r="M23" s="170" t="n"/>
      <c r="N23" s="170" t="n"/>
      <c r="O23" s="170" t="n"/>
    </row>
    <row r="24" ht="21.75" customHeight="1" s="166">
      <c r="A24" s="342">
        <f>TEXT($B$13,"#,##0")&amp;" L / 5,000 L"</f>
        <v/>
      </c>
      <c r="D24" s="170" t="n"/>
      <c r="E24" s="342">
        <f>TEXT($F$13,"#,##0")&amp;" L / 5,000 L"</f>
        <v/>
      </c>
      <c r="H24" s="170" t="n"/>
      <c r="I24" s="342">
        <f>TEXT($J$13,"#,##0")&amp;" L / 5,000 L"</f>
        <v/>
      </c>
      <c r="L24" s="170" t="n"/>
      <c r="M24" s="170" t="n"/>
      <c r="N24" s="170" t="n"/>
      <c r="O24" s="170" t="n"/>
    </row>
    <row r="25" ht="21.75" customHeight="1" s="166">
      <c r="A25" s="343">
        <f>IF($B$12=0,"EMPTY",IF($B$12&lt;=0.15,"REFILL REQUIRED",IF($B$12&lt;=0.3,"LOW LEVEL",IF($B$12&lt;=0.6,"NORMAL LEVEL","GOOD LEVEL"))))</f>
        <v/>
      </c>
      <c r="D25" s="170" t="n"/>
      <c r="E25" s="343">
        <f>IF($F$12=0,"EMPTY",IF($F$12&lt;=0.15,"REFILL REQUIRED",IF($F$12&lt;=0.3,"LOW LEVEL",IF($F$12&lt;=0.6,"NORMAL LEVEL","GOOD LEVEL"))))</f>
        <v/>
      </c>
      <c r="H25" s="170" t="n"/>
      <c r="I25" s="343">
        <f>IF($J$12=0,"EMPTY",IF($J$12&lt;=0.15,"REFILL REQUIRED",IF($J$12&lt;=0.3,"LOW LEVEL",IF($J$12&lt;=0.6,"NORMAL LEVEL","GOOD LEVEL"))))</f>
        <v/>
      </c>
      <c r="L25" s="170" t="n"/>
      <c r="M25" s="170" t="n"/>
      <c r="N25" s="170" t="n"/>
      <c r="O25" s="170" t="n"/>
    </row>
    <row r="26" ht="21.75" customHeight="1" s="166">
      <c r="A26" s="170" t="n"/>
      <c r="B26" s="170" t="n"/>
      <c r="C26" s="170" t="n"/>
      <c r="D26" s="170" t="n"/>
      <c r="E26" s="170" t="n"/>
      <c r="F26" s="170" t="n"/>
      <c r="G26" s="170" t="n"/>
      <c r="H26" s="170" t="n"/>
      <c r="I26" s="170" t="n"/>
      <c r="J26" s="170" t="n"/>
      <c r="K26" s="170" t="n"/>
      <c r="L26" s="170" t="n"/>
      <c r="M26" s="170" t="n"/>
      <c r="N26" s="170" t="n"/>
      <c r="O26" s="170" t="n"/>
    </row>
    <row r="27" ht="21.75" customHeight="1" s="166">
      <c r="A27" s="170" t="n"/>
      <c r="B27" s="170" t="n"/>
      <c r="C27" s="170" t="n"/>
      <c r="D27" s="170" t="n"/>
      <c r="E27" s="170" t="n"/>
      <c r="F27" s="170" t="n"/>
      <c r="G27" s="170" t="n"/>
      <c r="H27" s="170" t="n"/>
      <c r="I27" s="170" t="n"/>
      <c r="J27" s="170" t="n"/>
      <c r="K27" s="170" t="n"/>
      <c r="M27" s="170" t="n"/>
      <c r="N27" s="170" t="n"/>
      <c r="O27" s="170" t="n"/>
    </row>
    <row r="28" ht="21.75" customHeight="1" s="166">
      <c r="A28" s="344" t="inlineStr">
        <is>
          <t>TOTAL LPG AVAILABLE</t>
        </is>
      </c>
      <c r="B28" s="330" t="n"/>
      <c r="C28" s="330" t="n"/>
      <c r="D28" s="330" t="n"/>
      <c r="E28" s="330" t="n"/>
      <c r="F28" s="330" t="n"/>
      <c r="G28" s="330" t="n"/>
      <c r="H28" s="330" t="n"/>
      <c r="I28" s="330" t="n"/>
      <c r="J28" s="330" t="n"/>
      <c r="K28" s="330" t="n"/>
      <c r="M28" s="170" t="n"/>
      <c r="N28" s="170" t="n"/>
      <c r="O28" s="170" t="n"/>
    </row>
    <row r="29" ht="21.75" customHeight="1" s="166">
      <c r="A29" s="345">
        <f>TEXT(SUM(B13,F13,J13),"#,##0")&amp;" L / 15,000 L   •   "&amp;TEXT(SUM(B13,F13,J13)/15000,"0%")&amp;" AVAILABLE"</f>
        <v/>
      </c>
      <c r="B29" s="346" t="n"/>
      <c r="C29" s="346" t="n"/>
      <c r="D29" s="346" t="n"/>
      <c r="E29" s="346" t="n"/>
      <c r="F29" s="346" t="n"/>
      <c r="G29" s="346" t="n"/>
      <c r="H29" s="346" t="n"/>
      <c r="I29" s="346" t="n"/>
      <c r="J29" s="346" t="n"/>
      <c r="K29" s="346" t="n"/>
      <c r="M29" s="170" t="n"/>
      <c r="N29" s="170" t="n"/>
      <c r="O29" s="170" t="n"/>
    </row>
    <row r="30" ht="21.75" customHeight="1" s="166">
      <c r="M30" s="170" t="n"/>
      <c r="N30" s="170" t="n"/>
      <c r="O30" s="170" t="n"/>
    </row>
    <row r="31" ht="21.75" customHeight="1" s="166">
      <c r="M31" s="170" t="n"/>
      <c r="N31" s="170" t="n"/>
      <c r="O31" s="170" t="n"/>
    </row>
    <row r="32" ht="21.75" customHeight="1" s="166">
      <c r="A32" s="170" t="n"/>
      <c r="B32" s="170" t="n"/>
      <c r="C32" s="170" t="n"/>
      <c r="D32" s="170" t="n"/>
      <c r="E32" s="170" t="n"/>
      <c r="F32" s="170" t="n"/>
      <c r="G32" s="170" t="n"/>
      <c r="H32" s="170" t="n"/>
      <c r="I32" s="170" t="n"/>
      <c r="J32" s="170" t="n"/>
      <c r="K32" s="170" t="n"/>
      <c r="L32" s="170" t="n"/>
      <c r="M32" s="170" t="n"/>
      <c r="N32" s="170" t="n"/>
      <c r="O32" s="170" t="n"/>
    </row>
    <row r="33" ht="21.75" customHeight="1" s="166">
      <c r="A33" s="170" t="n"/>
      <c r="B33" s="170" t="n"/>
      <c r="C33" s="170" t="n"/>
      <c r="D33" s="170" t="n"/>
      <c r="E33" s="170" t="n"/>
      <c r="F33" s="170" t="n"/>
      <c r="G33" s="170" t="n"/>
      <c r="H33" s="170" t="n"/>
      <c r="I33" s="170" t="n"/>
      <c r="J33" s="170" t="n"/>
      <c r="K33" s="170" t="n"/>
      <c r="L33" s="170" t="n"/>
      <c r="M33" s="170" t="n"/>
      <c r="N33" s="170" t="n"/>
      <c r="O33" s="170" t="n"/>
    </row>
    <row r="34" ht="21.75" customHeight="1" s="166">
      <c r="A34" s="170" t="n"/>
      <c r="B34" s="170" t="n"/>
      <c r="C34" s="170" t="n"/>
      <c r="D34" s="170" t="n"/>
      <c r="E34" s="170" t="n"/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0" t="n"/>
      <c r="O34" s="170" t="n"/>
    </row>
    <row r="35" ht="21.75" customHeight="1" s="166">
      <c r="A35" s="170" t="n"/>
      <c r="B35" s="170" t="n"/>
      <c r="C35" s="170" t="n"/>
      <c r="D35" s="170" t="n"/>
      <c r="E35" s="170" t="n"/>
      <c r="F35" s="170" t="n"/>
      <c r="G35" s="170" t="n"/>
      <c r="H35" s="170" t="n"/>
      <c r="I35" s="170" t="n"/>
      <c r="J35" s="170" t="n"/>
      <c r="K35" s="170" t="n"/>
      <c r="L35" s="170" t="n"/>
      <c r="M35" s="170" t="n"/>
      <c r="N35" s="170" t="n"/>
      <c r="O35" s="170" t="n"/>
    </row>
    <row r="36" ht="21.75" customHeight="1" s="166">
      <c r="A36" s="170" t="n"/>
      <c r="B36" s="170" t="n"/>
      <c r="C36" s="170" t="n"/>
      <c r="D36" s="170" t="n"/>
      <c r="E36" s="170" t="n"/>
      <c r="F36" s="170" t="n"/>
      <c r="G36" s="170" t="n"/>
      <c r="H36" s="170" t="n"/>
      <c r="I36" s="170" t="n"/>
      <c r="J36" s="170" t="n"/>
      <c r="K36" s="170" t="n"/>
      <c r="L36" s="170" t="n"/>
      <c r="M36" s="170" t="n"/>
      <c r="N36" s="170" t="n"/>
      <c r="O36" s="170" t="n"/>
    </row>
    <row r="37" ht="21.75" customHeight="1" s="166">
      <c r="A37" s="170" t="n"/>
      <c r="B37" s="170" t="n"/>
      <c r="C37" s="170" t="n"/>
      <c r="D37" s="170" t="n"/>
      <c r="E37" s="170" t="n"/>
      <c r="F37" s="170" t="n"/>
      <c r="G37" s="170" t="n"/>
      <c r="H37" s="170" t="n"/>
      <c r="I37" s="170" t="n"/>
      <c r="J37" s="170" t="n"/>
      <c r="K37" s="170" t="n"/>
      <c r="L37" s="170" t="n"/>
      <c r="M37" s="170" t="n"/>
      <c r="N37" s="170" t="n"/>
      <c r="O37" s="170" t="n"/>
    </row>
    <row r="38" ht="14.25" customHeight="1" s="166">
      <c r="A38" s="170" t="n"/>
      <c r="B38" s="170" t="n"/>
      <c r="C38" s="170" t="n"/>
      <c r="D38" s="170" t="n"/>
      <c r="E38" s="170" t="n"/>
      <c r="F38" s="170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</row>
    <row r="39" ht="14.25" customHeight="1" s="166">
      <c r="A39" s="170" t="n"/>
      <c r="B39" s="170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170" t="n"/>
    </row>
    <row r="40" ht="14.25" customHeight="1" s="166">
      <c r="A40" s="170" t="n"/>
      <c r="B40" s="170" t="n"/>
      <c r="C40" s="170" t="n"/>
      <c r="D40" s="170" t="n"/>
      <c r="E40" s="170" t="n"/>
      <c r="F40" s="170" t="n"/>
      <c r="G40" s="170" t="n"/>
      <c r="H40" s="170" t="n"/>
      <c r="I40" s="170" t="n"/>
      <c r="J40" s="170" t="n"/>
      <c r="K40" s="170" t="n"/>
      <c r="L40" s="170" t="n"/>
      <c r="M40" s="170" t="n"/>
      <c r="N40" s="170" t="n"/>
      <c r="O40" s="170" t="n"/>
    </row>
    <row r="41" ht="14.25" customHeight="1" s="166">
      <c r="A41" s="170" t="n"/>
      <c r="B41" s="170" t="n"/>
      <c r="C41" s="170" t="n"/>
      <c r="D41" s="170" t="n"/>
      <c r="E41" s="170" t="n"/>
      <c r="F41" s="170" t="n"/>
      <c r="G41" s="170" t="n"/>
      <c r="H41" s="170" t="n"/>
      <c r="I41" s="170" t="n"/>
      <c r="J41" s="170" t="n"/>
      <c r="K41" s="170" t="n"/>
      <c r="L41" s="170" t="n"/>
      <c r="M41" s="170" t="n"/>
      <c r="N41" s="170" t="n"/>
      <c r="O41" s="170" t="n"/>
    </row>
    <row r="42" ht="14.25" customHeight="1" s="166">
      <c r="A42" s="170" t="n"/>
      <c r="B42" s="170" t="n"/>
      <c r="C42" s="170" t="n"/>
      <c r="D42" s="170" t="n"/>
      <c r="E42" s="170" t="n"/>
      <c r="F42" s="170" t="n"/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170" t="n"/>
    </row>
    <row r="43" ht="14.25" customHeight="1" s="166">
      <c r="A43" s="170" t="n"/>
      <c r="B43" s="170" t="n"/>
      <c r="C43" s="170" t="n"/>
      <c r="D43" s="170" t="n"/>
      <c r="E43" s="170" t="n"/>
      <c r="F43" s="170" t="n"/>
      <c r="G43" s="170" t="n"/>
      <c r="H43" s="170" t="n"/>
      <c r="I43" s="170" t="n"/>
      <c r="J43" s="170" t="n"/>
      <c r="K43" s="170" t="n"/>
      <c r="L43" s="170" t="n"/>
      <c r="M43" s="170" t="n"/>
      <c r="N43" s="170" t="n"/>
      <c r="O43" s="170" t="n"/>
    </row>
    <row r="44" ht="14.25" customHeight="1" s="166">
      <c r="A44" s="170" t="n"/>
      <c r="B44" s="170" t="n"/>
      <c r="C44" s="170" t="n"/>
      <c r="D44" s="170" t="n"/>
      <c r="E44" s="170" t="n"/>
      <c r="F44" s="170" t="n"/>
      <c r="G44" s="170" t="n"/>
      <c r="H44" s="170" t="n"/>
      <c r="I44" s="170" t="n"/>
      <c r="J44" s="170" t="n"/>
      <c r="K44" s="170" t="n"/>
      <c r="L44" s="170" t="n"/>
      <c r="M44" s="170" t="n"/>
      <c r="N44" s="170" t="n"/>
      <c r="O44" s="170" t="n"/>
    </row>
    <row r="45" ht="14.25" customHeight="1" s="166">
      <c r="A45" s="170" t="n"/>
      <c r="B45" s="170" t="n"/>
      <c r="C45" s="170" t="n"/>
      <c r="D45" s="170" t="n"/>
      <c r="E45" s="170" t="n"/>
      <c r="F45" s="170" t="n"/>
      <c r="G45" s="170" t="n"/>
      <c r="H45" s="170" t="n"/>
      <c r="I45" s="170" t="n"/>
      <c r="J45" s="170" t="n"/>
      <c r="K45" s="170" t="n"/>
      <c r="L45" s="170" t="n"/>
      <c r="M45" s="170" t="n"/>
      <c r="N45" s="170" t="n"/>
      <c r="O45" s="170" t="n"/>
    </row>
    <row r="46" ht="14.25" customHeight="1" s="166">
      <c r="A46" s="170" t="n"/>
      <c r="B46" s="170" t="n"/>
      <c r="C46" s="170" t="n"/>
      <c r="D46" s="170" t="n"/>
      <c r="E46" s="170" t="n"/>
      <c r="F46" s="170" t="n"/>
      <c r="G46" s="170" t="n"/>
      <c r="H46" s="170" t="n"/>
      <c r="I46" s="170" t="n"/>
      <c r="J46" s="170" t="n"/>
      <c r="K46" s="170" t="n"/>
      <c r="L46" s="170" t="n"/>
      <c r="M46" s="170" t="n"/>
      <c r="N46" s="170" t="n"/>
      <c r="O46" s="170" t="n"/>
    </row>
    <row r="47" ht="14.25" customHeight="1" s="166">
      <c r="A47" s="170" t="n"/>
      <c r="B47" s="170" t="n"/>
      <c r="C47" s="170" t="n"/>
      <c r="D47" s="170" t="n"/>
      <c r="E47" s="170" t="n"/>
      <c r="F47" s="170" t="n"/>
      <c r="G47" s="170" t="n"/>
      <c r="H47" s="170" t="n"/>
      <c r="I47" s="170" t="n"/>
      <c r="J47" s="170" t="n"/>
      <c r="K47" s="170" t="n"/>
      <c r="L47" s="170" t="n"/>
      <c r="M47" s="170" t="n"/>
      <c r="N47" s="170" t="n"/>
      <c r="O47" s="170" t="n"/>
    </row>
    <row r="48" ht="14.25" customHeight="1" s="166">
      <c r="A48" s="170" t="n"/>
      <c r="B48" s="170" t="n"/>
      <c r="C48" s="170" t="n"/>
      <c r="D48" s="170" t="n"/>
      <c r="E48" s="170" t="n"/>
      <c r="F48" s="170" t="n"/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 t="n"/>
    </row>
    <row r="49" ht="14.25" customHeight="1" s="166">
      <c r="A49" s="170" t="n"/>
      <c r="B49" s="170" t="n"/>
      <c r="C49" s="170" t="n"/>
      <c r="D49" s="170" t="n"/>
      <c r="E49" s="170" t="n"/>
      <c r="F49" s="170" t="n"/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 t="n"/>
    </row>
  </sheetData>
  <mergeCells count="20">
    <mergeCell ref="A25:C25"/>
    <mergeCell ref="E10:G10"/>
    <mergeCell ref="A18:C18"/>
    <mergeCell ref="I18:K18"/>
    <mergeCell ref="E22:G23"/>
    <mergeCell ref="I24:K24"/>
    <mergeCell ref="E25:G25"/>
    <mergeCell ref="A10:C10"/>
    <mergeCell ref="I10:K10"/>
    <mergeCell ref="I22:K23"/>
    <mergeCell ref="E18:G18"/>
    <mergeCell ref="A24:C24"/>
    <mergeCell ref="A8:K8"/>
    <mergeCell ref="E24:G24"/>
    <mergeCell ref="A29:K31"/>
    <mergeCell ref="A5:K7"/>
    <mergeCell ref="A22:C23"/>
    <mergeCell ref="A1:K4"/>
    <mergeCell ref="A28:K28"/>
    <mergeCell ref="I25:K25"/>
  </mergeCells>
  <conditionalFormatting sqref="A19:C20 B18:C18">
    <cfRule type="cellIs" rank="0" priority="2" equalAverage="0" operator="greaterThanOrEqual" aboveAverage="0" dxfId="5" text="" percent="0" bottom="0">
      <formula>$D$11</formula>
    </cfRule>
  </conditionalFormatting>
  <conditionalFormatting sqref="A20:C20">
    <cfRule type="cellIs" rank="0" priority="3" equalAverage="0" operator="greaterThanOrEqual" aboveAverage="0" dxfId="5" text="" percent="0" bottom="0">
      <formula>0.6</formula>
    </cfRule>
    <cfRule type="expression" rank="0" priority="4" equalAverage="0" aboveAverage="0" dxfId="5" text="" percent="0" bottom="0">
      <formula>$D$11&gt;=0.7</formula>
    </cfRule>
    <cfRule type="expression" rank="0" priority="5" equalAverage="0" aboveAverage="0" dxfId="6" text="" percent="0" bottom="0">
      <formula>$B$13&gt;=1</formula>
    </cfRule>
    <cfRule type="expression" rank="0" priority="6" equalAverage="0" aboveAverage="0" dxfId="7" text="" percent="0" bottom="0">
      <formula>$B$12&gt;=0.95</formula>
    </cfRule>
  </conditionalFormatting>
  <conditionalFormatting sqref="A19:C19">
    <cfRule type="cellIs" rank="0" priority="7" equalAverage="0" operator="greaterThanOrEqual" aboveAverage="0" dxfId="5" text="" percent="0" bottom="0">
      <formula>0.7</formula>
    </cfRule>
    <cfRule type="expression" rank="0" priority="8" equalAverage="0" aboveAverage="0" dxfId="5" text="" percent="0" bottom="0">
      <formula>$D$11&gt;=0.8</formula>
    </cfRule>
    <cfRule type="expression" rank="0" priority="9" equalAverage="0" aboveAverage="0" dxfId="7" text="" percent="0" bottom="0">
      <formula>$B$12&gt;=1</formula>
    </cfRule>
  </conditionalFormatting>
  <conditionalFormatting sqref="B18:C18">
    <cfRule type="cellIs" rank="0" priority="10" equalAverage="0" operator="greaterThanOrEqual" aboveAverage="0" dxfId="5" text="" percent="0" bottom="0">
      <formula>0.8</formula>
    </cfRule>
    <cfRule type="expression" rank="0" priority="11" equalAverage="0" aboveAverage="0" dxfId="5" text="" percent="0" bottom="0">
      <formula>$D$11&gt;=0.9</formula>
    </cfRule>
  </conditionalFormatting>
  <conditionalFormatting sqref="E19:G20 F18:G18">
    <cfRule type="cellIs" rank="0" priority="12" equalAverage="0" operator="greaterThanOrEqual" aboveAverage="0" dxfId="5" text="" percent="0" bottom="0">
      <formula>$D$12</formula>
    </cfRule>
  </conditionalFormatting>
  <conditionalFormatting sqref="E20:G20">
    <cfRule type="cellIs" rank="0" priority="13" equalAverage="0" operator="greaterThanOrEqual" aboveAverage="0" dxfId="5" text="" percent="0" bottom="0">
      <formula>0.6</formula>
    </cfRule>
    <cfRule type="expression" rank="0" priority="14" equalAverage="0" aboveAverage="0" dxfId="5" text="" percent="0" bottom="0">
      <formula>$D$12&gt;=0.7</formula>
    </cfRule>
    <cfRule type="expression" rank="0" priority="15" equalAverage="0" aboveAverage="0" dxfId="6" text="" percent="0" bottom="0">
      <formula>$F$13&gt;=1</formula>
    </cfRule>
    <cfRule type="expression" rank="0" priority="16" equalAverage="0" aboveAverage="0" dxfId="7" text="" percent="0" bottom="0">
      <formula>$F$12&gt;=0.95</formula>
    </cfRule>
  </conditionalFormatting>
  <conditionalFormatting sqref="E19:G19">
    <cfRule type="cellIs" rank="0" priority="17" equalAverage="0" operator="greaterThanOrEqual" aboveAverage="0" dxfId="5" text="" percent="0" bottom="0">
      <formula>0.7</formula>
    </cfRule>
    <cfRule type="expression" rank="0" priority="18" equalAverage="0" aboveAverage="0" dxfId="5" text="" percent="0" bottom="0">
      <formula>$D$12&gt;=0.8</formula>
    </cfRule>
    <cfRule type="expression" rank="0" priority="19" equalAverage="0" aboveAverage="0" dxfId="7" text="" percent="0" bottom="0">
      <formula>$F$12&gt;=1</formula>
    </cfRule>
  </conditionalFormatting>
  <conditionalFormatting sqref="F18:G18">
    <cfRule type="cellIs" rank="0" priority="20" equalAverage="0" operator="greaterThanOrEqual" aboveAverage="0" dxfId="5" text="" percent="0" bottom="0">
      <formula>0.8</formula>
    </cfRule>
    <cfRule type="expression" rank="0" priority="21" equalAverage="0" aboveAverage="0" dxfId="5" text="" percent="0" bottom="0">
      <formula>$D$12&gt;=0.9</formula>
    </cfRule>
  </conditionalFormatting>
  <conditionalFormatting sqref="I19:K20 J18:K18">
    <cfRule type="cellIs" rank="0" priority="22" equalAverage="0" operator="greaterThanOrEqual" aboveAverage="0" dxfId="5" text="" percent="0" bottom="0">
      <formula>$D$13</formula>
    </cfRule>
  </conditionalFormatting>
  <conditionalFormatting sqref="I20:K20">
    <cfRule type="cellIs" rank="0" priority="23" equalAverage="0" operator="greaterThanOrEqual" aboveAverage="0" dxfId="5" text="" percent="0" bottom="0">
      <formula>0.6</formula>
    </cfRule>
    <cfRule type="expression" rank="0" priority="24" equalAverage="0" aboveAverage="0" dxfId="5" text="" percent="0" bottom="0">
      <formula>$D$13&gt;=0.7</formula>
    </cfRule>
    <cfRule type="expression" rank="0" priority="25" equalAverage="0" aboveAverage="0" dxfId="6" text="" percent="0" bottom="0">
      <formula>$J$13&gt;=1</formula>
    </cfRule>
    <cfRule type="expression" rank="0" priority="26" equalAverage="0" aboveAverage="0" dxfId="7" text="" percent="0" bottom="0">
      <formula>$J$12&gt;=0.95</formula>
    </cfRule>
  </conditionalFormatting>
  <conditionalFormatting sqref="I19:K19">
    <cfRule type="cellIs" rank="0" priority="27" equalAverage="0" operator="greaterThanOrEqual" aboveAverage="0" dxfId="5" text="" percent="0" bottom="0">
      <formula>0.7</formula>
    </cfRule>
    <cfRule type="expression" rank="0" priority="28" equalAverage="0" aboveAverage="0" dxfId="5" text="" percent="0" bottom="0">
      <formula>$D$13&gt;=0.8</formula>
    </cfRule>
    <cfRule type="expression" rank="0" priority="29" equalAverage="0" aboveAverage="0" dxfId="7" text="" percent="0" bottom="0">
      <formula>$J$12&gt;=1</formula>
    </cfRule>
  </conditionalFormatting>
  <conditionalFormatting sqref="J18:K18">
    <cfRule type="cellIs" rank="0" priority="30" equalAverage="0" operator="greaterThanOrEqual" aboveAverage="0" dxfId="5" text="" percent="0" bottom="0">
      <formula>0.8</formula>
    </cfRule>
    <cfRule type="expression" rank="0" priority="31" equalAverage="0" aboveAverage="0" dxfId="5" text="" percent="0" bottom="0">
      <formula>$D$13&gt;=0.9</formula>
    </cfRule>
  </conditionalFormatting>
  <conditionalFormatting sqref="B15">
    <cfRule type="expression" rank="0" priority="32" equalAverage="0" aboveAverage="0" dxfId="8" text="" percent="0" bottom="0">
      <formula>B15="CRITICAL"</formula>
    </cfRule>
    <cfRule type="expression" rank="0" priority="33" equalAverage="0" aboveAverage="0" dxfId="9" text="" percent="0" bottom="0">
      <formula>B15="LOW"</formula>
    </cfRule>
    <cfRule type="expression" rank="0" priority="34" equalAverage="0" aboveAverage="0" dxfId="10" text="" percent="0" bottom="0">
      <formula>B15="NORMAL"</formula>
    </cfRule>
  </conditionalFormatting>
  <conditionalFormatting sqref="F15">
    <cfRule type="expression" rank="0" priority="35" equalAverage="0" aboveAverage="0" dxfId="8" text="" percent="0" bottom="0">
      <formula>F15="CRITICAL"</formula>
    </cfRule>
    <cfRule type="expression" rank="0" priority="36" equalAverage="0" aboveAverage="0" dxfId="9" text="" percent="0" bottom="0">
      <formula>F15="LOW"</formula>
    </cfRule>
    <cfRule type="expression" rank="0" priority="37" equalAverage="0" aboveAverage="0" dxfId="10" text="" percent="0" bottom="0">
      <formula>F15="NORMAL"</formula>
    </cfRule>
  </conditionalFormatting>
  <conditionalFormatting sqref="J15">
    <cfRule type="expression" rank="0" priority="38" equalAverage="0" aboveAverage="0" dxfId="8" text="" percent="0" bottom="0">
      <formula>J15="CRITICAL"</formula>
    </cfRule>
    <cfRule type="expression" rank="0" priority="39" equalAverage="0" aboveAverage="0" dxfId="9" text="" percent="0" bottom="0">
      <formula>J15="LOW"</formula>
    </cfRule>
    <cfRule type="expression" rank="0" priority="40" equalAverage="0" aboveAverage="0" dxfId="10" text="" percent="0" bottom="0">
      <formula>J15="NORMAL"</formula>
    </cfRule>
  </conditionalFormatting>
  <dataValidations count="2">
    <dataValidation sqref="C11:C13" showDropDown="0" showInputMessage="0" showErrorMessage="0" allowBlank="0" error="Reading must be between 0 and 5,000 L." promptTitle="LPG reading" prompt="Enter the current real-time tank reading from 0 to 5,000 L." type="decimal" errorStyle="stop" operator="between">
      <formula1>0</formula1>
      <formula2>5000</formula2>
    </dataValidation>
    <dataValidation sqref="B12 F12 J12" showDropDown="0" showInputMessage="1" showErrorMessage="1" allowBlank="0" errorTitle="Invalid LPG percentage" error="Enter a percentage between 0% and 100%." promptTitle="LPG Tank Level" prompt="Enter the current tank level as a percentage, for example 65%.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C1" colorId="64" zoomScale="90" zoomScaleNormal="90" zoomScalePageLayoutView="100" workbookViewId="0">
      <pane xSplit="0" ySplit="7" topLeftCell="A8" activePane="bottomLeft" state="frozen"/>
      <selection pane="topLeft" activeCell="C1" activeCellId="0" sqref="C1"/>
      <selection pane="bottomLeft" activeCell="I15" activeCellId="0" sqref="I15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OCTOBER 2026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46296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46297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46298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46299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46300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46301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46302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46303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46304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46305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46306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46307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46308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46309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46310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46311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46312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46313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46314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46315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46316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46317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46318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46319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46320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46321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46322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46323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46324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46325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4" t="n">
        <v>46326</v>
      </c>
      <c r="B38" s="355">
        <f>SUMIF('Daily Consumption'!$B$6:$NB$6,$A38,'Daily Consumption'!$B$17:$NB$17)</f>
        <v/>
      </c>
      <c r="C38" s="355">
        <f>SUMIF('Daily Consumption'!$B$6:$NB$6,$A38,'Daily Consumption'!$B$32:$NB$32)</f>
        <v/>
      </c>
      <c r="D38" s="355">
        <f>SUMIF('Daily Consumption'!$B$6:$NB$6,$A38,'Daily Consumption'!$B$46:$NB$46)</f>
        <v/>
      </c>
      <c r="E38" s="355">
        <f>SUMIF('Daily Consumption'!$B$6:$NB$6,$A38,'Daily Consumption'!$B$106:$NB$106)</f>
        <v/>
      </c>
      <c r="F38" s="356" t="inlineStr">
        <is>
          <t>kWh</t>
        </is>
      </c>
      <c r="G38" s="356" t="inlineStr">
        <is>
          <t>m³</t>
        </is>
      </c>
      <c r="H38" s="356" t="inlineStr">
        <is>
          <t>L</t>
        </is>
      </c>
      <c r="I38" s="356" t="inlineStr">
        <is>
          <t>m³</t>
        </is>
      </c>
      <c r="J38" s="356" t="n"/>
    </row>
    <row r="39" ht="14.25" customHeight="1" s="166">
      <c r="A39" s="353" t="inlineStr">
        <is>
          <t>MONTH TOTAL</t>
        </is>
      </c>
      <c r="B39" s="361">
        <f>SUM(B8:B38)</f>
        <v/>
      </c>
      <c r="C39" s="361">
        <f>SUM(C8:C38)</f>
        <v/>
      </c>
      <c r="D39" s="361">
        <f>SUM(D8:D38)</f>
        <v/>
      </c>
      <c r="E39" s="361">
        <f>SUM(E8:E38)</f>
        <v/>
      </c>
      <c r="F39" s="362" t="n"/>
      <c r="G39" s="362" t="n"/>
      <c r="H39" s="362" t="n"/>
      <c r="I39" s="362" t="n"/>
      <c r="J39" s="362" t="n"/>
    </row>
  </sheetData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C1" colorId="64" zoomScale="90" zoomScaleNormal="90" zoomScalePageLayoutView="100" workbookViewId="0">
      <pane xSplit="0" ySplit="7" topLeftCell="A8" activePane="bottomLeft" state="frozen"/>
      <selection pane="topLeft" activeCell="C1" activeCellId="0" sqref="C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NOVEMBER 2026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46327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46328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46329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46330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46331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46332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46333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46334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46335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46336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46337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46338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46339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46340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46341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46342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46343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46344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46345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46346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46347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46348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46349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46350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46351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46352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46353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46354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46355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46356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3" t="inlineStr">
        <is>
          <t>MONTH TOTAL</t>
        </is>
      </c>
      <c r="B38" s="361">
        <f>SUM(B8:B37)</f>
        <v/>
      </c>
      <c r="C38" s="361">
        <f>SUM(C8:C37)</f>
        <v/>
      </c>
      <c r="D38" s="361">
        <f>SUM(D8:D37)</f>
        <v/>
      </c>
      <c r="E38" s="361">
        <f>SUM(E8:E37)</f>
        <v/>
      </c>
      <c r="F38" s="362" t="n"/>
      <c r="G38" s="362" t="n"/>
      <c r="H38" s="362" t="n"/>
      <c r="I38" s="362" t="n"/>
      <c r="J38" s="362" t="n"/>
    </row>
    <row r="39" ht="14.25" customHeight="1" s="166">
      <c r="A39" s="165" t="inlineStr">
        <is>
          <t>MONTH TOTAL</t>
        </is>
      </c>
      <c r="B39" s="165">
        <f>SUM(B8:B37)</f>
        <v/>
      </c>
      <c r="C39" s="165">
        <f>SUM(C8:C37)</f>
        <v/>
      </c>
      <c r="D39" s="165">
        <f>SUM(D8:D37)</f>
        <v/>
      </c>
      <c r="E39" s="165">
        <f>SUM(E8:E37)</f>
        <v/>
      </c>
    </row>
  </sheetData>
  <autoFilter ref="A7:J37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DECEMBER 2026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46357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46358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46359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46360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46361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46362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46363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46364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46365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46366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46367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46368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46369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46370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46371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46372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46373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46374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46375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46376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46377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46378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46379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46380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46381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46382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46383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46384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46385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46386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4" t="n">
        <v>46387</v>
      </c>
      <c r="B38" s="355">
        <f>SUMIF('Daily Consumption'!$B$6:$NB$6,$A38,'Daily Consumption'!$B$17:$NB$17)</f>
        <v/>
      </c>
      <c r="C38" s="355">
        <f>SUMIF('Daily Consumption'!$B$6:$NB$6,$A38,'Daily Consumption'!$B$32:$NB$32)</f>
        <v/>
      </c>
      <c r="D38" s="355">
        <f>SUMIF('Daily Consumption'!$B$6:$NB$6,$A38,'Daily Consumption'!$B$46:$NB$46)</f>
        <v/>
      </c>
      <c r="E38" s="355">
        <f>SUMIF('Daily Consumption'!$B$6:$NB$6,$A38,'Daily Consumption'!$B$106:$NB$106)</f>
        <v/>
      </c>
      <c r="F38" s="356" t="inlineStr">
        <is>
          <t>kWh</t>
        </is>
      </c>
      <c r="G38" s="356" t="inlineStr">
        <is>
          <t>m³</t>
        </is>
      </c>
      <c r="H38" s="356" t="inlineStr">
        <is>
          <t>L</t>
        </is>
      </c>
      <c r="I38" s="356" t="inlineStr">
        <is>
          <t>m³</t>
        </is>
      </c>
      <c r="J38" s="356" t="n"/>
    </row>
    <row r="39" ht="14.25" customHeight="1" s="166">
      <c r="A39" s="353" t="inlineStr">
        <is>
          <t>MONTH TOTAL</t>
        </is>
      </c>
      <c r="B39" s="361">
        <f>SUM(B8:B38)</f>
        <v/>
      </c>
      <c r="C39" s="361">
        <f>SUM(C8:C38)</f>
        <v/>
      </c>
      <c r="D39" s="361">
        <f>SUM(D8:D38)</f>
        <v/>
      </c>
      <c r="E39" s="361">
        <f>SUM(E8:E38)</f>
        <v/>
      </c>
      <c r="F39" s="362" t="n"/>
      <c r="G39" s="362" t="n"/>
      <c r="H39" s="362" t="n"/>
      <c r="I39" s="362" t="n"/>
      <c r="J39" s="362" t="n"/>
    </row>
  </sheetData>
  <autoFilter ref="A7:J38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JANUARY 2027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46388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46389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46390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46391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46392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46393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46394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46395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46396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46397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46398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46399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46400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46401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46402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46403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46404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46405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46406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46407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46408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46409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46410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46411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46412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46413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46414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46415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46416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46417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4" t="n">
        <v>46418</v>
      </c>
      <c r="B38" s="355">
        <f>SUMIF('Daily Consumption'!$B$6:$NB$6,$A38,'Daily Consumption'!$B$17:$NB$17)</f>
        <v/>
      </c>
      <c r="C38" s="355">
        <f>SUMIF('Daily Consumption'!$B$6:$NB$6,$A38,'Daily Consumption'!$B$32:$NB$32)</f>
        <v/>
      </c>
      <c r="D38" s="355">
        <f>SUMIF('Daily Consumption'!$B$6:$NB$6,$A38,'Daily Consumption'!$B$46:$NB$46)</f>
        <v/>
      </c>
      <c r="E38" s="355">
        <f>SUMIF('Daily Consumption'!$B$6:$NB$6,$A38,'Daily Consumption'!$B$106:$NB$106)</f>
        <v/>
      </c>
      <c r="F38" s="356" t="inlineStr">
        <is>
          <t>kWh</t>
        </is>
      </c>
      <c r="G38" s="356" t="inlineStr">
        <is>
          <t>m³</t>
        </is>
      </c>
      <c r="H38" s="356" t="inlineStr">
        <is>
          <t>L</t>
        </is>
      </c>
      <c r="I38" s="356" t="inlineStr">
        <is>
          <t>m³</t>
        </is>
      </c>
      <c r="J38" s="356" t="n"/>
    </row>
    <row r="39" ht="14.25" customHeight="1" s="166">
      <c r="A39" s="353" t="inlineStr">
        <is>
          <t>MONTH TOTAL</t>
        </is>
      </c>
      <c r="B39" s="361">
        <f>SUM(B8:B38)</f>
        <v/>
      </c>
      <c r="C39" s="361">
        <f>SUM(C8:C38)</f>
        <v/>
      </c>
      <c r="D39" s="361">
        <f>SUM(D8:D38)</f>
        <v/>
      </c>
      <c r="E39" s="361">
        <f>SUM(E8:E38)</f>
        <v/>
      </c>
      <c r="F39" s="362" t="n"/>
      <c r="G39" s="362" t="n"/>
      <c r="H39" s="362" t="n"/>
      <c r="I39" s="362" t="n"/>
      <c r="J39" s="362" t="n"/>
    </row>
  </sheetData>
  <autoFilter ref="A7:J38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FEBRUARY 2027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46419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46420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46421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46422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46423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46424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46425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46426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46427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46428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46429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46430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46431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46432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46433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46434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46435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46436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46437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46438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46439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46440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46441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46442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46443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46444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46445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46446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3" t="inlineStr">
        <is>
          <t>MONTH TOTAL</t>
        </is>
      </c>
      <c r="B36" s="361">
        <f>SUM(B8:B35)</f>
        <v/>
      </c>
      <c r="C36" s="361">
        <f>SUM(C8:C35)</f>
        <v/>
      </c>
      <c r="D36" s="361">
        <f>SUM(D8:D35)</f>
        <v/>
      </c>
      <c r="E36" s="361">
        <f>SUM(E8:E35)</f>
        <v/>
      </c>
      <c r="F36" s="362" t="n"/>
      <c r="G36" s="362" t="n"/>
      <c r="H36" s="362" t="n"/>
      <c r="I36" s="362" t="n"/>
      <c r="J36" s="362" t="n"/>
    </row>
    <row r="39" ht="14.25" customHeight="1" s="166">
      <c r="A39" s="165" t="inlineStr">
        <is>
          <t>MONTH TOTAL</t>
        </is>
      </c>
      <c r="B39" s="165">
        <f>SUM(B8:B35)</f>
        <v/>
      </c>
      <c r="C39" s="165">
        <f>SUM(C8:C35)</f>
        <v/>
      </c>
      <c r="D39" s="165">
        <f>SUM(D8:D35)</f>
        <v/>
      </c>
      <c r="E39" s="165">
        <f>SUM(E8:E35)</f>
        <v/>
      </c>
    </row>
  </sheetData>
  <autoFilter ref="A7:J35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MARCH 2027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46447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46448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46449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46450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46451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46452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46453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46454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46455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46456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46457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46458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46459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46460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46461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46462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46463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46464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46465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46466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46467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46468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46469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46470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46471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46472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46473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46474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46475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46476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4" t="n">
        <v>46477</v>
      </c>
      <c r="B38" s="355">
        <f>SUMIF('Daily Consumption'!$B$6:$NB$6,$A38,'Daily Consumption'!$B$17:$NB$17)</f>
        <v/>
      </c>
      <c r="C38" s="355">
        <f>SUMIF('Daily Consumption'!$B$6:$NB$6,$A38,'Daily Consumption'!$B$32:$NB$32)</f>
        <v/>
      </c>
      <c r="D38" s="355">
        <f>SUMIF('Daily Consumption'!$B$6:$NB$6,$A38,'Daily Consumption'!$B$46:$NB$46)</f>
        <v/>
      </c>
      <c r="E38" s="355">
        <f>SUMIF('Daily Consumption'!$B$6:$NB$6,$A38,'Daily Consumption'!$B$106:$NB$106)</f>
        <v/>
      </c>
      <c r="F38" s="356" t="inlineStr">
        <is>
          <t>kWh</t>
        </is>
      </c>
      <c r="G38" s="356" t="inlineStr">
        <is>
          <t>m³</t>
        </is>
      </c>
      <c r="H38" s="356" t="inlineStr">
        <is>
          <t>L</t>
        </is>
      </c>
      <c r="I38" s="356" t="inlineStr">
        <is>
          <t>m³</t>
        </is>
      </c>
      <c r="J38" s="356" t="n"/>
    </row>
    <row r="39" ht="14.25" customHeight="1" s="166">
      <c r="A39" s="353" t="inlineStr">
        <is>
          <t>MONTH TOTAL</t>
        </is>
      </c>
      <c r="B39" s="361">
        <f>SUM(B8:B38)</f>
        <v/>
      </c>
      <c r="C39" s="361">
        <f>SUM(C8:C38)</f>
        <v/>
      </c>
      <c r="D39" s="361">
        <f>SUM(D8:D38)</f>
        <v/>
      </c>
      <c r="E39" s="361">
        <f>SUM(E8:E38)</f>
        <v/>
      </c>
      <c r="F39" s="362" t="n"/>
      <c r="G39" s="362" t="n"/>
      <c r="H39" s="362" t="n"/>
      <c r="I39" s="362" t="n"/>
      <c r="J39" s="362" t="n"/>
    </row>
  </sheetData>
  <autoFilter ref="A7:J38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APRIL 2027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46478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46479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46480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46481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46482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46483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46484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46485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46486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46487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46488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46489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46490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46491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46492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46493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46494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46495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46496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46497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46498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46499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46500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46501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46502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46503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46504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46505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46506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46507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3" t="inlineStr">
        <is>
          <t>MONTH TOTAL</t>
        </is>
      </c>
      <c r="B38" s="361">
        <f>SUM(B8:B37)</f>
        <v/>
      </c>
      <c r="C38" s="361">
        <f>SUM(C8:C37)</f>
        <v/>
      </c>
      <c r="D38" s="361">
        <f>SUM(D8:D37)</f>
        <v/>
      </c>
      <c r="E38" s="361">
        <f>SUM(E8:E37)</f>
        <v/>
      </c>
      <c r="F38" s="362" t="n"/>
      <c r="G38" s="362" t="n"/>
      <c r="H38" s="362" t="n"/>
      <c r="I38" s="362" t="n"/>
      <c r="J38" s="362" t="n"/>
    </row>
    <row r="39" ht="14.25" customHeight="1" s="166">
      <c r="A39" s="165" t="inlineStr">
        <is>
          <t>MONTH TOTAL</t>
        </is>
      </c>
      <c r="B39" s="165">
        <f>SUM(B8:B37)</f>
        <v/>
      </c>
      <c r="C39" s="165">
        <f>SUM(C8:C37)</f>
        <v/>
      </c>
      <c r="D39" s="165">
        <f>SUM(D8:D37)</f>
        <v/>
      </c>
      <c r="E39" s="165">
        <f>SUM(E8:E37)</f>
        <v/>
      </c>
    </row>
  </sheetData>
  <autoFilter ref="A7:J37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MAY 2027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46508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46509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46510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46511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46512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46513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46514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46515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46516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46517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46518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46519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46520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46521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46522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46523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46524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46525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46526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46527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46528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46529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46530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46531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46532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46533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46534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46535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46536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46537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4" t="n">
        <v>46538</v>
      </c>
      <c r="B38" s="355">
        <f>SUMIF('Daily Consumption'!$B$6:$NB$6,$A38,'Daily Consumption'!$B$17:$NB$17)</f>
        <v/>
      </c>
      <c r="C38" s="355">
        <f>SUMIF('Daily Consumption'!$B$6:$NB$6,$A38,'Daily Consumption'!$B$32:$NB$32)</f>
        <v/>
      </c>
      <c r="D38" s="355">
        <f>SUMIF('Daily Consumption'!$B$6:$NB$6,$A38,'Daily Consumption'!$B$46:$NB$46)</f>
        <v/>
      </c>
      <c r="E38" s="355">
        <f>SUMIF('Daily Consumption'!$B$6:$NB$6,$A38,'Daily Consumption'!$B$106:$NB$106)</f>
        <v/>
      </c>
      <c r="F38" s="356" t="inlineStr">
        <is>
          <t>kWh</t>
        </is>
      </c>
      <c r="G38" s="356" t="inlineStr">
        <is>
          <t>m³</t>
        </is>
      </c>
      <c r="H38" s="356" t="inlineStr">
        <is>
          <t>L</t>
        </is>
      </c>
      <c r="I38" s="356" t="inlineStr">
        <is>
          <t>m³</t>
        </is>
      </c>
      <c r="J38" s="356" t="n"/>
    </row>
    <row r="39" ht="14.25" customHeight="1" s="166">
      <c r="A39" s="353" t="inlineStr">
        <is>
          <t>MONTH TOTAL</t>
        </is>
      </c>
      <c r="B39" s="361">
        <f>SUM(B8:B38)</f>
        <v/>
      </c>
      <c r="C39" s="361">
        <f>SUM(C8:C38)</f>
        <v/>
      </c>
      <c r="D39" s="361">
        <f>SUM(D8:D38)</f>
        <v/>
      </c>
      <c r="E39" s="361">
        <f>SUM(E8:E38)</f>
        <v/>
      </c>
      <c r="F39" s="362" t="n"/>
      <c r="G39" s="362" t="n"/>
      <c r="H39" s="362" t="n"/>
      <c r="I39" s="362" t="n"/>
      <c r="J39" s="362" t="n"/>
    </row>
  </sheetData>
  <autoFilter ref="A7:J38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JUNE 2027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46539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46540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46541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46542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46543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46544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46545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46546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46547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46548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46549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46550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46551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46552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46553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46554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46555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46556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46557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46558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46559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46560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46561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46562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46563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46564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46565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46566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46567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46568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3" t="inlineStr">
        <is>
          <t>MONTH TOTAL</t>
        </is>
      </c>
      <c r="B38" s="361">
        <f>SUM(B8:B37)</f>
        <v/>
      </c>
      <c r="C38" s="361">
        <f>SUM(C8:C37)</f>
        <v/>
      </c>
      <c r="D38" s="361">
        <f>SUM(D8:D37)</f>
        <v/>
      </c>
      <c r="E38" s="361">
        <f>SUM(E8:E37)</f>
        <v/>
      </c>
      <c r="F38" s="362" t="n"/>
      <c r="G38" s="362" t="n"/>
      <c r="H38" s="362" t="n"/>
      <c r="I38" s="362" t="n"/>
      <c r="J38" s="362" t="n"/>
    </row>
    <row r="39" ht="14.25" customHeight="1" s="166">
      <c r="A39" s="165" t="inlineStr">
        <is>
          <t>MONTH TOTAL</t>
        </is>
      </c>
      <c r="B39" s="165">
        <f>SUM(B8:B37)</f>
        <v/>
      </c>
      <c r="C39" s="165">
        <f>SUM(C8:C37)</f>
        <v/>
      </c>
      <c r="D39" s="165">
        <f>SUM(D8:D37)</f>
        <v/>
      </c>
      <c r="E39" s="165">
        <f>SUM(E8:E37)</f>
        <v/>
      </c>
    </row>
  </sheetData>
  <autoFilter ref="A7:J37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JULY 2027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46569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46570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46571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46572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46573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46574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46575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46576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46577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46578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46579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46580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46581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46582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46583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46584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46585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46586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46587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46588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46589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46590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46591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46592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46593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46594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46595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46596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46597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46598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4" t="n">
        <v>46599</v>
      </c>
      <c r="B38" s="355">
        <f>SUMIF('Daily Consumption'!$B$6:$NB$6,$A38,'Daily Consumption'!$B$17:$NB$17)</f>
        <v/>
      </c>
      <c r="C38" s="355">
        <f>SUMIF('Daily Consumption'!$B$6:$NB$6,$A38,'Daily Consumption'!$B$32:$NB$32)</f>
        <v/>
      </c>
      <c r="D38" s="355">
        <f>SUMIF('Daily Consumption'!$B$6:$NB$6,$A38,'Daily Consumption'!$B$46:$NB$46)</f>
        <v/>
      </c>
      <c r="E38" s="355">
        <f>SUMIF('Daily Consumption'!$B$6:$NB$6,$A38,'Daily Consumption'!$B$106:$NB$106)</f>
        <v/>
      </c>
      <c r="F38" s="356" t="inlineStr">
        <is>
          <t>kWh</t>
        </is>
      </c>
      <c r="G38" s="356" t="inlineStr">
        <is>
          <t>m³</t>
        </is>
      </c>
      <c r="H38" s="356" t="inlineStr">
        <is>
          <t>L</t>
        </is>
      </c>
      <c r="I38" s="356" t="inlineStr">
        <is>
          <t>m³</t>
        </is>
      </c>
      <c r="J38" s="356" t="n"/>
    </row>
    <row r="39" ht="14.25" customHeight="1" s="166">
      <c r="A39" s="353" t="inlineStr">
        <is>
          <t>MONTH TOTAL</t>
        </is>
      </c>
      <c r="B39" s="361">
        <f>SUM(B8:B38)</f>
        <v/>
      </c>
      <c r="C39" s="361">
        <f>SUM(C8:C38)</f>
        <v/>
      </c>
      <c r="D39" s="361">
        <f>SUM(D8:D38)</f>
        <v/>
      </c>
      <c r="E39" s="361">
        <f>SUM(E8:E38)</f>
        <v/>
      </c>
      <c r="F39" s="362" t="n"/>
      <c r="G39" s="362" t="n"/>
      <c r="H39" s="362" t="n"/>
      <c r="I39" s="362" t="n"/>
      <c r="J39" s="362" t="n"/>
    </row>
  </sheetData>
  <autoFilter ref="A7:J38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AUGUST 2027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46600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46601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46602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46603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46604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46605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46606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46607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46608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46609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46610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46611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46612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46613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46614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46615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46616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46617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46618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46619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46620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46621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46622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46623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46624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46625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46626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46627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46628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46629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4" t="n">
        <v>46630</v>
      </c>
      <c r="B38" s="355">
        <f>SUMIF('Daily Consumption'!$B$6:$NB$6,$A38,'Daily Consumption'!$B$17:$NB$17)</f>
        <v/>
      </c>
      <c r="C38" s="355">
        <f>SUMIF('Daily Consumption'!$B$6:$NB$6,$A38,'Daily Consumption'!$B$32:$NB$32)</f>
        <v/>
      </c>
      <c r="D38" s="355">
        <f>SUMIF('Daily Consumption'!$B$6:$NB$6,$A38,'Daily Consumption'!$B$46:$NB$46)</f>
        <v/>
      </c>
      <c r="E38" s="355">
        <f>SUMIF('Daily Consumption'!$B$6:$NB$6,$A38,'Daily Consumption'!$B$106:$NB$106)</f>
        <v/>
      </c>
      <c r="F38" s="356" t="inlineStr">
        <is>
          <t>kWh</t>
        </is>
      </c>
      <c r="G38" s="356" t="inlineStr">
        <is>
          <t>m³</t>
        </is>
      </c>
      <c r="H38" s="356" t="inlineStr">
        <is>
          <t>L</t>
        </is>
      </c>
      <c r="I38" s="356" t="inlineStr">
        <is>
          <t>m³</t>
        </is>
      </c>
      <c r="J38" s="356" t="n"/>
    </row>
    <row r="39" ht="14.25" customHeight="1" s="166">
      <c r="A39" s="353" t="inlineStr">
        <is>
          <t>MONTH TOTAL</t>
        </is>
      </c>
      <c r="B39" s="361">
        <f>SUM(B8:B38)</f>
        <v/>
      </c>
      <c r="C39" s="361">
        <f>SUM(C8:C38)</f>
        <v/>
      </c>
      <c r="D39" s="361">
        <f>SUM(D8:D38)</f>
        <v/>
      </c>
      <c r="E39" s="361">
        <f>SUM(E8:E38)</f>
        <v/>
      </c>
      <c r="F39" s="362" t="n"/>
      <c r="G39" s="362" t="n"/>
      <c r="H39" s="362" t="n"/>
      <c r="I39" s="362" t="n"/>
      <c r="J39" s="362" t="n"/>
    </row>
  </sheetData>
  <autoFilter ref="A7:J38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7F9E9A"/>
    <outlinePr summaryBelow="1" summaryRight="1"/>
    <pageSetUpPr fitToPage="0"/>
  </sheetPr>
  <dimension ref="A1:P3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customHeight="1" zeroHeight="0" outlineLevelRow="0"/>
  <cols>
    <col width="16" customWidth="1" style="165" min="1" max="1"/>
    <col width="21" customWidth="1" style="165" min="2" max="3"/>
    <col width="18" customWidth="1" style="165" min="4" max="4"/>
    <col width="27" customWidth="1" style="165" min="5" max="5"/>
    <col width="12" customWidth="1" style="165" min="6" max="8"/>
    <col width="21" customWidth="1" style="165" min="9" max="9"/>
    <col width="30" customWidth="1" style="165" min="10" max="10"/>
    <col width="13" customWidth="1" style="165" min="11" max="16"/>
  </cols>
  <sheetData>
    <row r="1" ht="14.25" customHeight="1" s="166">
      <c r="A1" s="347" t="inlineStr">
        <is>
          <t>SEPTEMBER 2027 — DAILY CONSUMPTION</t>
        </is>
      </c>
      <c r="B1" s="200" t="n"/>
      <c r="C1" s="200" t="n"/>
      <c r="D1" s="200" t="n"/>
      <c r="E1" s="200" t="n"/>
      <c r="F1" s="200" t="n"/>
      <c r="G1" s="200" t="n"/>
      <c r="H1" s="200" t="n"/>
      <c r="I1" s="200" t="n"/>
      <c r="J1" s="348" t="n"/>
    </row>
    <row r="2" ht="14.25" customHeight="1" s="166">
      <c r="A2" s="349" t="n"/>
      <c r="B2" s="172" t="n"/>
      <c r="C2" s="172" t="n"/>
      <c r="D2" s="172" t="n"/>
      <c r="E2" s="172" t="n"/>
      <c r="F2" s="172" t="n"/>
      <c r="G2" s="172" t="n"/>
      <c r="H2" s="172" t="n"/>
      <c r="I2" s="172" t="n"/>
      <c r="J2" s="350" t="n"/>
    </row>
    <row r="3" ht="14.25" customHeight="1" s="166">
      <c r="A3" s="351" t="inlineStr">
        <is>
          <t>Annual reporting cycle: 01 October 2026 → 30 September 2027</t>
        </is>
      </c>
    </row>
    <row r="5" ht="11.25" customHeight="1" s="166">
      <c r="A5" s="352" t="inlineStr">
        <is>
          <t>Menu</t>
        </is>
      </c>
      <c r="B5" s="352" t="inlineStr">
        <is>
          <t>Dashboard</t>
        </is>
      </c>
      <c r="C5" s="352" t="inlineStr">
        <is>
          <t>Consumption</t>
        </is>
      </c>
      <c r="D5" s="352" t="inlineStr">
        <is>
          <t>LPG</t>
        </is>
      </c>
      <c r="E5" s="352" t="inlineStr">
        <is>
          <t>Oct 2026</t>
        </is>
      </c>
      <c r="F5" s="352" t="inlineStr">
        <is>
          <t>Nov 2026</t>
        </is>
      </c>
      <c r="G5" s="352" t="inlineStr">
        <is>
          <t>Dec 2026</t>
        </is>
      </c>
      <c r="H5" s="352" t="inlineStr">
        <is>
          <t>Jan 2027</t>
        </is>
      </c>
      <c r="I5" s="352" t="inlineStr">
        <is>
          <t>Feb 2027</t>
        </is>
      </c>
      <c r="J5" s="352" t="inlineStr">
        <is>
          <t>Mar 2027</t>
        </is>
      </c>
      <c r="K5" s="352" t="inlineStr">
        <is>
          <t>Apr 2027</t>
        </is>
      </c>
      <c r="L5" s="352" t="inlineStr">
        <is>
          <t>May 2027</t>
        </is>
      </c>
      <c r="M5" s="352" t="inlineStr">
        <is>
          <t>Jun 2027</t>
        </is>
      </c>
      <c r="N5" s="352" t="inlineStr">
        <is>
          <t>Jul 2027</t>
        </is>
      </c>
      <c r="O5" s="352" t="inlineStr">
        <is>
          <t>Aug 2027</t>
        </is>
      </c>
      <c r="P5" s="352" t="inlineStr">
        <is>
          <t>Sep 2027</t>
        </is>
      </c>
    </row>
    <row r="7" ht="14.25" customHeight="1" s="166">
      <c r="A7" s="353" t="inlineStr">
        <is>
          <t>Date</t>
        </is>
      </c>
      <c r="B7" s="353" t="inlineStr">
        <is>
          <t>Energy Consumption</t>
        </is>
      </c>
      <c r="C7" s="353" t="inlineStr">
        <is>
          <t>Water Consumption</t>
        </is>
      </c>
      <c r="D7" s="353" t="inlineStr">
        <is>
          <t>Gas Consumption</t>
        </is>
      </c>
      <c r="E7" s="353" t="inlineStr">
        <is>
          <t>Chilled Water Consumption</t>
        </is>
      </c>
      <c r="F7" s="353" t="inlineStr">
        <is>
          <t>Energy Unit</t>
        </is>
      </c>
      <c r="G7" s="353" t="inlineStr">
        <is>
          <t>Water Unit</t>
        </is>
      </c>
      <c r="H7" s="353" t="inlineStr">
        <is>
          <t>Gas Unit</t>
        </is>
      </c>
      <c r="I7" s="353" t="inlineStr">
        <is>
          <t>Chilled Water Unit</t>
        </is>
      </c>
      <c r="J7" s="353" t="inlineStr">
        <is>
          <t>Notes</t>
        </is>
      </c>
    </row>
    <row r="8" ht="14.25" customHeight="1" s="166">
      <c r="A8" s="354" t="n">
        <v>46631</v>
      </c>
      <c r="B8" s="355">
        <f>SUMIF('Daily Consumption'!$B$6:$NB$6,$A8,'Daily Consumption'!$B$17:$NB$17)</f>
        <v/>
      </c>
      <c r="C8" s="355">
        <f>SUMIF('Daily Consumption'!$B$6:$NB$6,$A8,'Daily Consumption'!$B$32:$NB$32)</f>
        <v/>
      </c>
      <c r="D8" s="355">
        <f>SUMIF('Daily Consumption'!$B$6:$NB$6,$A8,'Daily Consumption'!$B$46:$NB$46)</f>
        <v/>
      </c>
      <c r="E8" s="355">
        <f>SUMIF('Daily Consumption'!$B$6:$NB$6,$A8,'Daily Consumption'!$B$106:$NB$106)</f>
        <v/>
      </c>
      <c r="F8" s="356" t="inlineStr">
        <is>
          <t>kWh</t>
        </is>
      </c>
      <c r="G8" s="356" t="inlineStr">
        <is>
          <t>m³</t>
        </is>
      </c>
      <c r="H8" s="356" t="inlineStr">
        <is>
          <t>L</t>
        </is>
      </c>
      <c r="I8" s="356" t="inlineStr">
        <is>
          <t>m³</t>
        </is>
      </c>
      <c r="J8" s="356" t="n"/>
    </row>
    <row r="9" ht="14.25" customHeight="1" s="166">
      <c r="A9" s="357" t="n">
        <v>46632</v>
      </c>
      <c r="B9" s="358">
        <f>SUMIF('Daily Consumption'!$B$6:$NB$6,$A9,'Daily Consumption'!$B$17:$NB$17)</f>
        <v/>
      </c>
      <c r="C9" s="358">
        <f>SUMIF('Daily Consumption'!$B$6:$NB$6,$A9,'Daily Consumption'!$B$32:$NB$32)</f>
        <v/>
      </c>
      <c r="D9" s="358">
        <f>SUMIF('Daily Consumption'!$B$6:$NB$6,$A9,'Daily Consumption'!$B$46:$NB$46)</f>
        <v/>
      </c>
      <c r="E9" s="358">
        <f>SUMIF('Daily Consumption'!$B$6:$NB$6,$A9,'Daily Consumption'!$B$106:$NB$106)</f>
        <v/>
      </c>
      <c r="F9" s="359" t="inlineStr">
        <is>
          <t>kWh</t>
        </is>
      </c>
      <c r="G9" s="359" t="inlineStr">
        <is>
          <t>m³</t>
        </is>
      </c>
      <c r="H9" s="359" t="inlineStr">
        <is>
          <t>L</t>
        </is>
      </c>
      <c r="I9" s="359" t="inlineStr">
        <is>
          <t>m³</t>
        </is>
      </c>
      <c r="J9" s="360" t="n"/>
    </row>
    <row r="10" ht="14.25" customHeight="1" s="166">
      <c r="A10" s="354" t="n">
        <v>46633</v>
      </c>
      <c r="B10" s="355">
        <f>SUMIF('Daily Consumption'!$B$6:$NB$6,$A10,'Daily Consumption'!$B$17:$NB$17)</f>
        <v/>
      </c>
      <c r="C10" s="355">
        <f>SUMIF('Daily Consumption'!$B$6:$NB$6,$A10,'Daily Consumption'!$B$32:$NB$32)</f>
        <v/>
      </c>
      <c r="D10" s="355">
        <f>SUMIF('Daily Consumption'!$B$6:$NB$6,$A10,'Daily Consumption'!$B$46:$NB$46)</f>
        <v/>
      </c>
      <c r="E10" s="355">
        <f>SUMIF('Daily Consumption'!$B$6:$NB$6,$A10,'Daily Consumption'!$B$106:$NB$106)</f>
        <v/>
      </c>
      <c r="F10" s="356" t="inlineStr">
        <is>
          <t>kWh</t>
        </is>
      </c>
      <c r="G10" s="356" t="inlineStr">
        <is>
          <t>m³</t>
        </is>
      </c>
      <c r="H10" s="356" t="inlineStr">
        <is>
          <t>L</t>
        </is>
      </c>
      <c r="I10" s="356" t="inlineStr">
        <is>
          <t>m³</t>
        </is>
      </c>
      <c r="J10" s="356" t="n"/>
    </row>
    <row r="11" ht="14.25" customHeight="1" s="166">
      <c r="A11" s="357" t="n">
        <v>46634</v>
      </c>
      <c r="B11" s="358">
        <f>SUMIF('Daily Consumption'!$B$6:$NB$6,$A11,'Daily Consumption'!$B$17:$NB$17)</f>
        <v/>
      </c>
      <c r="C11" s="358">
        <f>SUMIF('Daily Consumption'!$B$6:$NB$6,$A11,'Daily Consumption'!$B$32:$NB$32)</f>
        <v/>
      </c>
      <c r="D11" s="358">
        <f>SUMIF('Daily Consumption'!$B$6:$NB$6,$A11,'Daily Consumption'!$B$46:$NB$46)</f>
        <v/>
      </c>
      <c r="E11" s="358">
        <f>SUMIF('Daily Consumption'!$B$6:$NB$6,$A11,'Daily Consumption'!$B$106:$NB$106)</f>
        <v/>
      </c>
      <c r="F11" s="359" t="inlineStr">
        <is>
          <t>kWh</t>
        </is>
      </c>
      <c r="G11" s="359" t="inlineStr">
        <is>
          <t>m³</t>
        </is>
      </c>
      <c r="H11" s="359" t="inlineStr">
        <is>
          <t>L</t>
        </is>
      </c>
      <c r="I11" s="359" t="inlineStr">
        <is>
          <t>m³</t>
        </is>
      </c>
      <c r="J11" s="360" t="n"/>
    </row>
    <row r="12" ht="14.25" customHeight="1" s="166">
      <c r="A12" s="354" t="n">
        <v>46635</v>
      </c>
      <c r="B12" s="355">
        <f>SUMIF('Daily Consumption'!$B$6:$NB$6,$A12,'Daily Consumption'!$B$17:$NB$17)</f>
        <v/>
      </c>
      <c r="C12" s="355">
        <f>SUMIF('Daily Consumption'!$B$6:$NB$6,$A12,'Daily Consumption'!$B$32:$NB$32)</f>
        <v/>
      </c>
      <c r="D12" s="355">
        <f>SUMIF('Daily Consumption'!$B$6:$NB$6,$A12,'Daily Consumption'!$B$46:$NB$46)</f>
        <v/>
      </c>
      <c r="E12" s="355">
        <f>SUMIF('Daily Consumption'!$B$6:$NB$6,$A12,'Daily Consumption'!$B$106:$NB$106)</f>
        <v/>
      </c>
      <c r="F12" s="356" t="inlineStr">
        <is>
          <t>kWh</t>
        </is>
      </c>
      <c r="G12" s="356" t="inlineStr">
        <is>
          <t>m³</t>
        </is>
      </c>
      <c r="H12" s="356" t="inlineStr">
        <is>
          <t>L</t>
        </is>
      </c>
      <c r="I12" s="356" t="inlineStr">
        <is>
          <t>m³</t>
        </is>
      </c>
      <c r="J12" s="356" t="n"/>
    </row>
    <row r="13" ht="14.25" customHeight="1" s="166">
      <c r="A13" s="357" t="n">
        <v>46636</v>
      </c>
      <c r="B13" s="358">
        <f>SUMIF('Daily Consumption'!$B$6:$NB$6,$A13,'Daily Consumption'!$B$17:$NB$17)</f>
        <v/>
      </c>
      <c r="C13" s="358">
        <f>SUMIF('Daily Consumption'!$B$6:$NB$6,$A13,'Daily Consumption'!$B$32:$NB$32)</f>
        <v/>
      </c>
      <c r="D13" s="358">
        <f>SUMIF('Daily Consumption'!$B$6:$NB$6,$A13,'Daily Consumption'!$B$46:$NB$46)</f>
        <v/>
      </c>
      <c r="E13" s="358">
        <f>SUMIF('Daily Consumption'!$B$6:$NB$6,$A13,'Daily Consumption'!$B$106:$NB$106)</f>
        <v/>
      </c>
      <c r="F13" s="359" t="inlineStr">
        <is>
          <t>kWh</t>
        </is>
      </c>
      <c r="G13" s="359" t="inlineStr">
        <is>
          <t>m³</t>
        </is>
      </c>
      <c r="H13" s="359" t="inlineStr">
        <is>
          <t>L</t>
        </is>
      </c>
      <c r="I13" s="359" t="inlineStr">
        <is>
          <t>m³</t>
        </is>
      </c>
      <c r="J13" s="360" t="n"/>
    </row>
    <row r="14" ht="14.25" customHeight="1" s="166">
      <c r="A14" s="354" t="n">
        <v>46637</v>
      </c>
      <c r="B14" s="355">
        <f>SUMIF('Daily Consumption'!$B$6:$NB$6,$A14,'Daily Consumption'!$B$17:$NB$17)</f>
        <v/>
      </c>
      <c r="C14" s="355">
        <f>SUMIF('Daily Consumption'!$B$6:$NB$6,$A14,'Daily Consumption'!$B$32:$NB$32)</f>
        <v/>
      </c>
      <c r="D14" s="355">
        <f>SUMIF('Daily Consumption'!$B$6:$NB$6,$A14,'Daily Consumption'!$B$46:$NB$46)</f>
        <v/>
      </c>
      <c r="E14" s="355">
        <f>SUMIF('Daily Consumption'!$B$6:$NB$6,$A14,'Daily Consumption'!$B$106:$NB$106)</f>
        <v/>
      </c>
      <c r="F14" s="356" t="inlineStr">
        <is>
          <t>kWh</t>
        </is>
      </c>
      <c r="G14" s="356" t="inlineStr">
        <is>
          <t>m³</t>
        </is>
      </c>
      <c r="H14" s="356" t="inlineStr">
        <is>
          <t>L</t>
        </is>
      </c>
      <c r="I14" s="356" t="inlineStr">
        <is>
          <t>m³</t>
        </is>
      </c>
      <c r="J14" s="356" t="n"/>
    </row>
    <row r="15" ht="14.25" customHeight="1" s="166">
      <c r="A15" s="357" t="n">
        <v>46638</v>
      </c>
      <c r="B15" s="358">
        <f>SUMIF('Daily Consumption'!$B$6:$NB$6,$A15,'Daily Consumption'!$B$17:$NB$17)</f>
        <v/>
      </c>
      <c r="C15" s="358">
        <f>SUMIF('Daily Consumption'!$B$6:$NB$6,$A15,'Daily Consumption'!$B$32:$NB$32)</f>
        <v/>
      </c>
      <c r="D15" s="358">
        <f>SUMIF('Daily Consumption'!$B$6:$NB$6,$A15,'Daily Consumption'!$B$46:$NB$46)</f>
        <v/>
      </c>
      <c r="E15" s="358">
        <f>SUMIF('Daily Consumption'!$B$6:$NB$6,$A15,'Daily Consumption'!$B$106:$NB$106)</f>
        <v/>
      </c>
      <c r="F15" s="359" t="inlineStr">
        <is>
          <t>kWh</t>
        </is>
      </c>
      <c r="G15" s="359" t="inlineStr">
        <is>
          <t>m³</t>
        </is>
      </c>
      <c r="H15" s="359" t="inlineStr">
        <is>
          <t>L</t>
        </is>
      </c>
      <c r="I15" s="359" t="inlineStr">
        <is>
          <t>m³</t>
        </is>
      </c>
      <c r="J15" s="360" t="n"/>
    </row>
    <row r="16" ht="14.25" customHeight="1" s="166">
      <c r="A16" s="354" t="n">
        <v>46639</v>
      </c>
      <c r="B16" s="355">
        <f>SUMIF('Daily Consumption'!$B$6:$NB$6,$A16,'Daily Consumption'!$B$17:$NB$17)</f>
        <v/>
      </c>
      <c r="C16" s="355">
        <f>SUMIF('Daily Consumption'!$B$6:$NB$6,$A16,'Daily Consumption'!$B$32:$NB$32)</f>
        <v/>
      </c>
      <c r="D16" s="355">
        <f>SUMIF('Daily Consumption'!$B$6:$NB$6,$A16,'Daily Consumption'!$B$46:$NB$46)</f>
        <v/>
      </c>
      <c r="E16" s="355">
        <f>SUMIF('Daily Consumption'!$B$6:$NB$6,$A16,'Daily Consumption'!$B$106:$NB$106)</f>
        <v/>
      </c>
      <c r="F16" s="356" t="inlineStr">
        <is>
          <t>kWh</t>
        </is>
      </c>
      <c r="G16" s="356" t="inlineStr">
        <is>
          <t>m³</t>
        </is>
      </c>
      <c r="H16" s="356" t="inlineStr">
        <is>
          <t>L</t>
        </is>
      </c>
      <c r="I16" s="356" t="inlineStr">
        <is>
          <t>m³</t>
        </is>
      </c>
      <c r="J16" s="356" t="n"/>
    </row>
    <row r="17" ht="14.25" customHeight="1" s="166">
      <c r="A17" s="357" t="n">
        <v>46640</v>
      </c>
      <c r="B17" s="358">
        <f>SUMIF('Daily Consumption'!$B$6:$NB$6,$A17,'Daily Consumption'!$B$17:$NB$17)</f>
        <v/>
      </c>
      <c r="C17" s="358">
        <f>SUMIF('Daily Consumption'!$B$6:$NB$6,$A17,'Daily Consumption'!$B$32:$NB$32)</f>
        <v/>
      </c>
      <c r="D17" s="358">
        <f>SUMIF('Daily Consumption'!$B$6:$NB$6,$A17,'Daily Consumption'!$B$46:$NB$46)</f>
        <v/>
      </c>
      <c r="E17" s="358">
        <f>SUMIF('Daily Consumption'!$B$6:$NB$6,$A17,'Daily Consumption'!$B$106:$NB$106)</f>
        <v/>
      </c>
      <c r="F17" s="359" t="inlineStr">
        <is>
          <t>kWh</t>
        </is>
      </c>
      <c r="G17" s="359" t="inlineStr">
        <is>
          <t>m³</t>
        </is>
      </c>
      <c r="H17" s="359" t="inlineStr">
        <is>
          <t>L</t>
        </is>
      </c>
      <c r="I17" s="359" t="inlineStr">
        <is>
          <t>m³</t>
        </is>
      </c>
      <c r="J17" s="360" t="n"/>
    </row>
    <row r="18" ht="14.25" customHeight="1" s="166">
      <c r="A18" s="354" t="n">
        <v>46641</v>
      </c>
      <c r="B18" s="355">
        <f>SUMIF('Daily Consumption'!$B$6:$NB$6,$A18,'Daily Consumption'!$B$17:$NB$17)</f>
        <v/>
      </c>
      <c r="C18" s="355">
        <f>SUMIF('Daily Consumption'!$B$6:$NB$6,$A18,'Daily Consumption'!$B$32:$NB$32)</f>
        <v/>
      </c>
      <c r="D18" s="355">
        <f>SUMIF('Daily Consumption'!$B$6:$NB$6,$A18,'Daily Consumption'!$B$46:$NB$46)</f>
        <v/>
      </c>
      <c r="E18" s="355">
        <f>SUMIF('Daily Consumption'!$B$6:$NB$6,$A18,'Daily Consumption'!$B$106:$NB$106)</f>
        <v/>
      </c>
      <c r="F18" s="356" t="inlineStr">
        <is>
          <t>kWh</t>
        </is>
      </c>
      <c r="G18" s="356" t="inlineStr">
        <is>
          <t>m³</t>
        </is>
      </c>
      <c r="H18" s="356" t="inlineStr">
        <is>
          <t>L</t>
        </is>
      </c>
      <c r="I18" s="356" t="inlineStr">
        <is>
          <t>m³</t>
        </is>
      </c>
      <c r="J18" s="356" t="n"/>
    </row>
    <row r="19" ht="14.25" customHeight="1" s="166">
      <c r="A19" s="357" t="n">
        <v>46642</v>
      </c>
      <c r="B19" s="358">
        <f>SUMIF('Daily Consumption'!$B$6:$NB$6,$A19,'Daily Consumption'!$B$17:$NB$17)</f>
        <v/>
      </c>
      <c r="C19" s="358">
        <f>SUMIF('Daily Consumption'!$B$6:$NB$6,$A19,'Daily Consumption'!$B$32:$NB$32)</f>
        <v/>
      </c>
      <c r="D19" s="358">
        <f>SUMIF('Daily Consumption'!$B$6:$NB$6,$A19,'Daily Consumption'!$B$46:$NB$46)</f>
        <v/>
      </c>
      <c r="E19" s="358">
        <f>SUMIF('Daily Consumption'!$B$6:$NB$6,$A19,'Daily Consumption'!$B$106:$NB$106)</f>
        <v/>
      </c>
      <c r="F19" s="359" t="inlineStr">
        <is>
          <t>kWh</t>
        </is>
      </c>
      <c r="G19" s="359" t="inlineStr">
        <is>
          <t>m³</t>
        </is>
      </c>
      <c r="H19" s="359" t="inlineStr">
        <is>
          <t>L</t>
        </is>
      </c>
      <c r="I19" s="359" t="inlineStr">
        <is>
          <t>m³</t>
        </is>
      </c>
      <c r="J19" s="360" t="n"/>
    </row>
    <row r="20" ht="14.25" customHeight="1" s="166">
      <c r="A20" s="354" t="n">
        <v>46643</v>
      </c>
      <c r="B20" s="355">
        <f>SUMIF('Daily Consumption'!$B$6:$NB$6,$A20,'Daily Consumption'!$B$17:$NB$17)</f>
        <v/>
      </c>
      <c r="C20" s="355">
        <f>SUMIF('Daily Consumption'!$B$6:$NB$6,$A20,'Daily Consumption'!$B$32:$NB$32)</f>
        <v/>
      </c>
      <c r="D20" s="355">
        <f>SUMIF('Daily Consumption'!$B$6:$NB$6,$A20,'Daily Consumption'!$B$46:$NB$46)</f>
        <v/>
      </c>
      <c r="E20" s="355">
        <f>SUMIF('Daily Consumption'!$B$6:$NB$6,$A20,'Daily Consumption'!$B$106:$NB$106)</f>
        <v/>
      </c>
      <c r="F20" s="356" t="inlineStr">
        <is>
          <t>kWh</t>
        </is>
      </c>
      <c r="G20" s="356" t="inlineStr">
        <is>
          <t>m³</t>
        </is>
      </c>
      <c r="H20" s="356" t="inlineStr">
        <is>
          <t>L</t>
        </is>
      </c>
      <c r="I20" s="356" t="inlineStr">
        <is>
          <t>m³</t>
        </is>
      </c>
      <c r="J20" s="356" t="n"/>
    </row>
    <row r="21" ht="14.25" customHeight="1" s="166">
      <c r="A21" s="357" t="n">
        <v>46644</v>
      </c>
      <c r="B21" s="358">
        <f>SUMIF('Daily Consumption'!$B$6:$NB$6,$A21,'Daily Consumption'!$B$17:$NB$17)</f>
        <v/>
      </c>
      <c r="C21" s="358">
        <f>SUMIF('Daily Consumption'!$B$6:$NB$6,$A21,'Daily Consumption'!$B$32:$NB$32)</f>
        <v/>
      </c>
      <c r="D21" s="358">
        <f>SUMIF('Daily Consumption'!$B$6:$NB$6,$A21,'Daily Consumption'!$B$46:$NB$46)</f>
        <v/>
      </c>
      <c r="E21" s="358">
        <f>SUMIF('Daily Consumption'!$B$6:$NB$6,$A21,'Daily Consumption'!$B$106:$NB$106)</f>
        <v/>
      </c>
      <c r="F21" s="359" t="inlineStr">
        <is>
          <t>kWh</t>
        </is>
      </c>
      <c r="G21" s="359" t="inlineStr">
        <is>
          <t>m³</t>
        </is>
      </c>
      <c r="H21" s="359" t="inlineStr">
        <is>
          <t>L</t>
        </is>
      </c>
      <c r="I21" s="359" t="inlineStr">
        <is>
          <t>m³</t>
        </is>
      </c>
      <c r="J21" s="360" t="n"/>
    </row>
    <row r="22" ht="14.25" customHeight="1" s="166">
      <c r="A22" s="354" t="n">
        <v>46645</v>
      </c>
      <c r="B22" s="355">
        <f>SUMIF('Daily Consumption'!$B$6:$NB$6,$A22,'Daily Consumption'!$B$17:$NB$17)</f>
        <v/>
      </c>
      <c r="C22" s="355">
        <f>SUMIF('Daily Consumption'!$B$6:$NB$6,$A22,'Daily Consumption'!$B$32:$NB$32)</f>
        <v/>
      </c>
      <c r="D22" s="355">
        <f>SUMIF('Daily Consumption'!$B$6:$NB$6,$A22,'Daily Consumption'!$B$46:$NB$46)</f>
        <v/>
      </c>
      <c r="E22" s="355">
        <f>SUMIF('Daily Consumption'!$B$6:$NB$6,$A22,'Daily Consumption'!$B$106:$NB$106)</f>
        <v/>
      </c>
      <c r="F22" s="356" t="inlineStr">
        <is>
          <t>kWh</t>
        </is>
      </c>
      <c r="G22" s="356" t="inlineStr">
        <is>
          <t>m³</t>
        </is>
      </c>
      <c r="H22" s="356" t="inlineStr">
        <is>
          <t>L</t>
        </is>
      </c>
      <c r="I22" s="356" t="inlineStr">
        <is>
          <t>m³</t>
        </is>
      </c>
      <c r="J22" s="356" t="n"/>
    </row>
    <row r="23" ht="14.25" customHeight="1" s="166">
      <c r="A23" s="357" t="n">
        <v>46646</v>
      </c>
      <c r="B23" s="358">
        <f>SUMIF('Daily Consumption'!$B$6:$NB$6,$A23,'Daily Consumption'!$B$17:$NB$17)</f>
        <v/>
      </c>
      <c r="C23" s="358">
        <f>SUMIF('Daily Consumption'!$B$6:$NB$6,$A23,'Daily Consumption'!$B$32:$NB$32)</f>
        <v/>
      </c>
      <c r="D23" s="358">
        <f>SUMIF('Daily Consumption'!$B$6:$NB$6,$A23,'Daily Consumption'!$B$46:$NB$46)</f>
        <v/>
      </c>
      <c r="E23" s="358">
        <f>SUMIF('Daily Consumption'!$B$6:$NB$6,$A23,'Daily Consumption'!$B$106:$NB$106)</f>
        <v/>
      </c>
      <c r="F23" s="359" t="inlineStr">
        <is>
          <t>kWh</t>
        </is>
      </c>
      <c r="G23" s="359" t="inlineStr">
        <is>
          <t>m³</t>
        </is>
      </c>
      <c r="H23" s="359" t="inlineStr">
        <is>
          <t>L</t>
        </is>
      </c>
      <c r="I23" s="359" t="inlineStr">
        <is>
          <t>m³</t>
        </is>
      </c>
      <c r="J23" s="360" t="n"/>
    </row>
    <row r="24" ht="14.25" customHeight="1" s="166">
      <c r="A24" s="354" t="n">
        <v>46647</v>
      </c>
      <c r="B24" s="355">
        <f>SUMIF('Daily Consumption'!$B$6:$NB$6,$A24,'Daily Consumption'!$B$17:$NB$17)</f>
        <v/>
      </c>
      <c r="C24" s="355">
        <f>SUMIF('Daily Consumption'!$B$6:$NB$6,$A24,'Daily Consumption'!$B$32:$NB$32)</f>
        <v/>
      </c>
      <c r="D24" s="355">
        <f>SUMIF('Daily Consumption'!$B$6:$NB$6,$A24,'Daily Consumption'!$B$46:$NB$46)</f>
        <v/>
      </c>
      <c r="E24" s="355">
        <f>SUMIF('Daily Consumption'!$B$6:$NB$6,$A24,'Daily Consumption'!$B$106:$NB$106)</f>
        <v/>
      </c>
      <c r="F24" s="356" t="inlineStr">
        <is>
          <t>kWh</t>
        </is>
      </c>
      <c r="G24" s="356" t="inlineStr">
        <is>
          <t>m³</t>
        </is>
      </c>
      <c r="H24" s="356" t="inlineStr">
        <is>
          <t>L</t>
        </is>
      </c>
      <c r="I24" s="356" t="inlineStr">
        <is>
          <t>m³</t>
        </is>
      </c>
      <c r="J24" s="356" t="n"/>
    </row>
    <row r="25" ht="14.25" customHeight="1" s="166">
      <c r="A25" s="357" t="n">
        <v>46648</v>
      </c>
      <c r="B25" s="358">
        <f>SUMIF('Daily Consumption'!$B$6:$NB$6,$A25,'Daily Consumption'!$B$17:$NB$17)</f>
        <v/>
      </c>
      <c r="C25" s="358">
        <f>SUMIF('Daily Consumption'!$B$6:$NB$6,$A25,'Daily Consumption'!$B$32:$NB$32)</f>
        <v/>
      </c>
      <c r="D25" s="358">
        <f>SUMIF('Daily Consumption'!$B$6:$NB$6,$A25,'Daily Consumption'!$B$46:$NB$46)</f>
        <v/>
      </c>
      <c r="E25" s="358">
        <f>SUMIF('Daily Consumption'!$B$6:$NB$6,$A25,'Daily Consumption'!$B$106:$NB$106)</f>
        <v/>
      </c>
      <c r="F25" s="359" t="inlineStr">
        <is>
          <t>kWh</t>
        </is>
      </c>
      <c r="G25" s="359" t="inlineStr">
        <is>
          <t>m³</t>
        </is>
      </c>
      <c r="H25" s="359" t="inlineStr">
        <is>
          <t>L</t>
        </is>
      </c>
      <c r="I25" s="359" t="inlineStr">
        <is>
          <t>m³</t>
        </is>
      </c>
      <c r="J25" s="360" t="n"/>
    </row>
    <row r="26" ht="14.25" customHeight="1" s="166">
      <c r="A26" s="354" t="n">
        <v>46649</v>
      </c>
      <c r="B26" s="355">
        <f>SUMIF('Daily Consumption'!$B$6:$NB$6,$A26,'Daily Consumption'!$B$17:$NB$17)</f>
        <v/>
      </c>
      <c r="C26" s="355">
        <f>SUMIF('Daily Consumption'!$B$6:$NB$6,$A26,'Daily Consumption'!$B$32:$NB$32)</f>
        <v/>
      </c>
      <c r="D26" s="355">
        <f>SUMIF('Daily Consumption'!$B$6:$NB$6,$A26,'Daily Consumption'!$B$46:$NB$46)</f>
        <v/>
      </c>
      <c r="E26" s="355">
        <f>SUMIF('Daily Consumption'!$B$6:$NB$6,$A26,'Daily Consumption'!$B$106:$NB$106)</f>
        <v/>
      </c>
      <c r="F26" s="356" t="inlineStr">
        <is>
          <t>kWh</t>
        </is>
      </c>
      <c r="G26" s="356" t="inlineStr">
        <is>
          <t>m³</t>
        </is>
      </c>
      <c r="H26" s="356" t="inlineStr">
        <is>
          <t>L</t>
        </is>
      </c>
      <c r="I26" s="356" t="inlineStr">
        <is>
          <t>m³</t>
        </is>
      </c>
      <c r="J26" s="356" t="n"/>
    </row>
    <row r="27" ht="14.25" customHeight="1" s="166">
      <c r="A27" s="357" t="n">
        <v>46650</v>
      </c>
      <c r="B27" s="358">
        <f>SUMIF('Daily Consumption'!$B$6:$NB$6,$A27,'Daily Consumption'!$B$17:$NB$17)</f>
        <v/>
      </c>
      <c r="C27" s="358">
        <f>SUMIF('Daily Consumption'!$B$6:$NB$6,$A27,'Daily Consumption'!$B$32:$NB$32)</f>
        <v/>
      </c>
      <c r="D27" s="358">
        <f>SUMIF('Daily Consumption'!$B$6:$NB$6,$A27,'Daily Consumption'!$B$46:$NB$46)</f>
        <v/>
      </c>
      <c r="E27" s="358">
        <f>SUMIF('Daily Consumption'!$B$6:$NB$6,$A27,'Daily Consumption'!$B$106:$NB$106)</f>
        <v/>
      </c>
      <c r="F27" s="359" t="inlineStr">
        <is>
          <t>kWh</t>
        </is>
      </c>
      <c r="G27" s="359" t="inlineStr">
        <is>
          <t>m³</t>
        </is>
      </c>
      <c r="H27" s="359" t="inlineStr">
        <is>
          <t>L</t>
        </is>
      </c>
      <c r="I27" s="359" t="inlineStr">
        <is>
          <t>m³</t>
        </is>
      </c>
      <c r="J27" s="360" t="n"/>
    </row>
    <row r="28" ht="14.25" customHeight="1" s="166">
      <c r="A28" s="354" t="n">
        <v>46651</v>
      </c>
      <c r="B28" s="355">
        <f>SUMIF('Daily Consumption'!$B$6:$NB$6,$A28,'Daily Consumption'!$B$17:$NB$17)</f>
        <v/>
      </c>
      <c r="C28" s="355">
        <f>SUMIF('Daily Consumption'!$B$6:$NB$6,$A28,'Daily Consumption'!$B$32:$NB$32)</f>
        <v/>
      </c>
      <c r="D28" s="355">
        <f>SUMIF('Daily Consumption'!$B$6:$NB$6,$A28,'Daily Consumption'!$B$46:$NB$46)</f>
        <v/>
      </c>
      <c r="E28" s="355">
        <f>SUMIF('Daily Consumption'!$B$6:$NB$6,$A28,'Daily Consumption'!$B$106:$NB$106)</f>
        <v/>
      </c>
      <c r="F28" s="356" t="inlineStr">
        <is>
          <t>kWh</t>
        </is>
      </c>
      <c r="G28" s="356" t="inlineStr">
        <is>
          <t>m³</t>
        </is>
      </c>
      <c r="H28" s="356" t="inlineStr">
        <is>
          <t>L</t>
        </is>
      </c>
      <c r="I28" s="356" t="inlineStr">
        <is>
          <t>m³</t>
        </is>
      </c>
      <c r="J28" s="356" t="n"/>
    </row>
    <row r="29" ht="14.25" customHeight="1" s="166">
      <c r="A29" s="357" t="n">
        <v>46652</v>
      </c>
      <c r="B29" s="358">
        <f>SUMIF('Daily Consumption'!$B$6:$NB$6,$A29,'Daily Consumption'!$B$17:$NB$17)</f>
        <v/>
      </c>
      <c r="C29" s="358">
        <f>SUMIF('Daily Consumption'!$B$6:$NB$6,$A29,'Daily Consumption'!$B$32:$NB$32)</f>
        <v/>
      </c>
      <c r="D29" s="358">
        <f>SUMIF('Daily Consumption'!$B$6:$NB$6,$A29,'Daily Consumption'!$B$46:$NB$46)</f>
        <v/>
      </c>
      <c r="E29" s="358">
        <f>SUMIF('Daily Consumption'!$B$6:$NB$6,$A29,'Daily Consumption'!$B$106:$NB$106)</f>
        <v/>
      </c>
      <c r="F29" s="359" t="inlineStr">
        <is>
          <t>kWh</t>
        </is>
      </c>
      <c r="G29" s="359" t="inlineStr">
        <is>
          <t>m³</t>
        </is>
      </c>
      <c r="H29" s="359" t="inlineStr">
        <is>
          <t>L</t>
        </is>
      </c>
      <c r="I29" s="359" t="inlineStr">
        <is>
          <t>m³</t>
        </is>
      </c>
      <c r="J29" s="360" t="n"/>
    </row>
    <row r="30" ht="14.25" customHeight="1" s="166">
      <c r="A30" s="354" t="n">
        <v>46653</v>
      </c>
      <c r="B30" s="355">
        <f>SUMIF('Daily Consumption'!$B$6:$NB$6,$A30,'Daily Consumption'!$B$17:$NB$17)</f>
        <v/>
      </c>
      <c r="C30" s="355">
        <f>SUMIF('Daily Consumption'!$B$6:$NB$6,$A30,'Daily Consumption'!$B$32:$NB$32)</f>
        <v/>
      </c>
      <c r="D30" s="355">
        <f>SUMIF('Daily Consumption'!$B$6:$NB$6,$A30,'Daily Consumption'!$B$46:$NB$46)</f>
        <v/>
      </c>
      <c r="E30" s="355">
        <f>SUMIF('Daily Consumption'!$B$6:$NB$6,$A30,'Daily Consumption'!$B$106:$NB$106)</f>
        <v/>
      </c>
      <c r="F30" s="356" t="inlineStr">
        <is>
          <t>kWh</t>
        </is>
      </c>
      <c r="G30" s="356" t="inlineStr">
        <is>
          <t>m³</t>
        </is>
      </c>
      <c r="H30" s="356" t="inlineStr">
        <is>
          <t>L</t>
        </is>
      </c>
      <c r="I30" s="356" t="inlineStr">
        <is>
          <t>m³</t>
        </is>
      </c>
      <c r="J30" s="356" t="n"/>
    </row>
    <row r="31" ht="14.25" customHeight="1" s="166">
      <c r="A31" s="357" t="n">
        <v>46654</v>
      </c>
      <c r="B31" s="358">
        <f>SUMIF('Daily Consumption'!$B$6:$NB$6,$A31,'Daily Consumption'!$B$17:$NB$17)</f>
        <v/>
      </c>
      <c r="C31" s="358">
        <f>SUMIF('Daily Consumption'!$B$6:$NB$6,$A31,'Daily Consumption'!$B$32:$NB$32)</f>
        <v/>
      </c>
      <c r="D31" s="358">
        <f>SUMIF('Daily Consumption'!$B$6:$NB$6,$A31,'Daily Consumption'!$B$46:$NB$46)</f>
        <v/>
      </c>
      <c r="E31" s="358">
        <f>SUMIF('Daily Consumption'!$B$6:$NB$6,$A31,'Daily Consumption'!$B$106:$NB$106)</f>
        <v/>
      </c>
      <c r="F31" s="359" t="inlineStr">
        <is>
          <t>kWh</t>
        </is>
      </c>
      <c r="G31" s="359" t="inlineStr">
        <is>
          <t>m³</t>
        </is>
      </c>
      <c r="H31" s="359" t="inlineStr">
        <is>
          <t>L</t>
        </is>
      </c>
      <c r="I31" s="359" t="inlineStr">
        <is>
          <t>m³</t>
        </is>
      </c>
      <c r="J31" s="360" t="n"/>
    </row>
    <row r="32" ht="14.25" customHeight="1" s="166">
      <c r="A32" s="354" t="n">
        <v>46655</v>
      </c>
      <c r="B32" s="355">
        <f>SUMIF('Daily Consumption'!$B$6:$NB$6,$A32,'Daily Consumption'!$B$17:$NB$17)</f>
        <v/>
      </c>
      <c r="C32" s="355">
        <f>SUMIF('Daily Consumption'!$B$6:$NB$6,$A32,'Daily Consumption'!$B$32:$NB$32)</f>
        <v/>
      </c>
      <c r="D32" s="355">
        <f>SUMIF('Daily Consumption'!$B$6:$NB$6,$A32,'Daily Consumption'!$B$46:$NB$46)</f>
        <v/>
      </c>
      <c r="E32" s="355">
        <f>SUMIF('Daily Consumption'!$B$6:$NB$6,$A32,'Daily Consumption'!$B$106:$NB$106)</f>
        <v/>
      </c>
      <c r="F32" s="356" t="inlineStr">
        <is>
          <t>kWh</t>
        </is>
      </c>
      <c r="G32" s="356" t="inlineStr">
        <is>
          <t>m³</t>
        </is>
      </c>
      <c r="H32" s="356" t="inlineStr">
        <is>
          <t>L</t>
        </is>
      </c>
      <c r="I32" s="356" t="inlineStr">
        <is>
          <t>m³</t>
        </is>
      </c>
      <c r="J32" s="356" t="n"/>
    </row>
    <row r="33" ht="14.25" customHeight="1" s="166">
      <c r="A33" s="357" t="n">
        <v>46656</v>
      </c>
      <c r="B33" s="358">
        <f>SUMIF('Daily Consumption'!$B$6:$NB$6,$A33,'Daily Consumption'!$B$17:$NB$17)</f>
        <v/>
      </c>
      <c r="C33" s="358">
        <f>SUMIF('Daily Consumption'!$B$6:$NB$6,$A33,'Daily Consumption'!$B$32:$NB$32)</f>
        <v/>
      </c>
      <c r="D33" s="358">
        <f>SUMIF('Daily Consumption'!$B$6:$NB$6,$A33,'Daily Consumption'!$B$46:$NB$46)</f>
        <v/>
      </c>
      <c r="E33" s="358">
        <f>SUMIF('Daily Consumption'!$B$6:$NB$6,$A33,'Daily Consumption'!$B$106:$NB$106)</f>
        <v/>
      </c>
      <c r="F33" s="359" t="inlineStr">
        <is>
          <t>kWh</t>
        </is>
      </c>
      <c r="G33" s="359" t="inlineStr">
        <is>
          <t>m³</t>
        </is>
      </c>
      <c r="H33" s="359" t="inlineStr">
        <is>
          <t>L</t>
        </is>
      </c>
      <c r="I33" s="359" t="inlineStr">
        <is>
          <t>m³</t>
        </is>
      </c>
      <c r="J33" s="360" t="n"/>
    </row>
    <row r="34" ht="14.25" customHeight="1" s="166">
      <c r="A34" s="354" t="n">
        <v>46657</v>
      </c>
      <c r="B34" s="355">
        <f>SUMIF('Daily Consumption'!$B$6:$NB$6,$A34,'Daily Consumption'!$B$17:$NB$17)</f>
        <v/>
      </c>
      <c r="C34" s="355">
        <f>SUMIF('Daily Consumption'!$B$6:$NB$6,$A34,'Daily Consumption'!$B$32:$NB$32)</f>
        <v/>
      </c>
      <c r="D34" s="355">
        <f>SUMIF('Daily Consumption'!$B$6:$NB$6,$A34,'Daily Consumption'!$B$46:$NB$46)</f>
        <v/>
      </c>
      <c r="E34" s="355">
        <f>SUMIF('Daily Consumption'!$B$6:$NB$6,$A34,'Daily Consumption'!$B$106:$NB$106)</f>
        <v/>
      </c>
      <c r="F34" s="356" t="inlineStr">
        <is>
          <t>kWh</t>
        </is>
      </c>
      <c r="G34" s="356" t="inlineStr">
        <is>
          <t>m³</t>
        </is>
      </c>
      <c r="H34" s="356" t="inlineStr">
        <is>
          <t>L</t>
        </is>
      </c>
      <c r="I34" s="356" t="inlineStr">
        <is>
          <t>m³</t>
        </is>
      </c>
      <c r="J34" s="356" t="n"/>
    </row>
    <row r="35" ht="14.25" customHeight="1" s="166">
      <c r="A35" s="357" t="n">
        <v>46658</v>
      </c>
      <c r="B35" s="358">
        <f>SUMIF('Daily Consumption'!$B$6:$NB$6,$A35,'Daily Consumption'!$B$17:$NB$17)</f>
        <v/>
      </c>
      <c r="C35" s="358">
        <f>SUMIF('Daily Consumption'!$B$6:$NB$6,$A35,'Daily Consumption'!$B$32:$NB$32)</f>
        <v/>
      </c>
      <c r="D35" s="358">
        <f>SUMIF('Daily Consumption'!$B$6:$NB$6,$A35,'Daily Consumption'!$B$46:$NB$46)</f>
        <v/>
      </c>
      <c r="E35" s="358">
        <f>SUMIF('Daily Consumption'!$B$6:$NB$6,$A35,'Daily Consumption'!$B$106:$NB$106)</f>
        <v/>
      </c>
      <c r="F35" s="359" t="inlineStr">
        <is>
          <t>kWh</t>
        </is>
      </c>
      <c r="G35" s="359" t="inlineStr">
        <is>
          <t>m³</t>
        </is>
      </c>
      <c r="H35" s="359" t="inlineStr">
        <is>
          <t>L</t>
        </is>
      </c>
      <c r="I35" s="359" t="inlineStr">
        <is>
          <t>m³</t>
        </is>
      </c>
      <c r="J35" s="360" t="n"/>
    </row>
    <row r="36" ht="14.25" customHeight="1" s="166">
      <c r="A36" s="354" t="n">
        <v>46659</v>
      </c>
      <c r="B36" s="355">
        <f>SUMIF('Daily Consumption'!$B$6:$NB$6,$A36,'Daily Consumption'!$B$17:$NB$17)</f>
        <v/>
      </c>
      <c r="C36" s="355">
        <f>SUMIF('Daily Consumption'!$B$6:$NB$6,$A36,'Daily Consumption'!$B$32:$NB$32)</f>
        <v/>
      </c>
      <c r="D36" s="355">
        <f>SUMIF('Daily Consumption'!$B$6:$NB$6,$A36,'Daily Consumption'!$B$46:$NB$46)</f>
        <v/>
      </c>
      <c r="E36" s="355">
        <f>SUMIF('Daily Consumption'!$B$6:$NB$6,$A36,'Daily Consumption'!$B$106:$NB$106)</f>
        <v/>
      </c>
      <c r="F36" s="356" t="inlineStr">
        <is>
          <t>kWh</t>
        </is>
      </c>
      <c r="G36" s="356" t="inlineStr">
        <is>
          <t>m³</t>
        </is>
      </c>
      <c r="H36" s="356" t="inlineStr">
        <is>
          <t>L</t>
        </is>
      </c>
      <c r="I36" s="356" t="inlineStr">
        <is>
          <t>m³</t>
        </is>
      </c>
      <c r="J36" s="356" t="n"/>
    </row>
    <row r="37" ht="14.25" customHeight="1" s="166">
      <c r="A37" s="357" t="n">
        <v>46660</v>
      </c>
      <c r="B37" s="358">
        <f>SUMIF('Daily Consumption'!$B$6:$NB$6,$A37,'Daily Consumption'!$B$17:$NB$17)</f>
        <v/>
      </c>
      <c r="C37" s="358">
        <f>SUMIF('Daily Consumption'!$B$6:$NB$6,$A37,'Daily Consumption'!$B$32:$NB$32)</f>
        <v/>
      </c>
      <c r="D37" s="358">
        <f>SUMIF('Daily Consumption'!$B$6:$NB$6,$A37,'Daily Consumption'!$B$46:$NB$46)</f>
        <v/>
      </c>
      <c r="E37" s="358">
        <f>SUMIF('Daily Consumption'!$B$6:$NB$6,$A37,'Daily Consumption'!$B$106:$NB$106)</f>
        <v/>
      </c>
      <c r="F37" s="359" t="inlineStr">
        <is>
          <t>kWh</t>
        </is>
      </c>
      <c r="G37" s="359" t="inlineStr">
        <is>
          <t>m³</t>
        </is>
      </c>
      <c r="H37" s="359" t="inlineStr">
        <is>
          <t>L</t>
        </is>
      </c>
      <c r="I37" s="359" t="inlineStr">
        <is>
          <t>m³</t>
        </is>
      </c>
      <c r="J37" s="360" t="n"/>
    </row>
    <row r="38" ht="14.25" customHeight="1" s="166">
      <c r="A38" s="353" t="inlineStr">
        <is>
          <t>MONTH TOTAL</t>
        </is>
      </c>
      <c r="B38" s="361">
        <f>SUM(B8:B37)</f>
        <v/>
      </c>
      <c r="C38" s="361">
        <f>SUM(C8:C37)</f>
        <v/>
      </c>
      <c r="D38" s="361">
        <f>SUM(D8:D37)</f>
        <v/>
      </c>
      <c r="E38" s="361">
        <f>SUM(E8:E37)</f>
        <v/>
      </c>
      <c r="F38" s="362" t="n"/>
      <c r="G38" s="362" t="n"/>
      <c r="H38" s="362" t="n"/>
      <c r="I38" s="362" t="n"/>
      <c r="J38" s="362" t="n"/>
    </row>
    <row r="39" ht="14.25" customHeight="1" s="166">
      <c r="A39" s="165" t="inlineStr">
        <is>
          <t>MONTH TOTAL</t>
        </is>
      </c>
      <c r="B39" s="165">
        <f>SUM(B8:B37)</f>
        <v/>
      </c>
      <c r="C39" s="165">
        <f>SUM(C8:C37)</f>
        <v/>
      </c>
      <c r="D39" s="165">
        <f>SUM(D8:D37)</f>
        <v/>
      </c>
      <c r="E39" s="165">
        <f>SUM(E8:E37)</f>
        <v/>
      </c>
    </row>
  </sheetData>
  <autoFilter ref="A7:J37"/>
  <mergeCells count="2">
    <mergeCell ref="A1:J2"/>
    <mergeCell ref="A3:J3"/>
  </mergeCells>
  <hyperlinks>
    <hyperlink xmlns:r="http://schemas.openxmlformats.org/officeDocument/2006/relationships" ref="A5" location="'Menu'!A1" display="Menu" r:id="rId1"/>
    <hyperlink xmlns:r="http://schemas.openxmlformats.org/officeDocument/2006/relationships" ref="B5" location="'Menu'!A1" display="Dashboard" r:id="rId2"/>
    <hyperlink xmlns:r="http://schemas.openxmlformats.org/officeDocument/2006/relationships" ref="C5" location="'Daily%20Consumption'!A1" display="Consumption" r:id="rId3"/>
    <hyperlink xmlns:r="http://schemas.openxmlformats.org/officeDocument/2006/relationships" ref="D5" location="'LPG%20Dashboard'!A1" display="LPG" r:id="rId4"/>
    <hyperlink xmlns:r="http://schemas.openxmlformats.org/officeDocument/2006/relationships" ref="E5" location="'Oct%202026'!A1" display="Oct 2026" r:id="rId5"/>
    <hyperlink xmlns:r="http://schemas.openxmlformats.org/officeDocument/2006/relationships" ref="F5" location="'Nov%202026'!A1" display="Nov 2026" r:id="rId6"/>
    <hyperlink xmlns:r="http://schemas.openxmlformats.org/officeDocument/2006/relationships" ref="G5" location="'Dec%202026'!A1" display="Dec 2026" r:id="rId7"/>
    <hyperlink xmlns:r="http://schemas.openxmlformats.org/officeDocument/2006/relationships" ref="H5" location="'Jan%202027'!A1" display="Jan 2027" r:id="rId8"/>
    <hyperlink xmlns:r="http://schemas.openxmlformats.org/officeDocument/2006/relationships" ref="I5" location="'Feb%202027'!A1" display="Feb 2027" r:id="rId9"/>
    <hyperlink xmlns:r="http://schemas.openxmlformats.org/officeDocument/2006/relationships" ref="J5" location="'Mar%202027'!A1" display="Mar 2027" r:id="rId10"/>
    <hyperlink xmlns:r="http://schemas.openxmlformats.org/officeDocument/2006/relationships" ref="K5" location="'Apr%202027'!A1" display="Apr 2027" r:id="rId11"/>
    <hyperlink xmlns:r="http://schemas.openxmlformats.org/officeDocument/2006/relationships" ref="L5" location="'May%202027'!A1" display="May 2027" r:id="rId12"/>
    <hyperlink xmlns:r="http://schemas.openxmlformats.org/officeDocument/2006/relationships" ref="M5" location="'Jun%202027'!A1" display="Jun 2027" r:id="rId13"/>
    <hyperlink xmlns:r="http://schemas.openxmlformats.org/officeDocument/2006/relationships" ref="N5" location="'Jul%202027'!A1" display="Jul 2027" r:id="rId14"/>
    <hyperlink xmlns:r="http://schemas.openxmlformats.org/officeDocument/2006/relationships" ref="O5" location="'Aug%202027'!A1" display="Aug 2027" r:id="rId15"/>
    <hyperlink xmlns:r="http://schemas.openxmlformats.org/officeDocument/2006/relationships" ref="P5" location="'Sep%202027'!A1" display="Sep 202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2026-10-05T16:22:31Z</dcterms:created>
  <dcterms:modified xmlns:dcterms="http://purl.org/dc/terms/" xmlns:xsi="http://www.w3.org/2001/XMLSchema-instance" xsi:type="dcterms:W3CDTF">2026-10-06T20:48:21Z</dcterms:modified>
  <cp:lastModifiedBy>Bellouk, Akram (RSIGH)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0x010100E6F79C5BE4158741ACEFCD744042C573</vt:lpwstr>
  </property>
  <property name="MediaServiceImageTags" fmtid="{D5CDD505-2E9C-101B-9397-08002B2CF9AE}" pid="3">
    <vt:lpwstr xmlns:vt="http://schemas.openxmlformats.org/officeDocument/2006/docPropsVTypes"/>
  </property>
</Properties>
</file>